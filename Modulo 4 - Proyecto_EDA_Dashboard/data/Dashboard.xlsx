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rre\Documents\SHARE\FORMACIÓN\ANALISIS DE DATOS\MODULO 4-Dashboard y analisis de datos\LECCION 6- Proyecto Dashboard\"/>
    </mc:Choice>
  </mc:AlternateContent>
  <xr:revisionPtr revIDLastSave="0" documentId="13_ncr:1_{AA3D39FB-A5CD-4ED6-9696-A0F278E364E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lectric_Vehicle" sheetId="1" r:id="rId1"/>
    <sheet name="Analisis" sheetId="4" r:id="rId2"/>
    <sheet name="Dashboard" sheetId="3" r:id="rId3"/>
  </sheets>
  <externalReferences>
    <externalReference r:id="rId4"/>
    <externalReference r:id="rId5"/>
  </externalReferences>
  <definedNames>
    <definedName name="_xlnm._FilterDatabase" localSheetId="0" hidden="1">Electric_Vehicle!$A$1:$Q$1496</definedName>
    <definedName name="_xlcn.WorksheetConnection_Electric_Vehicle_Population_Data_Carlos.xlsxDatos_conjuntos1" hidden="1">Datos_conjuntos[]</definedName>
    <definedName name="Datos" localSheetId="2">[2]!Tabla2[#Data]</definedName>
    <definedName name="Datos">#REF!</definedName>
    <definedName name="SegmentaciónDeDatos_County">#N/A</definedName>
    <definedName name="SegmentaciónDeDatos_Electric_Vehicle_Type">#N/A</definedName>
  </definedNames>
  <calcPr calcId="191029"/>
  <pivotCaches>
    <pivotCache cacheId="149" r:id="rId6"/>
    <pivotCache cacheId="152" r:id="rId7"/>
    <pivotCache cacheId="155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Datos_conjuntos" name="Datos_conjuntos" connection="WorksheetConnection_Electric_Vehicle_Population_Data_Carlos.xlsx!Datos_conjunt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D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20087B-D171-42FC-8B73-051037767406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7FB5CE2-F27E-4A98-9848-97A1A735C631}" name="WorksheetConnection_Electric_Vehicle_Population_Data_Carlos.xlsx!Datos_conjuntos" type="102" refreshedVersion="8" minRefreshableVersion="5">
    <extLst>
      <ext xmlns:x15="http://schemas.microsoft.com/office/spreadsheetml/2010/11/main" uri="{DE250136-89BD-433C-8126-D09CA5730AF9}">
        <x15:connection id="Datos_conjuntos" autoDelete="1">
          <x15:rangePr sourceName="_xlcn.WorksheetConnection_Electric_Vehicle_Population_Data_Carlos.xlsxDatos_conjuntos1"/>
        </x15:connection>
      </ext>
    </extLst>
  </connection>
</connections>
</file>

<file path=xl/sharedStrings.xml><?xml version="1.0" encoding="utf-8"?>
<sst xmlns="http://schemas.openxmlformats.org/spreadsheetml/2006/main" count="22541" uniqueCount="2719">
  <si>
    <t>VIN (1-10)</t>
  </si>
  <si>
    <t>County</t>
  </si>
  <si>
    <t>City</t>
  </si>
  <si>
    <t>State</t>
  </si>
  <si>
    <t>Postal Code</t>
  </si>
  <si>
    <t>Model Year</t>
  </si>
  <si>
    <t>Make</t>
  </si>
  <si>
    <t>Model</t>
  </si>
  <si>
    <t>Electric Vehicle Type</t>
  </si>
  <si>
    <t>Clean Alternative Fuel Vehicle (CAFV) Eligibility</t>
  </si>
  <si>
    <t>Electric Range</t>
  </si>
  <si>
    <t>Base MSRP</t>
  </si>
  <si>
    <t>Legislative District</t>
  </si>
  <si>
    <t>DOL Vehicle ID</t>
  </si>
  <si>
    <t>Vehicle Location</t>
  </si>
  <si>
    <t>Electric Utility</t>
  </si>
  <si>
    <t>2020 Census Tract</t>
  </si>
  <si>
    <t>1C4JJXP60P</t>
  </si>
  <si>
    <t>Kitsap</t>
  </si>
  <si>
    <t>Poulsbo</t>
  </si>
  <si>
    <t>WA</t>
  </si>
  <si>
    <t>2023</t>
  </si>
  <si>
    <t>JEEP</t>
  </si>
  <si>
    <t>WRANGLER</t>
  </si>
  <si>
    <t>Plug-in Hybrid Electric Vehicle (PHEV)</t>
  </si>
  <si>
    <t>Not eligible due to low battery range</t>
  </si>
  <si>
    <t>21</t>
  </si>
  <si>
    <t>0</t>
  </si>
  <si>
    <t>23</t>
  </si>
  <si>
    <t>POINT (-122.64681 47.73689)</t>
  </si>
  <si>
    <t>PUGET SOUND ENERGY INC</t>
  </si>
  <si>
    <t>53035091100</t>
  </si>
  <si>
    <t>1C4JJXP61P</t>
  </si>
  <si>
    <t>King</t>
  </si>
  <si>
    <t>Issaquah</t>
  </si>
  <si>
    <t>5</t>
  </si>
  <si>
    <t>POINT (-122.03439 47.5301)</t>
  </si>
  <si>
    <t>PUGET SOUND ENERGY INC||CITY OF TACOMA - (WA)</t>
  </si>
  <si>
    <t>53033032104</t>
  </si>
  <si>
    <t>1C4JJXP63M</t>
  </si>
  <si>
    <t>Snohomish</t>
  </si>
  <si>
    <t>Arlington</t>
  </si>
  <si>
    <t>2021</t>
  </si>
  <si>
    <t>25</t>
  </si>
  <si>
    <t>39</t>
  </si>
  <si>
    <t>POINT (-122.1264 48.19471)</t>
  </si>
  <si>
    <t>53061053505</t>
  </si>
  <si>
    <t>1C4JJXP66M</t>
  </si>
  <si>
    <t>Yakima</t>
  </si>
  <si>
    <t>Zillah</t>
  </si>
  <si>
    <t>15</t>
  </si>
  <si>
    <t>POINT (-120.26226 46.40199)</t>
  </si>
  <si>
    <t>PACIFICORP</t>
  </si>
  <si>
    <t>53077002202</t>
  </si>
  <si>
    <t>1C4JJXP67N</t>
  </si>
  <si>
    <t>Clark</t>
  </si>
  <si>
    <t>Camas</t>
  </si>
  <si>
    <t>2022</t>
  </si>
  <si>
    <t>18</t>
  </si>
  <si>
    <t>POINT (-122.40199 45.58694)</t>
  </si>
  <si>
    <t>BONNEVILLE POWER ADMINISTRATION||PUD NO 1 OF CLARK COUNTY - (WA)</t>
  </si>
  <si>
    <t>53011040605</t>
  </si>
  <si>
    <t>1C4JJXP69P</t>
  </si>
  <si>
    <t>Vancouver</t>
  </si>
  <si>
    <t>17</t>
  </si>
  <si>
    <t>POINT (-122.55149 45.69345)</t>
  </si>
  <si>
    <t>53011040714</t>
  </si>
  <si>
    <t>1C4JJXP6XM</t>
  </si>
  <si>
    <t>Auburn</t>
  </si>
  <si>
    <t>47</t>
  </si>
  <si>
    <t>POINT (-122.22347 47.30762)</t>
  </si>
  <si>
    <t>53033030504</t>
  </si>
  <si>
    <t>1C4JJXP6XP</t>
  </si>
  <si>
    <t>Lynnwood</t>
  </si>
  <si>
    <t>32</t>
  </si>
  <si>
    <t>POINT (-122.29245 47.82557)</t>
  </si>
  <si>
    <t>53061051702</t>
  </si>
  <si>
    <t>1C4JJXR60P</t>
  </si>
  <si>
    <t>La Center</t>
  </si>
  <si>
    <t>20</t>
  </si>
  <si>
    <t>POINT (-122.67248 45.86156)</t>
  </si>
  <si>
    <t>53011040201</t>
  </si>
  <si>
    <t>1C4JJXR61P</t>
  </si>
  <si>
    <t>Seattle</t>
  </si>
  <si>
    <t>36</t>
  </si>
  <si>
    <t>POINT (-122.36498 47.72238)</t>
  </si>
  <si>
    <t>CITY OF SEATTLE - (WA)|CITY OF TACOMA - (WA)</t>
  </si>
  <si>
    <t>53033001600</t>
  </si>
  <si>
    <t>1C4JJXR63N</t>
  </si>
  <si>
    <t>Bothell</t>
  </si>
  <si>
    <t>22</t>
  </si>
  <si>
    <t>POINT (-122.21061 47.83448)</t>
  </si>
  <si>
    <t>53061051927</t>
  </si>
  <si>
    <t>1C4JJXR64M</t>
  </si>
  <si>
    <t>Island</t>
  </si>
  <si>
    <t>Langley</t>
  </si>
  <si>
    <t>10</t>
  </si>
  <si>
    <t>POINT (-122.40618 48.0399)</t>
  </si>
  <si>
    <t>53029972000</t>
  </si>
  <si>
    <t>1C4JJXR65P</t>
  </si>
  <si>
    <t>Port Orchard</t>
  </si>
  <si>
    <t>26</t>
  </si>
  <si>
    <t>POINT (-122.63847 47.54103)</t>
  </si>
  <si>
    <t>53035092300</t>
  </si>
  <si>
    <t>1C4JJXR68P</t>
  </si>
  <si>
    <t>Camano Island</t>
  </si>
  <si>
    <t>POINT (-122.40049 48.23986)</t>
  </si>
  <si>
    <t>BONNEVILLE POWER ADMINISTRATION||PUD 1 OF SNOHOMISH COUNTY</t>
  </si>
  <si>
    <t>53029971700</t>
  </si>
  <si>
    <t>1C4JJXR69P</t>
  </si>
  <si>
    <t>Pierce</t>
  </si>
  <si>
    <t>Lake Tapps</t>
  </si>
  <si>
    <t>31</t>
  </si>
  <si>
    <t>POINT (-122.17144 47.19175)</t>
  </si>
  <si>
    <t>53053070315</t>
  </si>
  <si>
    <t>1C4JJXR6XP</t>
  </si>
  <si>
    <t>44</t>
  </si>
  <si>
    <t>POINT (-122.09305 47.91265)</t>
  </si>
  <si>
    <t>53061052502</t>
  </si>
  <si>
    <t>1C4RJXN60R</t>
  </si>
  <si>
    <t>Stanwood</t>
  </si>
  <si>
    <t>2024</t>
  </si>
  <si>
    <t>POINT (-122.37265 48.24159)</t>
  </si>
  <si>
    <t>53061053301</t>
  </si>
  <si>
    <t>1C4RJXN61R</t>
  </si>
  <si>
    <t>Oak Harbor</t>
  </si>
  <si>
    <t>POINT (-122.64682 48.29077)</t>
  </si>
  <si>
    <t>53029970500</t>
  </si>
  <si>
    <t>1C4RJXN62S</t>
  </si>
  <si>
    <t>Lake Stevens</t>
  </si>
  <si>
    <t>2025</t>
  </si>
  <si>
    <t>POINT (-122.06402 48.01497)</t>
  </si>
  <si>
    <t>53061052604</t>
  </si>
  <si>
    <t>1C4RJXN63R</t>
  </si>
  <si>
    <t>Enumclaw</t>
  </si>
  <si>
    <t>POINT (-121.99136 47.20433)</t>
  </si>
  <si>
    <t>53033031400</t>
  </si>
  <si>
    <t>53035092701</t>
  </si>
  <si>
    <t>1C4RJXN64R</t>
  </si>
  <si>
    <t>Renton</t>
  </si>
  <si>
    <t>11</t>
  </si>
  <si>
    <t>POINT (-122.08747 47.4466)</t>
  </si>
  <si>
    <t>53033025803</t>
  </si>
  <si>
    <t>1C4RJXN68R</t>
  </si>
  <si>
    <t>POINT (-122.67154 48.33858)</t>
  </si>
  <si>
    <t>53029970200</t>
  </si>
  <si>
    <t>Bellevue</t>
  </si>
  <si>
    <t>48</t>
  </si>
  <si>
    <t>POINT (-122.1872 47.61001)</t>
  </si>
  <si>
    <t>53033024001</t>
  </si>
  <si>
    <t>1C4RJXP63R</t>
  </si>
  <si>
    <t>Thurston</t>
  </si>
  <si>
    <t>Olympia</t>
  </si>
  <si>
    <t>POINT (-122.89165 47.03954)</t>
  </si>
  <si>
    <t>53067010400</t>
  </si>
  <si>
    <t>1C4RJXP64R</t>
  </si>
  <si>
    <t>Lewis</t>
  </si>
  <si>
    <t>Centralia</t>
  </si>
  <si>
    <t>POINT (-122.95266 46.72895)</t>
  </si>
  <si>
    <t>BONNEVILLE POWER ADMINISTRATION||CITY OF CENTRALIA - (WA)|CITY OF TACOMA - (WA)</t>
  </si>
  <si>
    <t>53041970700</t>
  </si>
  <si>
    <t>1C4RJXP65R</t>
  </si>
  <si>
    <t>Pend Oreille</t>
  </si>
  <si>
    <t>Newport</t>
  </si>
  <si>
    <t>7</t>
  </si>
  <si>
    <t>POINT (-117.04398 48.18285)</t>
  </si>
  <si>
    <t>PUD NO 1 OF PEND OREILLE COUNTY</t>
  </si>
  <si>
    <t>53051970500</t>
  </si>
  <si>
    <t>1C4RJXP66R</t>
  </si>
  <si>
    <t>Kirkland</t>
  </si>
  <si>
    <t>1</t>
  </si>
  <si>
    <t>POINT (-122.22901 47.72201)</t>
  </si>
  <si>
    <t>53033022203</t>
  </si>
  <si>
    <t>1C4RJXR60R</t>
  </si>
  <si>
    <t>1C4RJXR67R</t>
  </si>
  <si>
    <t>Chelan</t>
  </si>
  <si>
    <t>Leavenworth</t>
  </si>
  <si>
    <t>12</t>
  </si>
  <si>
    <t>POINT (-120.65754 47.5982)</t>
  </si>
  <si>
    <t>PUD NO 1 OF CHELAN COUNTY</t>
  </si>
  <si>
    <t>53007960201</t>
  </si>
  <si>
    <t>1C4RJYB63R</t>
  </si>
  <si>
    <t>GRAND CHEROKEE</t>
  </si>
  <si>
    <t>1C4RJYB6XP</t>
  </si>
  <si>
    <t>53011041400</t>
  </si>
  <si>
    <t>1C4RJYC61R</t>
  </si>
  <si>
    <t>Federal Way</t>
  </si>
  <si>
    <t>30</t>
  </si>
  <si>
    <t>POINT (-122.34059 47.32478)</t>
  </si>
  <si>
    <t>53033030304</t>
  </si>
  <si>
    <t>1C4RJYD62R</t>
  </si>
  <si>
    <t>49</t>
  </si>
  <si>
    <t>POINT (-122.57722 45.64251)</t>
  </si>
  <si>
    <t>53011041113</t>
  </si>
  <si>
    <t>1C4RJYD63P</t>
  </si>
  <si>
    <t>53033023701</t>
  </si>
  <si>
    <t>1C4RJYD66P</t>
  </si>
  <si>
    <t>Woodinville</t>
  </si>
  <si>
    <t>45</t>
  </si>
  <si>
    <t>POINT (-122.15545 47.75448)</t>
  </si>
  <si>
    <t>53033032307</t>
  </si>
  <si>
    <t>1C4RJYE62P</t>
  </si>
  <si>
    <t>53035090501</t>
  </si>
  <si>
    <t>1C4RJYE67N</t>
  </si>
  <si>
    <t>POINT (-122.2066 47.67887)</t>
  </si>
  <si>
    <t>53033022603</t>
  </si>
  <si>
    <t>1FADP3R4XG</t>
  </si>
  <si>
    <t>Skagit</t>
  </si>
  <si>
    <t>Mount Vernon</t>
  </si>
  <si>
    <t>2016</t>
  </si>
  <si>
    <t>FORD</t>
  </si>
  <si>
    <t>FOCUS</t>
  </si>
  <si>
    <t>Battery Electric Vehicle (BEV)</t>
  </si>
  <si>
    <t>Clean Alternative Fuel Vehicle Eligible</t>
  </si>
  <si>
    <t>76</t>
  </si>
  <si>
    <t>POINT (-122.32355 48.41566)</t>
  </si>
  <si>
    <t>53057952403</t>
  </si>
  <si>
    <t>1FADP5CU0E</t>
  </si>
  <si>
    <t>Bremerton</t>
  </si>
  <si>
    <t>2014</t>
  </si>
  <si>
    <t>C-MAX</t>
  </si>
  <si>
    <t>19</t>
  </si>
  <si>
    <t>POINT (-122.60915 47.62631)</t>
  </si>
  <si>
    <t>53035091500</t>
  </si>
  <si>
    <t>1FADP5CU0G</t>
  </si>
  <si>
    <t>53067011200</t>
  </si>
  <si>
    <t>1FADP5CU1D</t>
  </si>
  <si>
    <t>2013</t>
  </si>
  <si>
    <t>1FADP5CU1F</t>
  </si>
  <si>
    <t>Rochester</t>
  </si>
  <si>
    <t>2015</t>
  </si>
  <si>
    <t>POINT (-123.08743 46.82175)</t>
  </si>
  <si>
    <t>53067012730</t>
  </si>
  <si>
    <t>1FADP5CU3E</t>
  </si>
  <si>
    <t>Bainbridge Island</t>
  </si>
  <si>
    <t>POINT (-122.521 47.62732)</t>
  </si>
  <si>
    <t>53035090800</t>
  </si>
  <si>
    <t>1FADP5CU4D</t>
  </si>
  <si>
    <t>POINT (-122.34468 47.61578)</t>
  </si>
  <si>
    <t>53033007202</t>
  </si>
  <si>
    <t>1FADP5CU6D</t>
  </si>
  <si>
    <t>Stevens</t>
  </si>
  <si>
    <t>Kettle Falls</t>
  </si>
  <si>
    <t>POINT (-118.06211 48.61053)</t>
  </si>
  <si>
    <t>AVISTA CORP</t>
  </si>
  <si>
    <t>53065950102</t>
  </si>
  <si>
    <t>1FADP5CU7D</t>
  </si>
  <si>
    <t>POINT (-122.18384 47.8031)</t>
  </si>
  <si>
    <t>53061051937</t>
  </si>
  <si>
    <t>1FADP5CU8D</t>
  </si>
  <si>
    <t>Tumwater</t>
  </si>
  <si>
    <t>53067010802</t>
  </si>
  <si>
    <t>1FADP5CU8F</t>
  </si>
  <si>
    <t>53011041330</t>
  </si>
  <si>
    <t>1FADP5CU8G</t>
  </si>
  <si>
    <t>35</t>
  </si>
  <si>
    <t>POINT (-122.90787 46.9461)</t>
  </si>
  <si>
    <t>53067011000</t>
  </si>
  <si>
    <t>1FADP5CU9E</t>
  </si>
  <si>
    <t>POINT (-122.70348 47.52028)</t>
  </si>
  <si>
    <t>53035092902</t>
  </si>
  <si>
    <t>1FADP5CUXG</t>
  </si>
  <si>
    <t>Grant</t>
  </si>
  <si>
    <t>Moses Lake</t>
  </si>
  <si>
    <t>13</t>
  </si>
  <si>
    <t>POINT (-119.2771 47.13196)</t>
  </si>
  <si>
    <t>PUD NO 2 OF GRANT COUNTY</t>
  </si>
  <si>
    <t>53025011002</t>
  </si>
  <si>
    <t>Edmonds</t>
  </si>
  <si>
    <t>POINT (-122.37689 47.81116)</t>
  </si>
  <si>
    <t>53061050502</t>
  </si>
  <si>
    <t>1FADP5EU2H</t>
  </si>
  <si>
    <t>Marysville</t>
  </si>
  <si>
    <t>2017</t>
  </si>
  <si>
    <t>38</t>
  </si>
  <si>
    <t>POINT (-122.1769 48.06114)</t>
  </si>
  <si>
    <t>53061052810</t>
  </si>
  <si>
    <t>1FADP5FU0H</t>
  </si>
  <si>
    <t>46</t>
  </si>
  <si>
    <t>POINT (-122.30253 47.72656)</t>
  </si>
  <si>
    <t>53033000800</t>
  </si>
  <si>
    <t>1FMCU0E1XP</t>
  </si>
  <si>
    <t>Washougal</t>
  </si>
  <si>
    <t>ESCAPE</t>
  </si>
  <si>
    <t>37</t>
  </si>
  <si>
    <t>POINT (-122.35341 45.57923)</t>
  </si>
  <si>
    <t>53011040510</t>
  </si>
  <si>
    <t>1FMCU0E1XR</t>
  </si>
  <si>
    <t>53061052401</t>
  </si>
  <si>
    <t>1FMCU0EZXM</t>
  </si>
  <si>
    <t>Shoreline</t>
  </si>
  <si>
    <t>POINT (-122.35029 47.71871)</t>
  </si>
  <si>
    <t>53033020700</t>
  </si>
  <si>
    <t>1FMCU0KZ1N</t>
  </si>
  <si>
    <t>POINT (-122.1389 47.87115)</t>
  </si>
  <si>
    <t>53061052108</t>
  </si>
  <si>
    <t>1FT6W1EV2P</t>
  </si>
  <si>
    <t>F-150</t>
  </si>
  <si>
    <t>Eligibility unknown as battery range has not been researched</t>
  </si>
  <si>
    <t>POINT (-122.70303 45.70954)</t>
  </si>
  <si>
    <t>53011040904</t>
  </si>
  <si>
    <t>1FT6W1EV3P</t>
  </si>
  <si>
    <t>1FT6W1EV5N</t>
  </si>
  <si>
    <t>Coupeville</t>
  </si>
  <si>
    <t>POINT (-122.68558 48.21857)</t>
  </si>
  <si>
    <t>53029971301</t>
  </si>
  <si>
    <t>1FT6W1EV6P</t>
  </si>
  <si>
    <t>Tacoma</t>
  </si>
  <si>
    <t>27</t>
  </si>
  <si>
    <t>POINT (-122.39471 47.28159)</t>
  </si>
  <si>
    <t>BONNEVILLE POWER ADMINISTRATION||CITY OF TACOMA - (WA)||PENINSULA LIGHT COMPANY</t>
  </si>
  <si>
    <t>53053940001</t>
  </si>
  <si>
    <t>1FT6W5L70S</t>
  </si>
  <si>
    <t>Walla Walla</t>
  </si>
  <si>
    <t>16</t>
  </si>
  <si>
    <t>POINT (-118.34261 46.07068)</t>
  </si>
  <si>
    <t>53071920801</t>
  </si>
  <si>
    <t>1FT6W5L74R</t>
  </si>
  <si>
    <t>Burien</t>
  </si>
  <si>
    <t>34</t>
  </si>
  <si>
    <t>POINT (-122.34134 47.46593)</t>
  </si>
  <si>
    <t>53033027902</t>
  </si>
  <si>
    <t>1FT6W7L70R</t>
  </si>
  <si>
    <t>14</t>
  </si>
  <si>
    <t>POINT (-120.47777 46.55666)</t>
  </si>
  <si>
    <t>53077002803</t>
  </si>
  <si>
    <t>1FTBW3XK0P</t>
  </si>
  <si>
    <t>TRANSIT</t>
  </si>
  <si>
    <t>POINT (-122.40527 47.2556)</t>
  </si>
  <si>
    <t>53053060200</t>
  </si>
  <si>
    <t>1FTBW3XK5P</t>
  </si>
  <si>
    <t>Spokane</t>
  </si>
  <si>
    <t>6</t>
  </si>
  <si>
    <t>POINT (-117.45005 47.7333)</t>
  </si>
  <si>
    <t>BONNEVILLE POWER ADMINISTRATION||AVISTA CORP||INLAND POWER &amp; LIGHT COMPANY</t>
  </si>
  <si>
    <t>53063010901</t>
  </si>
  <si>
    <t>1FTVW1EL6P</t>
  </si>
  <si>
    <t>POINT (-122.92333 47.03779)</t>
  </si>
  <si>
    <t>53067010600</t>
  </si>
  <si>
    <t>1FTVW1ELXN</t>
  </si>
  <si>
    <t>1FTVW1EV8P</t>
  </si>
  <si>
    <t>53033030310</t>
  </si>
  <si>
    <t>1FTVW1EVXP</t>
  </si>
  <si>
    <t>53035090502</t>
  </si>
  <si>
    <t>1FTVW3LK3R</t>
  </si>
  <si>
    <t>53061051922</t>
  </si>
  <si>
    <t>1G1FW6S01H</t>
  </si>
  <si>
    <t>Wenatchee</t>
  </si>
  <si>
    <t>CHEVROLET</t>
  </si>
  <si>
    <t>BOLT EV</t>
  </si>
  <si>
    <t>238</t>
  </si>
  <si>
    <t>POINT (-120.30521 47.41493)</t>
  </si>
  <si>
    <t>53007961301</t>
  </si>
  <si>
    <t>BONNEVILLE POWER ADMINISTRATION||PACIFICORP||PUD NO 1 OF CLARK COUNTY - (WA)</t>
  </si>
  <si>
    <t>53011041500</t>
  </si>
  <si>
    <t>1G1FW6S01P</t>
  </si>
  <si>
    <t>Yelm</t>
  </si>
  <si>
    <t>2</t>
  </si>
  <si>
    <t>POINT (-122.60735 46.94239)</t>
  </si>
  <si>
    <t>53067012422</t>
  </si>
  <si>
    <t>1G1FW6S02N</t>
  </si>
  <si>
    <t>53067010100</t>
  </si>
  <si>
    <t>Mason</t>
  </si>
  <si>
    <t>Shelton</t>
  </si>
  <si>
    <t>POINT (-123.10565 47.21248)</t>
  </si>
  <si>
    <t>BONNEVILLE POWER ADMINISTRATION||CITY OF TACOMA - (WA)||PUD NO 3 OF MASON COUNTY</t>
  </si>
  <si>
    <t>53045961000</t>
  </si>
  <si>
    <t>1G1FW6S09H</t>
  </si>
  <si>
    <t>1G1FX6S00H</t>
  </si>
  <si>
    <t>53033032102</t>
  </si>
  <si>
    <t>1G1FX6S00J</t>
  </si>
  <si>
    <t>2018</t>
  </si>
  <si>
    <t>53061050501</t>
  </si>
  <si>
    <t>1G1FX6S00P</t>
  </si>
  <si>
    <t>Kingston</t>
  </si>
  <si>
    <t>POINT (-122.4977 47.79802)</t>
  </si>
  <si>
    <t>53035090102</t>
  </si>
  <si>
    <t>1G1FX6S03H</t>
  </si>
  <si>
    <t>53033022006</t>
  </si>
  <si>
    <t>1G1FX6S05J</t>
  </si>
  <si>
    <t>POINT (-122.40092 47.65908)</t>
  </si>
  <si>
    <t>53033005700</t>
  </si>
  <si>
    <t>1G1FX6S06H</t>
  </si>
  <si>
    <t>Everett</t>
  </si>
  <si>
    <t>POINT (-122.18637 47.89251)</t>
  </si>
  <si>
    <t>53061052119</t>
  </si>
  <si>
    <t>1G1FX6S07H</t>
  </si>
  <si>
    <t>Clinton</t>
  </si>
  <si>
    <t>POINT (-122.35803 47.9796)</t>
  </si>
  <si>
    <t>53029972100</t>
  </si>
  <si>
    <t>1G1FX6S07J</t>
  </si>
  <si>
    <t>3</t>
  </si>
  <si>
    <t>POINT (-117.39322 47.63374)</t>
  </si>
  <si>
    <t>MODERN ELECTRIC WATER COMPANY</t>
  </si>
  <si>
    <t>53063004100</t>
  </si>
  <si>
    <t>1G1FX6S08P</t>
  </si>
  <si>
    <t>Tukwila</t>
  </si>
  <si>
    <t>POINT (-122.3317 47.50314)</t>
  </si>
  <si>
    <t>53033027200</t>
  </si>
  <si>
    <t>1G1FY6S00L</t>
  </si>
  <si>
    <t>Mercer Island</t>
  </si>
  <si>
    <t>2020</t>
  </si>
  <si>
    <t>259</t>
  </si>
  <si>
    <t>41</t>
  </si>
  <si>
    <t>POINT (-122.21238 47.57816)</t>
  </si>
  <si>
    <t>53033024400</t>
  </si>
  <si>
    <t>1G1FY6S01K</t>
  </si>
  <si>
    <t>Bow</t>
  </si>
  <si>
    <t>2019</t>
  </si>
  <si>
    <t>40</t>
  </si>
  <si>
    <t>POINT (-122.397 48.56045)</t>
  </si>
  <si>
    <t>53057950802</t>
  </si>
  <si>
    <t>1G1FY6S01L</t>
  </si>
  <si>
    <t>53033005600</t>
  </si>
  <si>
    <t>1G1FY6S01P</t>
  </si>
  <si>
    <t>BOLT EUV</t>
  </si>
  <si>
    <t>POINT (-122.64695 45.65675)</t>
  </si>
  <si>
    <t>53011042500</t>
  </si>
  <si>
    <t>1G1FY6S02L</t>
  </si>
  <si>
    <t>53011040908</t>
  </si>
  <si>
    <t>1G1FY6S03L</t>
  </si>
  <si>
    <t>POINT (-120.51904 46.59783)</t>
  </si>
  <si>
    <t>53077001202</t>
  </si>
  <si>
    <t>1G1FY6S04K</t>
  </si>
  <si>
    <t>53067010910</t>
  </si>
  <si>
    <t>1G1FY6S06M</t>
  </si>
  <si>
    <t>La Conner</t>
  </si>
  <si>
    <t>POINT (-122.49724 48.38874)</t>
  </si>
  <si>
    <t>53057940801</t>
  </si>
  <si>
    <t>1G1FY6S06N</t>
  </si>
  <si>
    <t>Vashon</t>
  </si>
  <si>
    <t>POINT (-122.4573 47.44929)</t>
  </si>
  <si>
    <t>53033027701</t>
  </si>
  <si>
    <t>1G1FY6S07M</t>
  </si>
  <si>
    <t>53033000900</t>
  </si>
  <si>
    <t>1G1FY6S07N</t>
  </si>
  <si>
    <t>43</t>
  </si>
  <si>
    <t>POINT (-122.35022 47.63824)</t>
  </si>
  <si>
    <t>53033007301</t>
  </si>
  <si>
    <t>1G1FY6S07P</t>
  </si>
  <si>
    <t>POINT (-122.36893 47.54701)</t>
  </si>
  <si>
    <t>53033011500</t>
  </si>
  <si>
    <t>1G1FY6S08L</t>
  </si>
  <si>
    <t>San Juan</t>
  </si>
  <si>
    <t>Eastsound</t>
  </si>
  <si>
    <t>POINT (-122.91109 48.69389)</t>
  </si>
  <si>
    <t>BONNEVILLE POWER ADMINISTRATION||ORCAS POWER &amp; LIGHT COOP</t>
  </si>
  <si>
    <t>53055960103</t>
  </si>
  <si>
    <t>POINT (-122.1621 47.64441)</t>
  </si>
  <si>
    <t>53033023601</t>
  </si>
  <si>
    <t>1G1FY6S09L</t>
  </si>
  <si>
    <t>Sammamish</t>
  </si>
  <si>
    <t>POINT (-122.03539 47.61344)</t>
  </si>
  <si>
    <t>53033032207</t>
  </si>
  <si>
    <t>1G1FY6S09P</t>
  </si>
  <si>
    <t>POINT (-122.31307 47.66127)</t>
  </si>
  <si>
    <t>53033004500</t>
  </si>
  <si>
    <t>1G1FY6S0XK</t>
  </si>
  <si>
    <t>POINT (-122.3303 47.30151)</t>
  </si>
  <si>
    <t>1G1FZ6S02L</t>
  </si>
  <si>
    <t>53061052605</t>
  </si>
  <si>
    <t>1G1FZ6S03K</t>
  </si>
  <si>
    <t>53011041003</t>
  </si>
  <si>
    <t>1G1FZ6S03M</t>
  </si>
  <si>
    <t>North Bend</t>
  </si>
  <si>
    <t>POINT (-121.7831 47.49348)</t>
  </si>
  <si>
    <t>CITY OF TACOMA - (WA)||TANNER ELECTRIC COOP</t>
  </si>
  <si>
    <t>53033032800</t>
  </si>
  <si>
    <t>1G1FZ6S04K</t>
  </si>
  <si>
    <t>Friday Harbor</t>
  </si>
  <si>
    <t>POINT (-123.01648 48.53448)</t>
  </si>
  <si>
    <t>53055960302</t>
  </si>
  <si>
    <t>1G1FZ6S05L</t>
  </si>
  <si>
    <t>53035091002</t>
  </si>
  <si>
    <t>POINT (-122.23035 47.3074)</t>
  </si>
  <si>
    <t>53033029805</t>
  </si>
  <si>
    <t>1G1FZ6S06L</t>
  </si>
  <si>
    <t>Lakewood</t>
  </si>
  <si>
    <t>28</t>
  </si>
  <si>
    <t>POINT (-122.54764 47.17669)</t>
  </si>
  <si>
    <t>53053072108</t>
  </si>
  <si>
    <t>Okanogan</t>
  </si>
  <si>
    <t>Twisp</t>
  </si>
  <si>
    <t>POINT (-120.1231 48.3652)</t>
  </si>
  <si>
    <t>OKANOGAN COUNTY ELEC COOP, INC</t>
  </si>
  <si>
    <t>53047971000</t>
  </si>
  <si>
    <t>1G1FZ6S07L</t>
  </si>
  <si>
    <t>POINT (-122.87741 47.05997)</t>
  </si>
  <si>
    <t>53067010300</t>
  </si>
  <si>
    <t>1G1FZ6S07N</t>
  </si>
  <si>
    <t>53033022204</t>
  </si>
  <si>
    <t>1G1FZ6S08K</t>
  </si>
  <si>
    <t>Snoqualmie</t>
  </si>
  <si>
    <t>POINT (-121.82432 47.52716)</t>
  </si>
  <si>
    <t>53033032604</t>
  </si>
  <si>
    <t>1G1FZ6S0XK</t>
  </si>
  <si>
    <t>POINT (-122.27981 47.85727)</t>
  </si>
  <si>
    <t>53061042004</t>
  </si>
  <si>
    <t>1G1FZ6S0XN</t>
  </si>
  <si>
    <t>Anacortes</t>
  </si>
  <si>
    <t>POINT (-122.61216 48.51749)</t>
  </si>
  <si>
    <t>53057940403</t>
  </si>
  <si>
    <t>1G1FZ6S0XP</t>
  </si>
  <si>
    <t>POINT (-122.20563 47.76144)</t>
  </si>
  <si>
    <t>53033021804</t>
  </si>
  <si>
    <t>1G1RA6E48E</t>
  </si>
  <si>
    <t>Jefferson</t>
  </si>
  <si>
    <t>Port Hadlock</t>
  </si>
  <si>
    <t>VOLT</t>
  </si>
  <si>
    <t>24</t>
  </si>
  <si>
    <t>POINT (-122.75878 48.03591)</t>
  </si>
  <si>
    <t>BONNEVILLE POWER ADMINISTRATION||PUGET SOUND ENERGY INC||PUD NO 1 OF JEFFERSON COUNTY</t>
  </si>
  <si>
    <t>53031950302</t>
  </si>
  <si>
    <t>1G1RA6S53J</t>
  </si>
  <si>
    <t>53</t>
  </si>
  <si>
    <t>53035090101</t>
  </si>
  <si>
    <t>1G1RA6S54H</t>
  </si>
  <si>
    <t>Des Moines</t>
  </si>
  <si>
    <t>POINT (-122.3219 47.40173)</t>
  </si>
  <si>
    <t>53033030003</t>
  </si>
  <si>
    <t>1G1RA6S59H</t>
  </si>
  <si>
    <t>53061052007</t>
  </si>
  <si>
    <t>1G1RB6E46F</t>
  </si>
  <si>
    <t>POINT (-122.2668 47.55115)</t>
  </si>
  <si>
    <t>53033011700</t>
  </si>
  <si>
    <t>1G1RB6E48F</t>
  </si>
  <si>
    <t>POINT (-117.3973 47.67573)</t>
  </si>
  <si>
    <t>53063001400</t>
  </si>
  <si>
    <t>1G1RB6S53J</t>
  </si>
  <si>
    <t>53053940002</t>
  </si>
  <si>
    <t>1G1RB6S54J</t>
  </si>
  <si>
    <t>53061050403</t>
  </si>
  <si>
    <t>1G1RB6S55H</t>
  </si>
  <si>
    <t>1G1RB6S56J</t>
  </si>
  <si>
    <t>53033023807</t>
  </si>
  <si>
    <t>1G1RB6S57J</t>
  </si>
  <si>
    <t>53035092200</t>
  </si>
  <si>
    <t>POINT (-122.11867 47.63131)</t>
  </si>
  <si>
    <t>53033023000</t>
  </si>
  <si>
    <t>1G1RB6S58J</t>
  </si>
  <si>
    <t>POINT (-122.18497 47.28825)</t>
  </si>
  <si>
    <t>53033031204</t>
  </si>
  <si>
    <t>1G1RC6E42D</t>
  </si>
  <si>
    <t>POINT (-122.36178 47.49408)</t>
  </si>
  <si>
    <t>53033026700</t>
  </si>
  <si>
    <t>1G1RC6E45F</t>
  </si>
  <si>
    <t>53063004200</t>
  </si>
  <si>
    <t>1G1RC6S52H</t>
  </si>
  <si>
    <t>College Place</t>
  </si>
  <si>
    <t>POINT (-118.38864 46.03456)</t>
  </si>
  <si>
    <t>53071920301</t>
  </si>
  <si>
    <t>Clallam</t>
  </si>
  <si>
    <t>Sequim</t>
  </si>
  <si>
    <t>POINT (-123.10367 48.07965)</t>
  </si>
  <si>
    <t>BONNEVILLE POWER ADMINISTRATION||PUD NO 1 OF CLALLAM COUNTY</t>
  </si>
  <si>
    <t>53009002002</t>
  </si>
  <si>
    <t>1G1RC6S54G</t>
  </si>
  <si>
    <t>1G1RC6S54H</t>
  </si>
  <si>
    <t>POINT (-122.31009 47.60803)</t>
  </si>
  <si>
    <t>53033007700</t>
  </si>
  <si>
    <t>1G1RC6S55H</t>
  </si>
  <si>
    <t>Silverdale</t>
  </si>
  <si>
    <t>POINT (-122.69275 47.65171)</t>
  </si>
  <si>
    <t>53035091205</t>
  </si>
  <si>
    <t>1G1RC6S56H</t>
  </si>
  <si>
    <t>1G1RC6S5XH</t>
  </si>
  <si>
    <t>Lacey</t>
  </si>
  <si>
    <t>POINT (-122.82324 47.04437)</t>
  </si>
  <si>
    <t>53067011300</t>
  </si>
  <si>
    <t>1G1RD6E43D</t>
  </si>
  <si>
    <t>53067011902</t>
  </si>
  <si>
    <t>1G1RD6E46C</t>
  </si>
  <si>
    <t>Klickitat</t>
  </si>
  <si>
    <t>White Salmon</t>
  </si>
  <si>
    <t>2012</t>
  </si>
  <si>
    <t>POINT (-121.48704 45.72776)</t>
  </si>
  <si>
    <t>BONNEVILLE POWER ADMINISTRATION||PUD NO 1 OF KLICKITAT COUNTY</t>
  </si>
  <si>
    <t>53039950301</t>
  </si>
  <si>
    <t>1G1RD6E47C</t>
  </si>
  <si>
    <t>1G1RD6E49D</t>
  </si>
  <si>
    <t>1G1RD6E4XC</t>
  </si>
  <si>
    <t>Spanaway</t>
  </si>
  <si>
    <t>29</t>
  </si>
  <si>
    <t>POINT (-122.41046 47.06512)</t>
  </si>
  <si>
    <t>BONNEVILLE POWER ADMINISTRATION||CITY OF TACOMA - (WA)||ELMHURST MUTUAL POWER &amp; LIGHT CO|PENINSULA LIGHT COMPANY</t>
  </si>
  <si>
    <t>53053071403</t>
  </si>
  <si>
    <t>1G1RD6S50H</t>
  </si>
  <si>
    <t>POINT (-122.16335 47.53505)</t>
  </si>
  <si>
    <t>53033025602</t>
  </si>
  <si>
    <t>1G1RD6S55H</t>
  </si>
  <si>
    <t>Olalla</t>
  </si>
  <si>
    <t>POINT (-122.54729 47.42602)</t>
  </si>
  <si>
    <t>53035092802</t>
  </si>
  <si>
    <t>POINT (-122.2044 47.52136)</t>
  </si>
  <si>
    <t>53033025401</t>
  </si>
  <si>
    <t>1G1RE6E47C</t>
  </si>
  <si>
    <t>POINT (-120.60199 46.59817)</t>
  </si>
  <si>
    <t>53077003002</t>
  </si>
  <si>
    <t>1GT10DDB4S</t>
  </si>
  <si>
    <t>GMC</t>
  </si>
  <si>
    <t>HUMMER EV PICKUP</t>
  </si>
  <si>
    <t>53063000800</t>
  </si>
  <si>
    <t>1GYKPMRL4R</t>
  </si>
  <si>
    <t>CADILLAC</t>
  </si>
  <si>
    <t>LYRIQ</t>
  </si>
  <si>
    <t>1GYKPSRL1R</t>
  </si>
  <si>
    <t>53033024002</t>
  </si>
  <si>
    <t>1GYKPSRL6R</t>
  </si>
  <si>
    <t>53011041203</t>
  </si>
  <si>
    <t>1N4AZ0CP0F</t>
  </si>
  <si>
    <t>NISSAN</t>
  </si>
  <si>
    <t>LEAF</t>
  </si>
  <si>
    <t>84</t>
  </si>
  <si>
    <t>53033000700</t>
  </si>
  <si>
    <t>1N4AZ0CP1D</t>
  </si>
  <si>
    <t>75</t>
  </si>
  <si>
    <t>POINT (-122.3175 47.75781)</t>
  </si>
  <si>
    <t>53033020500</t>
  </si>
  <si>
    <t>53025011001</t>
  </si>
  <si>
    <t>1N4AZ0CP1E</t>
  </si>
  <si>
    <t>Newcastle</t>
  </si>
  <si>
    <t>53033025005</t>
  </si>
  <si>
    <t>POINT (-122.38418 47.70044)</t>
  </si>
  <si>
    <t>53033003202</t>
  </si>
  <si>
    <t>1N4AZ0CP1F</t>
  </si>
  <si>
    <t>53057951900</t>
  </si>
  <si>
    <t>1N4AZ0CP2D</t>
  </si>
  <si>
    <t>POINT (-122.35436 47.67596)</t>
  </si>
  <si>
    <t>53033004800</t>
  </si>
  <si>
    <t>53033007101</t>
  </si>
  <si>
    <t>1N4AZ0CP2E</t>
  </si>
  <si>
    <t>53035091001</t>
  </si>
  <si>
    <t>1N4AZ0CP2F</t>
  </si>
  <si>
    <t>53033021803</t>
  </si>
  <si>
    <t>Gig Harbor</t>
  </si>
  <si>
    <t>POINT (-122.6658 47.38336)</t>
  </si>
  <si>
    <t>53053072503</t>
  </si>
  <si>
    <t>1N4AZ0CP3E</t>
  </si>
  <si>
    <t>53035092801</t>
  </si>
  <si>
    <t>1N4AZ0CP3F</t>
  </si>
  <si>
    <t>POINT (-122.31768 47.87166)</t>
  </si>
  <si>
    <t>53061050900</t>
  </si>
  <si>
    <t>1N4AZ0CP3G</t>
  </si>
  <si>
    <t>53033023202</t>
  </si>
  <si>
    <t>1N4AZ0CP4D</t>
  </si>
  <si>
    <t>Sedro-Woolley</t>
  </si>
  <si>
    <t>POINT (-122.23857 48.50858)</t>
  </si>
  <si>
    <t>53057951600</t>
  </si>
  <si>
    <t>53061051929</t>
  </si>
  <si>
    <t>53033022005</t>
  </si>
  <si>
    <t>POINT (-122.3684 47.64586)</t>
  </si>
  <si>
    <t>53033005901</t>
  </si>
  <si>
    <t>1N4AZ0CP4F</t>
  </si>
  <si>
    <t>1N4AZ0CP5D</t>
  </si>
  <si>
    <t>53061041813</t>
  </si>
  <si>
    <t>53061041701</t>
  </si>
  <si>
    <t>1N4AZ0CP5E</t>
  </si>
  <si>
    <t>POINT (-122.81754 46.98876)</t>
  </si>
  <si>
    <t>53067012332</t>
  </si>
  <si>
    <t>1N4AZ0CP5F</t>
  </si>
  <si>
    <t>53061051804</t>
  </si>
  <si>
    <t>53067012420</t>
  </si>
  <si>
    <t>1N4AZ0CP6D</t>
  </si>
  <si>
    <t>53033032605</t>
  </si>
  <si>
    <t>1N4AZ0CP6E</t>
  </si>
  <si>
    <t>Seabeck</t>
  </si>
  <si>
    <t>POINT (-122.81585 47.64509)</t>
  </si>
  <si>
    <t>53035091301</t>
  </si>
  <si>
    <t>1N4AZ0CP6F</t>
  </si>
  <si>
    <t>Redmond</t>
  </si>
  <si>
    <t>POINT (-122.13158 47.67858)</t>
  </si>
  <si>
    <t>53033032331</t>
  </si>
  <si>
    <t>1N4AZ0CP6G</t>
  </si>
  <si>
    <t>South Hill</t>
  </si>
  <si>
    <t>POINT (-122.2988 47.13795)</t>
  </si>
  <si>
    <t>53053071310</t>
  </si>
  <si>
    <t>1N4AZ0CP7D</t>
  </si>
  <si>
    <t>53033010301</t>
  </si>
  <si>
    <t>1N4AZ0CP7E</t>
  </si>
  <si>
    <t>53067012412</t>
  </si>
  <si>
    <t>1N4AZ0CP7F</t>
  </si>
  <si>
    <t>53033001500</t>
  </si>
  <si>
    <t>53011041332</t>
  </si>
  <si>
    <t>1N4AZ0CP8D</t>
  </si>
  <si>
    <t>53033022902</t>
  </si>
  <si>
    <t>53033001300</t>
  </si>
  <si>
    <t>1N4AZ0CP8F</t>
  </si>
  <si>
    <t>1N4AZ0CP9D</t>
  </si>
  <si>
    <t>Whatcom</t>
  </si>
  <si>
    <t>Bellingham</t>
  </si>
  <si>
    <t>42</t>
  </si>
  <si>
    <t>POINT (-122.49756 48.7999)</t>
  </si>
  <si>
    <t>PUGET SOUND ENERGY INC||PUD NO 1 OF WHATCOM COUNTY</t>
  </si>
  <si>
    <t>53073000803</t>
  </si>
  <si>
    <t>1N4AZ0CP9F</t>
  </si>
  <si>
    <t>1N4AZ0CPXE</t>
  </si>
  <si>
    <t>53077000800</t>
  </si>
  <si>
    <t>53033001000</t>
  </si>
  <si>
    <t>1N4AZ0CPXF</t>
  </si>
  <si>
    <t>1N4AZ1BV0S</t>
  </si>
  <si>
    <t>53033021905</t>
  </si>
  <si>
    <t>1N4AZ1BV2R</t>
  </si>
  <si>
    <t>1N4AZ1BV2S</t>
  </si>
  <si>
    <t>POINT (-122.59219 45.62158)</t>
  </si>
  <si>
    <t>53011041208</t>
  </si>
  <si>
    <t>1N4AZ1BV4P</t>
  </si>
  <si>
    <t>53067010920</t>
  </si>
  <si>
    <t>1N4AZ1BVXS</t>
  </si>
  <si>
    <t>Maple Valley</t>
  </si>
  <si>
    <t>POINT (-122.04526 47.39394)</t>
  </si>
  <si>
    <t>53033032008</t>
  </si>
  <si>
    <t>1N4AZ1CP0J</t>
  </si>
  <si>
    <t>151</t>
  </si>
  <si>
    <t>53033021000</t>
  </si>
  <si>
    <t>53033032215</t>
  </si>
  <si>
    <t>1N4AZ1CP0K</t>
  </si>
  <si>
    <t>150</t>
  </si>
  <si>
    <t>53067011721</t>
  </si>
  <si>
    <t>1N4AZ1CP1J</t>
  </si>
  <si>
    <t>53033000602</t>
  </si>
  <si>
    <t>1N4AZ1CP2J</t>
  </si>
  <si>
    <t>53033022803</t>
  </si>
  <si>
    <t>53033011801</t>
  </si>
  <si>
    <t>53033026802</t>
  </si>
  <si>
    <t>53033021903</t>
  </si>
  <si>
    <t>1N4AZ1CP2K</t>
  </si>
  <si>
    <t>1N4AZ1CP3J</t>
  </si>
  <si>
    <t>Suquamish</t>
  </si>
  <si>
    <t>POINT (-122.55242 47.73162)</t>
  </si>
  <si>
    <t>53035940100</t>
  </si>
  <si>
    <t>POINT (-117.45674 47.69963)</t>
  </si>
  <si>
    <t>53063001000</t>
  </si>
  <si>
    <t>1N4AZ1CP4K</t>
  </si>
  <si>
    <t>53033021904</t>
  </si>
  <si>
    <t>1N4AZ1CP4L</t>
  </si>
  <si>
    <t>149</t>
  </si>
  <si>
    <t>POINT (-122.30207 47.64085)</t>
  </si>
  <si>
    <t>53033006100</t>
  </si>
  <si>
    <t>1N4AZ1CP6K</t>
  </si>
  <si>
    <t>53033022300</t>
  </si>
  <si>
    <t>53033030305</t>
  </si>
  <si>
    <t>1N4AZ1CP6L</t>
  </si>
  <si>
    <t>53033023404</t>
  </si>
  <si>
    <t>POINT (-122.61273 47.57428)</t>
  </si>
  <si>
    <t>53035080400</t>
  </si>
  <si>
    <t>1N4AZ1CP7J</t>
  </si>
  <si>
    <t>POINT (-122.78158 47.05335)</t>
  </si>
  <si>
    <t>53067012221</t>
  </si>
  <si>
    <t>1N4AZ1CP7K</t>
  </si>
  <si>
    <t>Bonney Lake</t>
  </si>
  <si>
    <t>53053070309</t>
  </si>
  <si>
    <t>1N4AZ1CP8K</t>
  </si>
  <si>
    <t>1N4AZ1CPXJ</t>
  </si>
  <si>
    <t>POINT (-122.12056 47.61334)</t>
  </si>
  <si>
    <t>53033023603</t>
  </si>
  <si>
    <t>1N4AZ1CV2N</t>
  </si>
  <si>
    <t>1N4AZ1CV3N</t>
  </si>
  <si>
    <t>53033032705</t>
  </si>
  <si>
    <t>53033029902</t>
  </si>
  <si>
    <t>1N4AZ1CV4M</t>
  </si>
  <si>
    <t>POINT (-122.62934 45.63201)</t>
  </si>
  <si>
    <t>53011041600</t>
  </si>
  <si>
    <t>1N4AZ1CV8N</t>
  </si>
  <si>
    <t>53061051601</t>
  </si>
  <si>
    <t>1N4AZ1CVXN</t>
  </si>
  <si>
    <t>1N4BZ0CP0H</t>
  </si>
  <si>
    <t>107</t>
  </si>
  <si>
    <t>53007961304</t>
  </si>
  <si>
    <t>53057940500</t>
  </si>
  <si>
    <t>1N4BZ0CP1G</t>
  </si>
  <si>
    <t>Concrete</t>
  </si>
  <si>
    <t>POINT (-121.7515 48.53892)</t>
  </si>
  <si>
    <t>53057951102</t>
  </si>
  <si>
    <t>POINT (-117.36043 47.63396)</t>
  </si>
  <si>
    <t>53063013401</t>
  </si>
  <si>
    <t>Freeland</t>
  </si>
  <si>
    <t>POINT (-122.52664 48.00956)</t>
  </si>
  <si>
    <t>53029971900</t>
  </si>
  <si>
    <t>1N4BZ0CP3H</t>
  </si>
  <si>
    <t>53033006400</t>
  </si>
  <si>
    <t>1N4BZ0CP4G</t>
  </si>
  <si>
    <t>POINT (-122.02054 47.60326)</t>
  </si>
  <si>
    <t>53033032217</t>
  </si>
  <si>
    <t>1N4BZ0CP5H</t>
  </si>
  <si>
    <t>Mukilteo</t>
  </si>
  <si>
    <t>POINT (-122.29196 47.89908)</t>
  </si>
  <si>
    <t>53061042001</t>
  </si>
  <si>
    <t>1N4BZ0CP7H</t>
  </si>
  <si>
    <t>53035090902</t>
  </si>
  <si>
    <t>1N4BZ0CP8H</t>
  </si>
  <si>
    <t>53067011901</t>
  </si>
  <si>
    <t>53033023300</t>
  </si>
  <si>
    <t>1N4BZ0CP9G</t>
  </si>
  <si>
    <t>53035092704</t>
  </si>
  <si>
    <t>1N4BZ0CP9H</t>
  </si>
  <si>
    <t>POINT (-122.00292 47.54748)</t>
  </si>
  <si>
    <t>53033032220</t>
  </si>
  <si>
    <t>1N4BZ1BV1N</t>
  </si>
  <si>
    <t>53033000500</t>
  </si>
  <si>
    <t>1N4BZ1BV3N</t>
  </si>
  <si>
    <t>Ridgefield</t>
  </si>
  <si>
    <t>POINT (-122.74595 45.81539)</t>
  </si>
  <si>
    <t>53011040905</t>
  </si>
  <si>
    <t>1N4BZ1BV6N</t>
  </si>
  <si>
    <t>Benton</t>
  </si>
  <si>
    <t>Richland</t>
  </si>
  <si>
    <t>8</t>
  </si>
  <si>
    <t>POINT (-119.26844 46.31484)</t>
  </si>
  <si>
    <t>BONNEVILLE POWER ADMINISTRATION||CITY OF RICHLAND - (WA)</t>
  </si>
  <si>
    <t>53005010500</t>
  </si>
  <si>
    <t>1N4BZ1BVXN</t>
  </si>
  <si>
    <t>53061052107</t>
  </si>
  <si>
    <t>1N4BZ1CP3K</t>
  </si>
  <si>
    <t>53061042003</t>
  </si>
  <si>
    <t>1N4BZ1CP3L</t>
  </si>
  <si>
    <t>215</t>
  </si>
  <si>
    <t>1N4BZ1CP7L</t>
  </si>
  <si>
    <t>1N4BZ1CP8L</t>
  </si>
  <si>
    <t>1N4BZ1CP9K</t>
  </si>
  <si>
    <t>53061051402</t>
  </si>
  <si>
    <t>1N4BZ1CV1N</t>
  </si>
  <si>
    <t>53033004101</t>
  </si>
  <si>
    <t>1N4BZ1DP1L</t>
  </si>
  <si>
    <t>Port Angeles</t>
  </si>
  <si>
    <t>POINT (-123.43112 48.11892)</t>
  </si>
  <si>
    <t>53009001300</t>
  </si>
  <si>
    <t>53029970800</t>
  </si>
  <si>
    <t>1N4BZ1DV1N</t>
  </si>
  <si>
    <t>POINT (-122.31676 47.68156)</t>
  </si>
  <si>
    <t>53033002100</t>
  </si>
  <si>
    <t>1N4CZ1CV1S</t>
  </si>
  <si>
    <t>53061041609</t>
  </si>
  <si>
    <t>1N4CZ1CV3S</t>
  </si>
  <si>
    <t>53073010702</t>
  </si>
  <si>
    <t>1N4CZ1CV4P</t>
  </si>
  <si>
    <t>53067011625</t>
  </si>
  <si>
    <t>Battle Ground</t>
  </si>
  <si>
    <t>POINT (-122.5331 45.78092)</t>
  </si>
  <si>
    <t>53011040414</t>
  </si>
  <si>
    <t>1N4CZ1CV5S</t>
  </si>
  <si>
    <t>1N4CZ1CV8S</t>
  </si>
  <si>
    <t>1N4CZ1CV9P</t>
  </si>
  <si>
    <t>Grays Harbor</t>
  </si>
  <si>
    <t>Elma</t>
  </si>
  <si>
    <t>POINT (-123.40382 47.00379)</t>
  </si>
  <si>
    <t>BONNEVILLE POWER ADMINISTRATION||PUD NO 1 OF GRAYS HARBOR COUNTY</t>
  </si>
  <si>
    <t>53027000600</t>
  </si>
  <si>
    <t>1N4CZ1CV9R</t>
  </si>
  <si>
    <t>53033031906</t>
  </si>
  <si>
    <t>1N4CZ1CVXS</t>
  </si>
  <si>
    <t>POINT (-122.45486 48.7449)</t>
  </si>
  <si>
    <t>53073001202</t>
  </si>
  <si>
    <t>1V25MPE83R</t>
  </si>
  <si>
    <t>VOLKSWAGEN</t>
  </si>
  <si>
    <t>ID.4</t>
  </si>
  <si>
    <t>53033000402</t>
  </si>
  <si>
    <t>1V25MPE86R</t>
  </si>
  <si>
    <t>1V2CMPE89P</t>
  </si>
  <si>
    <t>53033001202</t>
  </si>
  <si>
    <t>1V2DNPE80P</t>
  </si>
  <si>
    <t>POINT (-119.27372 46.27391)</t>
  </si>
  <si>
    <t>53005010817</t>
  </si>
  <si>
    <t>1V2DNPE82P</t>
  </si>
  <si>
    <t>Colville</t>
  </si>
  <si>
    <t>POINT (-117.90454 48.54657)</t>
  </si>
  <si>
    <t>53065950600</t>
  </si>
  <si>
    <t>1V2DNPE8XP</t>
  </si>
  <si>
    <t>POINT (-122.30866 47.57874)</t>
  </si>
  <si>
    <t>53033010002</t>
  </si>
  <si>
    <t>POINT (-122.38591 47.67597)</t>
  </si>
  <si>
    <t>1V2DSPE88S</t>
  </si>
  <si>
    <t>53033010701</t>
  </si>
  <si>
    <t>1V2GNPE82P</t>
  </si>
  <si>
    <t>Kittitas</t>
  </si>
  <si>
    <t>Ellensburg</t>
  </si>
  <si>
    <t>POINT (-120.54872 46.99703)</t>
  </si>
  <si>
    <t>53037975202</t>
  </si>
  <si>
    <t>1V2GNPE84P</t>
  </si>
  <si>
    <t>53061052105</t>
  </si>
  <si>
    <t>1V2GNPE85P</t>
  </si>
  <si>
    <t>1V2GNPE88P</t>
  </si>
  <si>
    <t>53061052114</t>
  </si>
  <si>
    <t>1V2GNPE89P</t>
  </si>
  <si>
    <t>Rainier</t>
  </si>
  <si>
    <t>POINT (-122.68993 46.88897)</t>
  </si>
  <si>
    <t>53067012530</t>
  </si>
  <si>
    <t>1V2JNPE89P</t>
  </si>
  <si>
    <t>53033005801</t>
  </si>
  <si>
    <t>1V2VMPE81P</t>
  </si>
  <si>
    <t>POINT (-122.20784 47.46004)</t>
  </si>
  <si>
    <t>53033025805</t>
  </si>
  <si>
    <t>1V2WNPE83P</t>
  </si>
  <si>
    <t>53033032218</t>
  </si>
  <si>
    <t>1V2WNPE88P</t>
  </si>
  <si>
    <t>53033022702</t>
  </si>
  <si>
    <t>1V2WSPE83S</t>
  </si>
  <si>
    <t>53033032320</t>
  </si>
  <si>
    <t>1V2WSPE85R</t>
  </si>
  <si>
    <t>1V2WSPE86R</t>
  </si>
  <si>
    <t>1V2WSPE88R</t>
  </si>
  <si>
    <t>53033003201</t>
  </si>
  <si>
    <t>2C3CDBDK8R</t>
  </si>
  <si>
    <t>DODGE</t>
  </si>
  <si>
    <t>CHARGER</t>
  </si>
  <si>
    <t>53053070313</t>
  </si>
  <si>
    <t>2C4RC1L72P</t>
  </si>
  <si>
    <t>CHRYSLER</t>
  </si>
  <si>
    <t>PACIFICA</t>
  </si>
  <si>
    <t>2C4RC1L73J</t>
  </si>
  <si>
    <t>33</t>
  </si>
  <si>
    <t>2C4RC1L73M</t>
  </si>
  <si>
    <t>2C4RC1L76P</t>
  </si>
  <si>
    <t>2C4RC1N76J</t>
  </si>
  <si>
    <t>53067010200</t>
  </si>
  <si>
    <t>2C4RC1N79P</t>
  </si>
  <si>
    <t>Lake Forest Park</t>
  </si>
  <si>
    <t>53033021400</t>
  </si>
  <si>
    <t>2C4RC1S72M</t>
  </si>
  <si>
    <t>53011040806</t>
  </si>
  <si>
    <t>2C4RC1S72R</t>
  </si>
  <si>
    <t>2C4RC1S73P</t>
  </si>
  <si>
    <t>2C4RC1S73R</t>
  </si>
  <si>
    <t>2C4RC1S76P</t>
  </si>
  <si>
    <t>53033022001</t>
  </si>
  <si>
    <t>2C4RC1S76R</t>
  </si>
  <si>
    <t>2C4RC1S78S</t>
  </si>
  <si>
    <t>2C4RC1S7XR</t>
  </si>
  <si>
    <t>2T3YL4DV5E</t>
  </si>
  <si>
    <t>TOYOTA</t>
  </si>
  <si>
    <t>RAV4</t>
  </si>
  <si>
    <t>103</t>
  </si>
  <si>
    <t>3C3CFFGE0D</t>
  </si>
  <si>
    <t>FIAT</t>
  </si>
  <si>
    <t>500</t>
  </si>
  <si>
    <t>87</t>
  </si>
  <si>
    <t>53061052707</t>
  </si>
  <si>
    <t>3C3CFFGE1E</t>
  </si>
  <si>
    <t>3C3CFFGE1F</t>
  </si>
  <si>
    <t>53033009900</t>
  </si>
  <si>
    <t>3C3CFFGE1G</t>
  </si>
  <si>
    <t>3C3CFFGE2D</t>
  </si>
  <si>
    <t>53033003000</t>
  </si>
  <si>
    <t>3C3CFFGE2F</t>
  </si>
  <si>
    <t>3C3CFFGE2J</t>
  </si>
  <si>
    <t>53061051916</t>
  </si>
  <si>
    <t>3C3CFFGE9D</t>
  </si>
  <si>
    <t>POINT (-117.3797 47.65548)</t>
  </si>
  <si>
    <t>53063002600</t>
  </si>
  <si>
    <t>3C3CFFGE9F</t>
  </si>
  <si>
    <t>3C4RJNAK1S</t>
  </si>
  <si>
    <t>WAGONEER S</t>
  </si>
  <si>
    <t>3C6MRWAZ0R</t>
  </si>
  <si>
    <t>RAM</t>
  </si>
  <si>
    <t>PROMASTER 3500</t>
  </si>
  <si>
    <t>POINT (-122.30346 47.55379)</t>
  </si>
  <si>
    <t>53033010900</t>
  </si>
  <si>
    <t>3FA6P0PU4G</t>
  </si>
  <si>
    <t>Tenino</t>
  </si>
  <si>
    <t>FUSION</t>
  </si>
  <si>
    <t>POINT (-122.85135 46.85752)</t>
  </si>
  <si>
    <t>53067012610</t>
  </si>
  <si>
    <t>3FA6P0PU5D</t>
  </si>
  <si>
    <t>53061041814</t>
  </si>
  <si>
    <t>3FA6P0PU5E</t>
  </si>
  <si>
    <t>3FA6P0PU7H</t>
  </si>
  <si>
    <t>Nine Mile Falls</t>
  </si>
  <si>
    <t>POINT (-117.54392 47.77676)</t>
  </si>
  <si>
    <t>NO KNOWN ELECTRIC UTILITY SERVICE</t>
  </si>
  <si>
    <t>53065951402</t>
  </si>
  <si>
    <t>3FA6P0SU4G</t>
  </si>
  <si>
    <t>53033023201</t>
  </si>
  <si>
    <t>3FA6P0SU4K</t>
  </si>
  <si>
    <t>53061041812</t>
  </si>
  <si>
    <t>3FA6P0SU5F</t>
  </si>
  <si>
    <t>53073000700</t>
  </si>
  <si>
    <t>3FA6P0SU6E</t>
  </si>
  <si>
    <t>53067011410</t>
  </si>
  <si>
    <t>3FA6P0SU9F</t>
  </si>
  <si>
    <t>Duvall</t>
  </si>
  <si>
    <t>POINT (-121.98609 47.74068)</t>
  </si>
  <si>
    <t>53033032402</t>
  </si>
  <si>
    <t>3FMTK1RM6M</t>
  </si>
  <si>
    <t>MUSTANG MACH-E</t>
  </si>
  <si>
    <t>3FMTK1S51R</t>
  </si>
  <si>
    <t>53077000500</t>
  </si>
  <si>
    <t>3FMTK1SS3N</t>
  </si>
  <si>
    <t>53005010100</t>
  </si>
  <si>
    <t>3FMTK1SS4P</t>
  </si>
  <si>
    <t>POINT (-122.52082 47.26887)</t>
  </si>
  <si>
    <t>53053060908</t>
  </si>
  <si>
    <t>3FMTK2SU2P</t>
  </si>
  <si>
    <t>53033007203</t>
  </si>
  <si>
    <t>53033030309</t>
  </si>
  <si>
    <t>3FMTK2SU5N</t>
  </si>
  <si>
    <t>53061051926</t>
  </si>
  <si>
    <t>3FMTK3R42P</t>
  </si>
  <si>
    <t>53033008900</t>
  </si>
  <si>
    <t>3FMTK3R74P</t>
  </si>
  <si>
    <t>53067012226</t>
  </si>
  <si>
    <t>3FMTK3S52S</t>
  </si>
  <si>
    <t>53033032603</t>
  </si>
  <si>
    <t>3FMTK3S54P</t>
  </si>
  <si>
    <t>POINT (-122.03287 47.68555)</t>
  </si>
  <si>
    <t>53033032332</t>
  </si>
  <si>
    <t>3FMTK3S58R</t>
  </si>
  <si>
    <t>POINT (-122.51134 47.29238)</t>
  </si>
  <si>
    <t>53053060904</t>
  </si>
  <si>
    <t>3FMTK3SU2M</t>
  </si>
  <si>
    <t>Yacolt</t>
  </si>
  <si>
    <t>POINT (-122.40908 45.86679)</t>
  </si>
  <si>
    <t>53011040504</t>
  </si>
  <si>
    <t>3FMTK3SU2S</t>
  </si>
  <si>
    <t>3FMTK3SU3P</t>
  </si>
  <si>
    <t>POINT (-122.44718 47.20144)</t>
  </si>
  <si>
    <t>53053062502</t>
  </si>
  <si>
    <t>3FMTK3SU4M</t>
  </si>
  <si>
    <t>3FMTK3SU5R</t>
  </si>
  <si>
    <t>3FMTK3SU8M</t>
  </si>
  <si>
    <t>53035092000</t>
  </si>
  <si>
    <t>3FMTK3SU8N</t>
  </si>
  <si>
    <t>3FMTK3SU9R</t>
  </si>
  <si>
    <t>3FMTK3SU9S</t>
  </si>
  <si>
    <t>3FMTK4SE1P</t>
  </si>
  <si>
    <t>3FMTK4SX0P</t>
  </si>
  <si>
    <t>3FMTK4SX4R</t>
  </si>
  <si>
    <t>POINT (-122.20489 47.47532)</t>
  </si>
  <si>
    <t>53033026200</t>
  </si>
  <si>
    <t>3FMTK4SX5P</t>
  </si>
  <si>
    <t>53033032330</t>
  </si>
  <si>
    <t>3FMTK4SX6P</t>
  </si>
  <si>
    <t>3FMTK4SX6S</t>
  </si>
  <si>
    <t>3FMTK4SX7R</t>
  </si>
  <si>
    <t>53035090700</t>
  </si>
  <si>
    <t>3FMTK4SX8S</t>
  </si>
  <si>
    <t>POINT (-122.41067 47.57894)</t>
  </si>
  <si>
    <t>53033009801</t>
  </si>
  <si>
    <t>3GN7DMRP3S</t>
  </si>
  <si>
    <t>EQUINOX</t>
  </si>
  <si>
    <t>3GN7DNRP9S</t>
  </si>
  <si>
    <t>53053071411</t>
  </si>
  <si>
    <t>3GN7DPRR7R</t>
  </si>
  <si>
    <t>3GNKDCRJ1R</t>
  </si>
  <si>
    <t>BLAZER</t>
  </si>
  <si>
    <t>3GNKDCRJ9R</t>
  </si>
  <si>
    <t>POINT (-122.38415 47.53755)</t>
  </si>
  <si>
    <t>53033011601</t>
  </si>
  <si>
    <t>3GNKDCRJXR</t>
  </si>
  <si>
    <t>53033032323</t>
  </si>
  <si>
    <t>3GPKHVRJ1R</t>
  </si>
  <si>
    <t>Joint Base Lewis Mcchord</t>
  </si>
  <si>
    <t>HONDA</t>
  </si>
  <si>
    <t>PROLOGUE</t>
  </si>
  <si>
    <t>POINT (-122.60761 47.08798)</t>
  </si>
  <si>
    <t>53053072907</t>
  </si>
  <si>
    <t>3GPKHVRJ1S</t>
  </si>
  <si>
    <t>3GPKHXRJ0R</t>
  </si>
  <si>
    <t>Kent</t>
  </si>
  <si>
    <t>POINT (-122.17743 47.41185)</t>
  </si>
  <si>
    <t>53033029403</t>
  </si>
  <si>
    <t>3GPKHXRJ3S</t>
  </si>
  <si>
    <t>53033032318</t>
  </si>
  <si>
    <t>3GPKHZRJ5R</t>
  </si>
  <si>
    <t>3GYK3BMR1S</t>
  </si>
  <si>
    <t>OPTIQ</t>
  </si>
  <si>
    <t>53033023702</t>
  </si>
  <si>
    <t>3MW39FS07R</t>
  </si>
  <si>
    <t>BMW</t>
  </si>
  <si>
    <t>330E</t>
  </si>
  <si>
    <t>3MW5P7J02N</t>
  </si>
  <si>
    <t>Adams</t>
  </si>
  <si>
    <t>Othello</t>
  </si>
  <si>
    <t>9</t>
  </si>
  <si>
    <t>POINT (-119.1742 46.82616)</t>
  </si>
  <si>
    <t>BONNEVILLE POWER ADMINISTRATION||AVISTA CORP||BIG BEND ELECTRIC COOP, INC</t>
  </si>
  <si>
    <t>53001950500</t>
  </si>
  <si>
    <t>3MW5P9J08N</t>
  </si>
  <si>
    <t>53067012225</t>
  </si>
  <si>
    <t>4JGDA6DB1J</t>
  </si>
  <si>
    <t>MERCEDES-BENZ</t>
  </si>
  <si>
    <t>GLE-CLASS</t>
  </si>
  <si>
    <t>4JGDM2EB9R</t>
  </si>
  <si>
    <t>EQS-CLASS SUV</t>
  </si>
  <si>
    <t>4JGDM4EB7P</t>
  </si>
  <si>
    <t>4JGFB4GB5S</t>
  </si>
  <si>
    <t>4JGFB4GB7R</t>
  </si>
  <si>
    <t>4JGGM1CB1P</t>
  </si>
  <si>
    <t>EQE-CLASS SUV</t>
  </si>
  <si>
    <t>POINT (-122.58009 47.328)</t>
  </si>
  <si>
    <t>53053072406</t>
  </si>
  <si>
    <t>4JGGM1CB3R</t>
  </si>
  <si>
    <t>53033007303</t>
  </si>
  <si>
    <t>4JGGM1CBXP</t>
  </si>
  <si>
    <t>4W5KHNRL2R</t>
  </si>
  <si>
    <t>ACURA</t>
  </si>
  <si>
    <t>ZDX</t>
  </si>
  <si>
    <t>4W5KHNRL9R</t>
  </si>
  <si>
    <t>4W5XHPRL1R</t>
  </si>
  <si>
    <t>50EA1GBA3N</t>
  </si>
  <si>
    <t>LUCID</t>
  </si>
  <si>
    <t>AIR</t>
  </si>
  <si>
    <t>53033032221</t>
  </si>
  <si>
    <t>50EA1TEA8S</t>
  </si>
  <si>
    <t>53033024500</t>
  </si>
  <si>
    <t>50EA1TEA9S</t>
  </si>
  <si>
    <t>POINT (-122.32741 47.58616)</t>
  </si>
  <si>
    <t>53033009300</t>
  </si>
  <si>
    <t>5LMTJ5DZ9S</t>
  </si>
  <si>
    <t>LINCOLN</t>
  </si>
  <si>
    <t>CORSAIR</t>
  </si>
  <si>
    <t>5LMYJ8XY6L</t>
  </si>
  <si>
    <t>AVIATOR</t>
  </si>
  <si>
    <t>53035092500</t>
  </si>
  <si>
    <t>5NMMEET10T</t>
  </si>
  <si>
    <t>2026</t>
  </si>
  <si>
    <t>GENESIS</t>
  </si>
  <si>
    <t>GV70</t>
  </si>
  <si>
    <t>53033030306</t>
  </si>
  <si>
    <t>5UX43EU00R</t>
  </si>
  <si>
    <t>X5</t>
  </si>
  <si>
    <t>5UX43EU03S</t>
  </si>
  <si>
    <t>Douglas</t>
  </si>
  <si>
    <t>Orondo</t>
  </si>
  <si>
    <t>POINT (-120.22795 47.62353)</t>
  </si>
  <si>
    <t>PUD NO 1 OF DOUGLAS COUNTY</t>
  </si>
  <si>
    <t>53017950101</t>
  </si>
  <si>
    <t>5UX43EU04S</t>
  </si>
  <si>
    <t>5UX43EU06R</t>
  </si>
  <si>
    <t>53011040513</t>
  </si>
  <si>
    <t>5UX43EU06S</t>
  </si>
  <si>
    <t>5UX43EU07R</t>
  </si>
  <si>
    <t>53061042005</t>
  </si>
  <si>
    <t>5UX43EU07T</t>
  </si>
  <si>
    <t>Clyde Hill</t>
  </si>
  <si>
    <t>53033024100</t>
  </si>
  <si>
    <t>5UX43EU08R</t>
  </si>
  <si>
    <t>5UX43EU08S</t>
  </si>
  <si>
    <t>53033006300</t>
  </si>
  <si>
    <t>5UXKT0C31H</t>
  </si>
  <si>
    <t>5UXKT0C55G</t>
  </si>
  <si>
    <t>5UXKT0C56J</t>
  </si>
  <si>
    <t>Selah</t>
  </si>
  <si>
    <t>POINT (-120.53145 46.65405)</t>
  </si>
  <si>
    <t>53077003200</t>
  </si>
  <si>
    <t>5UXTA6C00M</t>
  </si>
  <si>
    <t>5UXTA6C00P</t>
  </si>
  <si>
    <t>POINT (-122.62731 45.71668)</t>
  </si>
  <si>
    <t>53011040811</t>
  </si>
  <si>
    <t>Whitman</t>
  </si>
  <si>
    <t>Pullman</t>
  </si>
  <si>
    <t>POINT (-117.18147 46.73015)</t>
  </si>
  <si>
    <t>53075000300</t>
  </si>
  <si>
    <t>5UXTA6C01N</t>
  </si>
  <si>
    <t>5UXTA6C03P</t>
  </si>
  <si>
    <t>POINT (-122.27575 47.13959)</t>
  </si>
  <si>
    <t>53053073123</t>
  </si>
  <si>
    <t>5UXTA6C04M</t>
  </si>
  <si>
    <t>5UXTA6C04N</t>
  </si>
  <si>
    <t>5UXTA6C05P</t>
  </si>
  <si>
    <t>5UXTA6C07M</t>
  </si>
  <si>
    <t>5UXTA6C07N</t>
  </si>
  <si>
    <t>5UXTA6C08N</t>
  </si>
  <si>
    <t>POINT (-122.20596 47.97659)</t>
  </si>
  <si>
    <t>53061040700</t>
  </si>
  <si>
    <t>5UXTS1C00M</t>
  </si>
  <si>
    <t>X3</t>
  </si>
  <si>
    <t>5XYAFFS52S</t>
  </si>
  <si>
    <t>KIA</t>
  </si>
  <si>
    <t>EV9</t>
  </si>
  <si>
    <t>5XYAFFS55T</t>
  </si>
  <si>
    <t>Kenmore</t>
  </si>
  <si>
    <t>POINT (-122.24369 47.75892)</t>
  </si>
  <si>
    <t>53033021701</t>
  </si>
  <si>
    <t>5XYAFFS58S</t>
  </si>
  <si>
    <t>5XYC3DJC2S</t>
  </si>
  <si>
    <t>EV6</t>
  </si>
  <si>
    <t>53011040412</t>
  </si>
  <si>
    <t>5YJ3E1EA0J</t>
  </si>
  <si>
    <t>TESLA</t>
  </si>
  <si>
    <t>MODEL 3</t>
  </si>
  <si>
    <t>53061041816</t>
  </si>
  <si>
    <t>POINT (-122.65223 47.57192)</t>
  </si>
  <si>
    <t>53035091400</t>
  </si>
  <si>
    <t>53061041606</t>
  </si>
  <si>
    <t>5YJ3E1EA0K</t>
  </si>
  <si>
    <t>220</t>
  </si>
  <si>
    <t>53061051933</t>
  </si>
  <si>
    <t>5YJ3E1EA0L</t>
  </si>
  <si>
    <t>266</t>
  </si>
  <si>
    <t>5YJ3E1EA0N</t>
  </si>
  <si>
    <t>Moxee</t>
  </si>
  <si>
    <t>POINT (-120.39197 46.55621)</t>
  </si>
  <si>
    <t>53077001702</t>
  </si>
  <si>
    <t>5YJ3E1EA0P</t>
  </si>
  <si>
    <t>53033023805</t>
  </si>
  <si>
    <t>5YJ3E1EA1J</t>
  </si>
  <si>
    <t>53033002800</t>
  </si>
  <si>
    <t>5YJ3E1EA1K</t>
  </si>
  <si>
    <t>53011040907</t>
  </si>
  <si>
    <t>5YJ3E1EA1L</t>
  </si>
  <si>
    <t>5YJ3E1EA1M</t>
  </si>
  <si>
    <t>5YJ3E1EA1N</t>
  </si>
  <si>
    <t>53033022501</t>
  </si>
  <si>
    <t>5YJ3E1EA1P</t>
  </si>
  <si>
    <t>53033002400</t>
  </si>
  <si>
    <t>Seatac</t>
  </si>
  <si>
    <t>POINT (-122.27427 47.43405)</t>
  </si>
  <si>
    <t>53033028402</t>
  </si>
  <si>
    <t>53033023403</t>
  </si>
  <si>
    <t>5YJ3E1EA1R</t>
  </si>
  <si>
    <t>53033003100</t>
  </si>
  <si>
    <t>5YJ3E1EA1S</t>
  </si>
  <si>
    <t>53033006900</t>
  </si>
  <si>
    <t>5YJ3E1EA2J</t>
  </si>
  <si>
    <t>5YJ3E1EA2K</t>
  </si>
  <si>
    <t>53061051934</t>
  </si>
  <si>
    <t>5YJ3E1EA2L</t>
  </si>
  <si>
    <t>53061051936</t>
  </si>
  <si>
    <t>5YJ3E1EA2P</t>
  </si>
  <si>
    <t>53033006000</t>
  </si>
  <si>
    <t>5YJ3E1EA2R</t>
  </si>
  <si>
    <t>Buckley</t>
  </si>
  <si>
    <t>POINT (-122.02523 47.16299)</t>
  </si>
  <si>
    <t>53053070207</t>
  </si>
  <si>
    <t>5YJ3E1EA2S</t>
  </si>
  <si>
    <t>POINT (-122.32945 47.60357)</t>
  </si>
  <si>
    <t>53033009100</t>
  </si>
  <si>
    <t>5YJ3E1EA3J</t>
  </si>
  <si>
    <t>5YJ3E1EA3K</t>
  </si>
  <si>
    <t>53035091800</t>
  </si>
  <si>
    <t>53033021802</t>
  </si>
  <si>
    <t>5YJ3E1EA3M</t>
  </si>
  <si>
    <t>5YJ3E1EA3N</t>
  </si>
  <si>
    <t>5YJ3E1EA3P</t>
  </si>
  <si>
    <t>5YJ3E1EA3R</t>
  </si>
  <si>
    <t>5YJ3E1EA3S</t>
  </si>
  <si>
    <t>POINT (-122.34223 47.61085)</t>
  </si>
  <si>
    <t>53033008102</t>
  </si>
  <si>
    <t>53033024302</t>
  </si>
  <si>
    <t>53033030308</t>
  </si>
  <si>
    <t>5YJ3E1EA4J</t>
  </si>
  <si>
    <t>53061041901</t>
  </si>
  <si>
    <t>53033010101</t>
  </si>
  <si>
    <t>5YJ3E1EA4K</t>
  </si>
  <si>
    <t>53033031000</t>
  </si>
  <si>
    <t>5YJ3E1EA4L</t>
  </si>
  <si>
    <t>53053070209</t>
  </si>
  <si>
    <t>5YJ3E1EA4M</t>
  </si>
  <si>
    <t>5YJ3E1EA4P</t>
  </si>
  <si>
    <t>5YJ3E1EA4S</t>
  </si>
  <si>
    <t>POINT (-122.12096 47.55584)</t>
  </si>
  <si>
    <t>53033023902</t>
  </si>
  <si>
    <t>5YJ3E1EA5J</t>
  </si>
  <si>
    <t>53033007800</t>
  </si>
  <si>
    <t>53033007002</t>
  </si>
  <si>
    <t>5YJ3E1EA5K</t>
  </si>
  <si>
    <t>POINT (-122.23741 47.3807)</t>
  </si>
  <si>
    <t>53033029203</t>
  </si>
  <si>
    <t>5YJ3E1EA5L</t>
  </si>
  <si>
    <t>POINT (-120.50729 46.60464)</t>
  </si>
  <si>
    <t>53077001602</t>
  </si>
  <si>
    <t>5YJ3E1EA5M</t>
  </si>
  <si>
    <t>Carnation</t>
  </si>
  <si>
    <t>POINT (-121.91353 47.64901)</t>
  </si>
  <si>
    <t>53033032500</t>
  </si>
  <si>
    <t>5YJ3E1EA5P</t>
  </si>
  <si>
    <t>53033032224</t>
  </si>
  <si>
    <t>5YJ3E1EA6H</t>
  </si>
  <si>
    <t>53033032401</t>
  </si>
  <si>
    <t>5YJ3E1EA6J</t>
  </si>
  <si>
    <t>53061050404</t>
  </si>
  <si>
    <t>5YJ3E1EA6L</t>
  </si>
  <si>
    <t>5YJ3E1EA6P</t>
  </si>
  <si>
    <t>53033032704</t>
  </si>
  <si>
    <t>53033030007</t>
  </si>
  <si>
    <t>53033008401</t>
  </si>
  <si>
    <t>53073000902</t>
  </si>
  <si>
    <t>53033001400</t>
  </si>
  <si>
    <t>53033032002</t>
  </si>
  <si>
    <t>5YJ3E1EA6R</t>
  </si>
  <si>
    <t>Graham</t>
  </si>
  <si>
    <t>POINT (-122.29477 47.05703)</t>
  </si>
  <si>
    <t>BONNEVILLE POWER ADMINISTRATION||CITY OF TACOMA - (WA)||OHOP MUTUAL LIGHT COMPANY, INC|PENINSULA LIGHT COMPANY</t>
  </si>
  <si>
    <t>53053073117</t>
  </si>
  <si>
    <t>5YJ3E1EA7J</t>
  </si>
  <si>
    <t>53061051931</t>
  </si>
  <si>
    <t>5YJ3E1EA7K</t>
  </si>
  <si>
    <t>53067012330</t>
  </si>
  <si>
    <t>5YJ3E1EA7L</t>
  </si>
  <si>
    <t>53033031206</t>
  </si>
  <si>
    <t>5YJ3E1EA7P</t>
  </si>
  <si>
    <t>53033020402</t>
  </si>
  <si>
    <t>5YJ3E1EA7R</t>
  </si>
  <si>
    <t>5YJ3E1EA7S</t>
  </si>
  <si>
    <t>53011041334</t>
  </si>
  <si>
    <t>5YJ3E1EA8J</t>
  </si>
  <si>
    <t>5YJ3E1EA8K</t>
  </si>
  <si>
    <t>53033029309</t>
  </si>
  <si>
    <t>5YJ3E1EA8L</t>
  </si>
  <si>
    <t>POINT (-122.44629 47.22283)</t>
  </si>
  <si>
    <t>53053061800</t>
  </si>
  <si>
    <t>5YJ3E1EA8P</t>
  </si>
  <si>
    <t>POINT (-122.23825 47.49461)</t>
  </si>
  <si>
    <t>53033011902</t>
  </si>
  <si>
    <t>5YJ3E1EA8S</t>
  </si>
  <si>
    <t>5YJ3E1EA9K</t>
  </si>
  <si>
    <t>53061041301</t>
  </si>
  <si>
    <t>5YJ3E1EA9P</t>
  </si>
  <si>
    <t>53033028802</t>
  </si>
  <si>
    <t>53053070206</t>
  </si>
  <si>
    <t>5YJ3E1EA9S</t>
  </si>
  <si>
    <t>53011040609</t>
  </si>
  <si>
    <t>5YJ3E1EAXJ</t>
  </si>
  <si>
    <t>5YJ3E1EAXK</t>
  </si>
  <si>
    <t>53061050700</t>
  </si>
  <si>
    <t>5YJ3E1EAXL</t>
  </si>
  <si>
    <t>5YJ3E1EAXP</t>
  </si>
  <si>
    <t>53033022003</t>
  </si>
  <si>
    <t>5YJ3E1EAXS</t>
  </si>
  <si>
    <t>53061040900</t>
  </si>
  <si>
    <t>5YJ3E1EB0J</t>
  </si>
  <si>
    <t>5YJ3E1EB0K</t>
  </si>
  <si>
    <t>53061052506</t>
  </si>
  <si>
    <t>53057940301</t>
  </si>
  <si>
    <t>53077001100</t>
  </si>
  <si>
    <t>5YJ3E1EB0N</t>
  </si>
  <si>
    <t>53009001902</t>
  </si>
  <si>
    <t>53033024701</t>
  </si>
  <si>
    <t>5YJ3E1EB0R</t>
  </si>
  <si>
    <t>5YJ3E1EB1J</t>
  </si>
  <si>
    <t>53033004701</t>
  </si>
  <si>
    <t>5YJ3E1EB1K</t>
  </si>
  <si>
    <t>53033022605</t>
  </si>
  <si>
    <t>5YJ3E1EB1M</t>
  </si>
  <si>
    <t>53035081200</t>
  </si>
  <si>
    <t>53033007502</t>
  </si>
  <si>
    <t>5YJ3E1EB1N</t>
  </si>
  <si>
    <t>53033029602</t>
  </si>
  <si>
    <t>5YJ3E1EB1P</t>
  </si>
  <si>
    <t>53067012001</t>
  </si>
  <si>
    <t>5YJ3E1EB1R</t>
  </si>
  <si>
    <t>53033006701</t>
  </si>
  <si>
    <t>5YJ3E1EB2J</t>
  </si>
  <si>
    <t>53071920901</t>
  </si>
  <si>
    <t>53033022805</t>
  </si>
  <si>
    <t>POINT (-122.224 47.37943)</t>
  </si>
  <si>
    <t>5YJ3E1EB2L</t>
  </si>
  <si>
    <t>322</t>
  </si>
  <si>
    <t>POINT (-122.23019 47.94949)</t>
  </si>
  <si>
    <t>53061041400</t>
  </si>
  <si>
    <t>53061040100</t>
  </si>
  <si>
    <t>5YJ3E1EB2N</t>
  </si>
  <si>
    <t>53033007201</t>
  </si>
  <si>
    <t>53067012100</t>
  </si>
  <si>
    <t>5YJ3E1EB2S</t>
  </si>
  <si>
    <t>5YJ3E1EB3J</t>
  </si>
  <si>
    <t>53033025201</t>
  </si>
  <si>
    <t>5YJ3E1EB3K</t>
  </si>
  <si>
    <t>53075000400</t>
  </si>
  <si>
    <t>5YJ3E1EB3L</t>
  </si>
  <si>
    <t>53061041605</t>
  </si>
  <si>
    <t>5YJ3E1EB3N</t>
  </si>
  <si>
    <t>53033010001</t>
  </si>
  <si>
    <t>5YJ3E1EB4J</t>
  </si>
  <si>
    <t>53033028300</t>
  </si>
  <si>
    <t>Shaw Island</t>
  </si>
  <si>
    <t>POINT (-122.92991 48.58348)</t>
  </si>
  <si>
    <t>53055960502</t>
  </si>
  <si>
    <t>Mill Creek</t>
  </si>
  <si>
    <t>53061041704</t>
  </si>
  <si>
    <t>5YJ3E1EB4K</t>
  </si>
  <si>
    <t>53025011101</t>
  </si>
  <si>
    <t>5YJ3E1EB4L</t>
  </si>
  <si>
    <t>53077000904</t>
  </si>
  <si>
    <t>53033031102</t>
  </si>
  <si>
    <t>5YJ3E1EB4M</t>
  </si>
  <si>
    <t>5YJ3E1EB4N</t>
  </si>
  <si>
    <t>Cowlitz</t>
  </si>
  <si>
    <t>Woodland</t>
  </si>
  <si>
    <t>POINT (-122.74017 45.9094)</t>
  </si>
  <si>
    <t>BONNEVILLE POWER ADMINISTRATION||PUD NO 1 OF COWLITZ COUNTY</t>
  </si>
  <si>
    <t>53015001503</t>
  </si>
  <si>
    <t>4</t>
  </si>
  <si>
    <t>POINT (-117.21264 47.65878)</t>
  </si>
  <si>
    <t>53063011400</t>
  </si>
  <si>
    <t>5YJ3E1EB4P</t>
  </si>
  <si>
    <t>Monroe</t>
  </si>
  <si>
    <t>POINT (-121.98087 47.8526)</t>
  </si>
  <si>
    <t>53061052203</t>
  </si>
  <si>
    <t>5YJ3E1EB4S</t>
  </si>
  <si>
    <t>53011040608</t>
  </si>
  <si>
    <t>5YJ3E1EB5J</t>
  </si>
  <si>
    <t>Medina</t>
  </si>
  <si>
    <t>POINT (-122.23892 47.61613)</t>
  </si>
  <si>
    <t>53033024200</t>
  </si>
  <si>
    <t>5YJ3E1EB5L</t>
  </si>
  <si>
    <t>5YJ3E1EB5R</t>
  </si>
  <si>
    <t>53005010201</t>
  </si>
  <si>
    <t>5YJ3E1EB6J</t>
  </si>
  <si>
    <t>POINT (-122.09124 47.33778)</t>
  </si>
  <si>
    <t>53033031800</t>
  </si>
  <si>
    <t>POINT (-122.27734 47.83785)</t>
  </si>
  <si>
    <t>53061051802</t>
  </si>
  <si>
    <t>5YJ3E1EB6K</t>
  </si>
  <si>
    <t>5YJ3E1EB6L</t>
  </si>
  <si>
    <t>53033008002</t>
  </si>
  <si>
    <t>5YJ3E1EB6P</t>
  </si>
  <si>
    <t>53033023901</t>
  </si>
  <si>
    <t>5YJ3E1EB6S</t>
  </si>
  <si>
    <t>53053070316</t>
  </si>
  <si>
    <t>5YJ3E1EB7J</t>
  </si>
  <si>
    <t>53033025703</t>
  </si>
  <si>
    <t>5YJ3E1EB7K</t>
  </si>
  <si>
    <t>53067012532</t>
  </si>
  <si>
    <t>5YJ3E1EB7S</t>
  </si>
  <si>
    <t>53033030407</t>
  </si>
  <si>
    <t>5YJ3E1EB8J</t>
  </si>
  <si>
    <t>53029971800</t>
  </si>
  <si>
    <t>POINT (-122.27557 47.88936)</t>
  </si>
  <si>
    <t>53061041906</t>
  </si>
  <si>
    <t>53071920200</t>
  </si>
  <si>
    <t>POINT (-122.59044 47.34236)</t>
  </si>
  <si>
    <t>53053072506</t>
  </si>
  <si>
    <t>5YJ3E1EB8K</t>
  </si>
  <si>
    <t>5YJ3E1EB8N</t>
  </si>
  <si>
    <t>53053070314</t>
  </si>
  <si>
    <t>5YJ3E1EB8S</t>
  </si>
  <si>
    <t>53033032316</t>
  </si>
  <si>
    <t>5YJ3E1EB9J</t>
  </si>
  <si>
    <t>53061050101</t>
  </si>
  <si>
    <t>53061051938</t>
  </si>
  <si>
    <t>53061051917</t>
  </si>
  <si>
    <t>5YJ3E1EB9K</t>
  </si>
  <si>
    <t>5YJ3E1EB9N</t>
  </si>
  <si>
    <t>POINT (-122.67156 45.63248)</t>
  </si>
  <si>
    <t>53011042300</t>
  </si>
  <si>
    <t>5YJ3E1EB9P</t>
  </si>
  <si>
    <t>53033009701</t>
  </si>
  <si>
    <t>53061051928</t>
  </si>
  <si>
    <t>5YJ3E1EB9R</t>
  </si>
  <si>
    <t>Usk</t>
  </si>
  <si>
    <t>POINT (-117.28054 48.31375)</t>
  </si>
  <si>
    <t>53051970200</t>
  </si>
  <si>
    <t>5YJ3E1EB9S</t>
  </si>
  <si>
    <t>5YJ3E1EBXJ</t>
  </si>
  <si>
    <t>53035080600</t>
  </si>
  <si>
    <t>Kennewick</t>
  </si>
  <si>
    <t>POINT (-119.11698 46.20837)</t>
  </si>
  <si>
    <t>BONNEVILLE POWER ADMINISTRATION||PUD NO 1 OF BENTON COUNTY</t>
  </si>
  <si>
    <t>53005010901</t>
  </si>
  <si>
    <t>5YJ3E1EBXK</t>
  </si>
  <si>
    <t>53033009500</t>
  </si>
  <si>
    <t>5YJ3E1EBXL</t>
  </si>
  <si>
    <t>53035092901</t>
  </si>
  <si>
    <t>5YJ3E1EBXM</t>
  </si>
  <si>
    <t>5YJ3E1EBXN</t>
  </si>
  <si>
    <t>5YJ3E1EBXP</t>
  </si>
  <si>
    <t>53053070312</t>
  </si>
  <si>
    <t>5YJ3E1EC0L</t>
  </si>
  <si>
    <t>308</t>
  </si>
  <si>
    <t>53035091206</t>
  </si>
  <si>
    <t>5YJ3E1EC0M</t>
  </si>
  <si>
    <t>5YJ3E1EC1L</t>
  </si>
  <si>
    <t>5YJ3E1EC1P</t>
  </si>
  <si>
    <t>5YJ3E1EC3P</t>
  </si>
  <si>
    <t>53033025202</t>
  </si>
  <si>
    <t>5YJ3E1EC4P</t>
  </si>
  <si>
    <t>5YJ3E1EC5L</t>
  </si>
  <si>
    <t>Fife</t>
  </si>
  <si>
    <t>POINT (-122.35686 47.23679)</t>
  </si>
  <si>
    <t>53053940013</t>
  </si>
  <si>
    <t>5YJ3E1EC6L</t>
  </si>
  <si>
    <t>53077000401</t>
  </si>
  <si>
    <t>5YJ3E1EC6N</t>
  </si>
  <si>
    <t>53011040909</t>
  </si>
  <si>
    <t>5YJ3E1EC7N</t>
  </si>
  <si>
    <t>53053072903</t>
  </si>
  <si>
    <t>5YJ3E1EC7P</t>
  </si>
  <si>
    <t>53033030204</t>
  </si>
  <si>
    <t>5YJ3E1EC9N</t>
  </si>
  <si>
    <t>5YJ3E1EC9P</t>
  </si>
  <si>
    <t>POINT (-117.24522 47.66118)</t>
  </si>
  <si>
    <t>BONNEVILLE POWER ADMINISTRATION||VERA IRRIGATION DISTRICT #15</t>
  </si>
  <si>
    <t>53063011301</t>
  </si>
  <si>
    <t>5YJ3E1ECXL</t>
  </si>
  <si>
    <t>5YJ3E1ECXP</t>
  </si>
  <si>
    <t>53033031207</t>
  </si>
  <si>
    <t>5YJ3E1ET3S</t>
  </si>
  <si>
    <t>5YJ3E1ET4R</t>
  </si>
  <si>
    <t>53011042400</t>
  </si>
  <si>
    <t>5YJ3E1ET7R</t>
  </si>
  <si>
    <t>5YJ3E1ET8S</t>
  </si>
  <si>
    <t>5YJRE11B98</t>
  </si>
  <si>
    <t>2008</t>
  </si>
  <si>
    <t>ROADSTER</t>
  </si>
  <si>
    <t>98950</t>
  </si>
  <si>
    <t>5YJSA1AG3D</t>
  </si>
  <si>
    <t>MODEL S</t>
  </si>
  <si>
    <t>208</t>
  </si>
  <si>
    <t>69900</t>
  </si>
  <si>
    <t>53033032317</t>
  </si>
  <si>
    <t>5YJSA1CN1D</t>
  </si>
  <si>
    <t>53057940302</t>
  </si>
  <si>
    <t>5YJSA1CN8D</t>
  </si>
  <si>
    <t>5YJSA1DN3D</t>
  </si>
  <si>
    <t>5YJSA1E19G</t>
  </si>
  <si>
    <t>210</t>
  </si>
  <si>
    <t>POINT (-122.1677 48.11026)</t>
  </si>
  <si>
    <t>53061940002</t>
  </si>
  <si>
    <t>5YJSA1E1XF</t>
  </si>
  <si>
    <t>53061053102</t>
  </si>
  <si>
    <t>5YJSA1E1XG</t>
  </si>
  <si>
    <t>5YJSA1E20G</t>
  </si>
  <si>
    <t>5YJSA1E21G</t>
  </si>
  <si>
    <t>53067012211</t>
  </si>
  <si>
    <t>Chehalis</t>
  </si>
  <si>
    <t>POINT (-122.96462 46.6621)</t>
  </si>
  <si>
    <t>53041971000</t>
  </si>
  <si>
    <t>5YJSA1E22F</t>
  </si>
  <si>
    <t>5YJSA1E22G</t>
  </si>
  <si>
    <t>5YJSA1E22J</t>
  </si>
  <si>
    <t>Newman Lake</t>
  </si>
  <si>
    <t>249</t>
  </si>
  <si>
    <t>POINT (-117.06882 47.7251)</t>
  </si>
  <si>
    <t>53063010102</t>
  </si>
  <si>
    <t>5YJSA1E23G</t>
  </si>
  <si>
    <t>53067012331</t>
  </si>
  <si>
    <t>5YJSA1E23J</t>
  </si>
  <si>
    <t>Toppenish</t>
  </si>
  <si>
    <t>POINT (-120.31298 46.37508)</t>
  </si>
  <si>
    <t>53077940005</t>
  </si>
  <si>
    <t>5YJSA1E24G</t>
  </si>
  <si>
    <t>5YJSA1E24M</t>
  </si>
  <si>
    <t>Fall City</t>
  </si>
  <si>
    <t>POINT (-121.89086 47.56812)</t>
  </si>
  <si>
    <t>53033032601</t>
  </si>
  <si>
    <t>5YJSA1E25F</t>
  </si>
  <si>
    <t>5YJSA1E25H</t>
  </si>
  <si>
    <t>POINT (-122.33891 48.41644)</t>
  </si>
  <si>
    <t>53057952200</t>
  </si>
  <si>
    <t>5YJSA1E26F</t>
  </si>
  <si>
    <t>5YJSA1E26G</t>
  </si>
  <si>
    <t>53061041607</t>
  </si>
  <si>
    <t>5YJSA1E26K</t>
  </si>
  <si>
    <t>270</t>
  </si>
  <si>
    <t>5YJSA1E27F</t>
  </si>
  <si>
    <t>53061051930</t>
  </si>
  <si>
    <t>5YJSA1E27H</t>
  </si>
  <si>
    <t>53061053603</t>
  </si>
  <si>
    <t>5YJSA1E27J</t>
  </si>
  <si>
    <t>5YJSA1E27K</t>
  </si>
  <si>
    <t>53077000301</t>
  </si>
  <si>
    <t>5YJSA1E28H</t>
  </si>
  <si>
    <t>POINT (-122.32427 47.63433)</t>
  </si>
  <si>
    <t>53033006500</t>
  </si>
  <si>
    <t>5YJSA1E28J</t>
  </si>
  <si>
    <t>53061050200</t>
  </si>
  <si>
    <t>5YJSA1E28K</t>
  </si>
  <si>
    <t>5YJSA1E29K</t>
  </si>
  <si>
    <t>5YJSA1E2XG</t>
  </si>
  <si>
    <t>5YJSA1E2XJ</t>
  </si>
  <si>
    <t>5YJSA1E2XL</t>
  </si>
  <si>
    <t>330</t>
  </si>
  <si>
    <t>53055960301</t>
  </si>
  <si>
    <t>5YJSA1E40J</t>
  </si>
  <si>
    <t>53035092101</t>
  </si>
  <si>
    <t>5YJSA1E45K</t>
  </si>
  <si>
    <t>5YJSA1E46G</t>
  </si>
  <si>
    <t>5YJSA1E49G</t>
  </si>
  <si>
    <t>5YJSA1E49J</t>
  </si>
  <si>
    <t>5YJSA1E4XF</t>
  </si>
  <si>
    <t>53033031601</t>
  </si>
  <si>
    <t>5YJSA1E4XG</t>
  </si>
  <si>
    <t>53067012224</t>
  </si>
  <si>
    <t>5YJSA1E50P</t>
  </si>
  <si>
    <t>53033002200</t>
  </si>
  <si>
    <t>5YJSA1E52R</t>
  </si>
  <si>
    <t>5YJSA1E56R</t>
  </si>
  <si>
    <t>5YJSA1E58P</t>
  </si>
  <si>
    <t>5YJSA1E5XN</t>
  </si>
  <si>
    <t>53035091701</t>
  </si>
  <si>
    <t>5YJSA1E61M</t>
  </si>
  <si>
    <t>Cle Elum</t>
  </si>
  <si>
    <t>POINT (-120.93943 47.195)</t>
  </si>
  <si>
    <t>53037975104</t>
  </si>
  <si>
    <t>5YJSA1H10E</t>
  </si>
  <si>
    <t>53033031904</t>
  </si>
  <si>
    <t>5YJSA1H12E</t>
  </si>
  <si>
    <t>5YJSA1H27F</t>
  </si>
  <si>
    <t>5YJSA1H29F</t>
  </si>
  <si>
    <t>Covington</t>
  </si>
  <si>
    <t>53033031709</t>
  </si>
  <si>
    <t>5YJSA1S29F</t>
  </si>
  <si>
    <t>5YJSA1V24F</t>
  </si>
  <si>
    <t>5YJXCAE20G</t>
  </si>
  <si>
    <t>MODEL X</t>
  </si>
  <si>
    <t>200</t>
  </si>
  <si>
    <t>5YJXCAE21L</t>
  </si>
  <si>
    <t>293</t>
  </si>
  <si>
    <t>53033032333</t>
  </si>
  <si>
    <t>5YJXCAE22H</t>
  </si>
  <si>
    <t>53033026400</t>
  </si>
  <si>
    <t>5YJXCAE24H</t>
  </si>
  <si>
    <t>5YJXCAE24L</t>
  </si>
  <si>
    <t>5YJXCAE25L</t>
  </si>
  <si>
    <t>5YJXCAE26L</t>
  </si>
  <si>
    <t>53033023500</t>
  </si>
  <si>
    <t>5YJXCAE29L</t>
  </si>
  <si>
    <t>5YJXCAE41K</t>
  </si>
  <si>
    <t>289</t>
  </si>
  <si>
    <t>5YJXCAE46L</t>
  </si>
  <si>
    <t>5YJXCBE21H</t>
  </si>
  <si>
    <t>5YJXCBE24J</t>
  </si>
  <si>
    <t>53033029407</t>
  </si>
  <si>
    <t>5YJXCBE26J</t>
  </si>
  <si>
    <t>53033024703</t>
  </si>
  <si>
    <t>5YJXCBE29H</t>
  </si>
  <si>
    <t>53061040800</t>
  </si>
  <si>
    <t>5YJXCBE29K</t>
  </si>
  <si>
    <t>5YJXCBE41J</t>
  </si>
  <si>
    <t>5YJXCBE46L</t>
  </si>
  <si>
    <t>5YJXCDE21H</t>
  </si>
  <si>
    <t>5YJXCDE22K</t>
  </si>
  <si>
    <t>53033009702</t>
  </si>
  <si>
    <t>5YJXCDE26J</t>
  </si>
  <si>
    <t>5YJXCDE28H</t>
  </si>
  <si>
    <t>53077002801</t>
  </si>
  <si>
    <t>5YJXCDE2XJ</t>
  </si>
  <si>
    <t>5YJYGAEE1M</t>
  </si>
  <si>
    <t>MODEL Y</t>
  </si>
  <si>
    <t>POINT (-117.46996 47.59431)</t>
  </si>
  <si>
    <t>53063003900</t>
  </si>
  <si>
    <t>5YJYGAEE3M</t>
  </si>
  <si>
    <t>5YJYGAEE7M</t>
  </si>
  <si>
    <t>Franklin</t>
  </si>
  <si>
    <t>Pasco</t>
  </si>
  <si>
    <t>POINT (-119.09467 46.23542)</t>
  </si>
  <si>
    <t>BONNEVILLE POWER ADMINISTRATION||PUD NO 1 OF FRANKLIN COUNTY</t>
  </si>
  <si>
    <t>53021020605</t>
  </si>
  <si>
    <t>5YJYGAEEXM</t>
  </si>
  <si>
    <t>5YJYGDEDXM</t>
  </si>
  <si>
    <t>5YJYGDEE0M</t>
  </si>
  <si>
    <t>5YJYGDEE1L</t>
  </si>
  <si>
    <t>291</t>
  </si>
  <si>
    <t>53061052009</t>
  </si>
  <si>
    <t>53053060500</t>
  </si>
  <si>
    <t>5YJYGDEE1M</t>
  </si>
  <si>
    <t>53033025001</t>
  </si>
  <si>
    <t>5YJYGDEE2L</t>
  </si>
  <si>
    <t>5YJYGDEE2M</t>
  </si>
  <si>
    <t>53033030102</t>
  </si>
  <si>
    <t>5YJYGDEE3M</t>
  </si>
  <si>
    <t>53033025601</t>
  </si>
  <si>
    <t>5YJYGDEE4L</t>
  </si>
  <si>
    <t>53067012002</t>
  </si>
  <si>
    <t>5YJYGDEE4M</t>
  </si>
  <si>
    <t>53067011628</t>
  </si>
  <si>
    <t>53033029603</t>
  </si>
  <si>
    <t>5YJYGDEE5L</t>
  </si>
  <si>
    <t>53037975300</t>
  </si>
  <si>
    <t>53033008200</t>
  </si>
  <si>
    <t>5YJYGDEE5M</t>
  </si>
  <si>
    <t>53011040305</t>
  </si>
  <si>
    <t>53033030201</t>
  </si>
  <si>
    <t>5YJYGDEE6L</t>
  </si>
  <si>
    <t>5YJYGDEE6M</t>
  </si>
  <si>
    <t>Port Townsend</t>
  </si>
  <si>
    <t>POINT (-122.77263 48.1212)</t>
  </si>
  <si>
    <t>53031950400</t>
  </si>
  <si>
    <t>5YJYGDEE7L</t>
  </si>
  <si>
    <t>POINT (-120.01454 47.83985)</t>
  </si>
  <si>
    <t>53007960301</t>
  </si>
  <si>
    <t>5YJYGDEE7M</t>
  </si>
  <si>
    <t>5YJYGDEE8L</t>
  </si>
  <si>
    <t>53033032322</t>
  </si>
  <si>
    <t>5YJYGDEE8M</t>
  </si>
  <si>
    <t>53033030312</t>
  </si>
  <si>
    <t>53033002600</t>
  </si>
  <si>
    <t>5YJYGDEE9L</t>
  </si>
  <si>
    <t>53061050300</t>
  </si>
  <si>
    <t>53053072508</t>
  </si>
  <si>
    <t>5YJYGDEEXL</t>
  </si>
  <si>
    <t>5YJYGDEEXM</t>
  </si>
  <si>
    <t>53033022701</t>
  </si>
  <si>
    <t>5YJYGDEF1L</t>
  </si>
  <si>
    <t>5YJYGDEF5L</t>
  </si>
  <si>
    <t>53061051401</t>
  </si>
  <si>
    <t>5YJYGDEF5M</t>
  </si>
  <si>
    <t>5YJYGDEF7M</t>
  </si>
  <si>
    <t>5YJYGDEF8L</t>
  </si>
  <si>
    <t>5YJYGDEF9M</t>
  </si>
  <si>
    <t>53033025806</t>
  </si>
  <si>
    <t>5YJYGDEFXL</t>
  </si>
  <si>
    <t>5YM23CS04S</t>
  </si>
  <si>
    <t>XM</t>
  </si>
  <si>
    <t>5YM23CS06R</t>
  </si>
  <si>
    <t>53041971400</t>
  </si>
  <si>
    <t>7FCTGAAA1N</t>
  </si>
  <si>
    <t>RIVIAN</t>
  </si>
  <si>
    <t>R1T</t>
  </si>
  <si>
    <t>7FCTGAAA1P</t>
  </si>
  <si>
    <t>7FCTGAAA3P</t>
  </si>
  <si>
    <t>7FCTGAAAXP</t>
  </si>
  <si>
    <t>53053072407</t>
  </si>
  <si>
    <t>7FCTGAAL1N</t>
  </si>
  <si>
    <t>53077003004</t>
  </si>
  <si>
    <t>7FCTGAAL8P</t>
  </si>
  <si>
    <t>POINT (-117.42571 47.64779)</t>
  </si>
  <si>
    <t>7FCTGAAL9P</t>
  </si>
  <si>
    <t>7FCTGBAA2S</t>
  </si>
  <si>
    <t>53061052206</t>
  </si>
  <si>
    <t>7FCTGBAA5S</t>
  </si>
  <si>
    <t>53033025101</t>
  </si>
  <si>
    <t>7FCTGBAA6P</t>
  </si>
  <si>
    <t>7FCTGBAA7S</t>
  </si>
  <si>
    <t>53033032005</t>
  </si>
  <si>
    <t>7FCTGBAA8S</t>
  </si>
  <si>
    <t>POINT (-122.47091 48.75256)</t>
  </si>
  <si>
    <t>53073001102</t>
  </si>
  <si>
    <t>7FCTGBAAXP</t>
  </si>
  <si>
    <t>7FCTGBAAXS</t>
  </si>
  <si>
    <t>7FCTGCAA8R</t>
  </si>
  <si>
    <t>7G2CEHED0R</t>
  </si>
  <si>
    <t>CYBERTRUCK</t>
  </si>
  <si>
    <t>53033032319</t>
  </si>
  <si>
    <t>7G2CEHED2R</t>
  </si>
  <si>
    <t>53061051913</t>
  </si>
  <si>
    <t>7G2CEHED4S</t>
  </si>
  <si>
    <t>POINT (-122.41249 47.21584)</t>
  </si>
  <si>
    <t>53053940006</t>
  </si>
  <si>
    <t>7G2CEHED7S</t>
  </si>
  <si>
    <t>Algona</t>
  </si>
  <si>
    <t>53033030901</t>
  </si>
  <si>
    <t>7G2CEHED8R</t>
  </si>
  <si>
    <t>7G2CEHEE0R</t>
  </si>
  <si>
    <t>7G2CEHEE7R</t>
  </si>
  <si>
    <t>53031950501</t>
  </si>
  <si>
    <t>7JDEV3KL9S</t>
  </si>
  <si>
    <t>Wapato</t>
  </si>
  <si>
    <t>VOLVO</t>
  </si>
  <si>
    <t>EX90</t>
  </si>
  <si>
    <t>POINT (-120.42083 46.44779)</t>
  </si>
  <si>
    <t>53077940001</t>
  </si>
  <si>
    <t>7JRBR0FM0L</t>
  </si>
  <si>
    <t>S60</t>
  </si>
  <si>
    <t>7JRH60FU9P</t>
  </si>
  <si>
    <t>Puyallup</t>
  </si>
  <si>
    <t>POINT (-122.29521 47.19045)</t>
  </si>
  <si>
    <t>53053073404</t>
  </si>
  <si>
    <t>7PDSGABA0P</t>
  </si>
  <si>
    <t>R1S</t>
  </si>
  <si>
    <t>7PDSGABA4P</t>
  </si>
  <si>
    <t>7PDSGABA6P</t>
  </si>
  <si>
    <t>53077000402</t>
  </si>
  <si>
    <t>7PDSGABA7P</t>
  </si>
  <si>
    <t>7PDSGABL0P</t>
  </si>
  <si>
    <t>53077003100</t>
  </si>
  <si>
    <t>7PDSGABL3P</t>
  </si>
  <si>
    <t>7PDSGBBA0R</t>
  </si>
  <si>
    <t>7PDSGBBA3R</t>
  </si>
  <si>
    <t>7PDSGBBA3S</t>
  </si>
  <si>
    <t>53033000403</t>
  </si>
  <si>
    <t>7PDSGBBA4S</t>
  </si>
  <si>
    <t>7PDSGBBA5S</t>
  </si>
  <si>
    <t>53055960400</t>
  </si>
  <si>
    <t>7PDSGBBA8R</t>
  </si>
  <si>
    <t>7PDSGBBA8S</t>
  </si>
  <si>
    <t>7PDSGBBA9R</t>
  </si>
  <si>
    <t>7PDSGBBA9S</t>
  </si>
  <si>
    <t>7PDSGBBAXS</t>
  </si>
  <si>
    <t>7PDSGCBA1S</t>
  </si>
  <si>
    <t>7PDSGCBP3S</t>
  </si>
  <si>
    <t>53037975101</t>
  </si>
  <si>
    <t>7PDSGCBP4S</t>
  </si>
  <si>
    <t>53033007902</t>
  </si>
  <si>
    <t>7PDSGCBP7S</t>
  </si>
  <si>
    <t>7SAXCAE50P</t>
  </si>
  <si>
    <t>7SAXCAE57N</t>
  </si>
  <si>
    <t>7SAXCAE58R</t>
  </si>
  <si>
    <t>53033032211</t>
  </si>
  <si>
    <t>7SAXCBE53S</t>
  </si>
  <si>
    <t>53033022502</t>
  </si>
  <si>
    <t>7SAXCBE58P</t>
  </si>
  <si>
    <t>7SAXCBE5XN</t>
  </si>
  <si>
    <t>53033005402</t>
  </si>
  <si>
    <t>7SAXCBE63P</t>
  </si>
  <si>
    <t>7SAXCBE66P</t>
  </si>
  <si>
    <t>53033022901</t>
  </si>
  <si>
    <t>7SAXCDE56N</t>
  </si>
  <si>
    <t>53061041703</t>
  </si>
  <si>
    <t>7SAXCDE57P</t>
  </si>
  <si>
    <t>7SAXCDE58P</t>
  </si>
  <si>
    <t>7SAXCDE59P</t>
  </si>
  <si>
    <t>7SAXCDE59R</t>
  </si>
  <si>
    <t>7SAYGAEE0P</t>
  </si>
  <si>
    <t>7SAYGAEE0S</t>
  </si>
  <si>
    <t>53033029205</t>
  </si>
  <si>
    <t>7SAYGAEE1N</t>
  </si>
  <si>
    <t>7SAYGAEE1P</t>
  </si>
  <si>
    <t>53033029507</t>
  </si>
  <si>
    <t>7SAYGAEE1R</t>
  </si>
  <si>
    <t>53033004201</t>
  </si>
  <si>
    <t>7SAYGAEE2P</t>
  </si>
  <si>
    <t>7SAYGAEE2R</t>
  </si>
  <si>
    <t>7SAYGAEE2S</t>
  </si>
  <si>
    <t>POINT (-119.14432 46.18741)</t>
  </si>
  <si>
    <t>53005011100</t>
  </si>
  <si>
    <t>7SAYGAEE3N</t>
  </si>
  <si>
    <t>7SAYGAEE3P</t>
  </si>
  <si>
    <t>53033032321</t>
  </si>
  <si>
    <t>7SAYGAEE3R</t>
  </si>
  <si>
    <t>Mead</t>
  </si>
  <si>
    <t>POINT (-117.35586 47.7628)</t>
  </si>
  <si>
    <t>53063010204</t>
  </si>
  <si>
    <t>7SAYGAEE4P</t>
  </si>
  <si>
    <t>53011041325</t>
  </si>
  <si>
    <t>7SAYGAEE4R</t>
  </si>
  <si>
    <t>7SAYGAEE5N</t>
  </si>
  <si>
    <t>53033022402</t>
  </si>
  <si>
    <t>53033005902</t>
  </si>
  <si>
    <t>7SAYGAEE5P</t>
  </si>
  <si>
    <t>7SAYGAEE5R</t>
  </si>
  <si>
    <t>53033030005</t>
  </si>
  <si>
    <t>7SAYGAEE6N</t>
  </si>
  <si>
    <t>7SAYGAEE6P</t>
  </si>
  <si>
    <t>POINT (-122.48723 45.63701)</t>
  </si>
  <si>
    <t>53011041317</t>
  </si>
  <si>
    <t>7SAYGAEE7R</t>
  </si>
  <si>
    <t>7SAYGAEE7S</t>
  </si>
  <si>
    <t>7SAYGAEE8R</t>
  </si>
  <si>
    <t>53033029504</t>
  </si>
  <si>
    <t>7SAYGAEE8S</t>
  </si>
  <si>
    <t>7SAYGAEE9R</t>
  </si>
  <si>
    <t>53011041206</t>
  </si>
  <si>
    <t>7SAYGAEE9S</t>
  </si>
  <si>
    <t>7SAYGAEEXN</t>
  </si>
  <si>
    <t>53033024800</t>
  </si>
  <si>
    <t>7SAYGAEEXP</t>
  </si>
  <si>
    <t>7SAYGDED0R</t>
  </si>
  <si>
    <t>7SAYGDED0T</t>
  </si>
  <si>
    <t>53067011623</t>
  </si>
  <si>
    <t>7SAYGDED2S</t>
  </si>
  <si>
    <t>7SAYGDED5R</t>
  </si>
  <si>
    <t>7SAYGDED5S</t>
  </si>
  <si>
    <t>53033022205</t>
  </si>
  <si>
    <t>7SAYGDED6S</t>
  </si>
  <si>
    <t>53033028100</t>
  </si>
  <si>
    <t>7SAYGDED7P</t>
  </si>
  <si>
    <t>7SAYGDED8T</t>
  </si>
  <si>
    <t>7SAYGDED9S</t>
  </si>
  <si>
    <t>7SAYGDEDXS</t>
  </si>
  <si>
    <t>7SAYGDEE0N</t>
  </si>
  <si>
    <t>POINT (-122.07326 47.75425)</t>
  </si>
  <si>
    <t>53061051912</t>
  </si>
  <si>
    <t>7SAYGDEE0P</t>
  </si>
  <si>
    <t>University Place</t>
  </si>
  <si>
    <t>POINT (-122.5381 47.2326)</t>
  </si>
  <si>
    <t>53053072313</t>
  </si>
  <si>
    <t>53033023801</t>
  </si>
  <si>
    <t>7SAYGDEE0R</t>
  </si>
  <si>
    <t>Granite Falls</t>
  </si>
  <si>
    <t>POINT (-121.96931 48.08157)</t>
  </si>
  <si>
    <t>53061053604</t>
  </si>
  <si>
    <t>53033032003</t>
  </si>
  <si>
    <t>7SAYGDEE0S</t>
  </si>
  <si>
    <t>POINT (-122.64443 45.67871)</t>
  </si>
  <si>
    <t>53011041010</t>
  </si>
  <si>
    <t>7SAYGDEE0T</t>
  </si>
  <si>
    <t>53033012000</t>
  </si>
  <si>
    <t>7SAYGDEE1N</t>
  </si>
  <si>
    <t>53033024704</t>
  </si>
  <si>
    <t>7SAYGDEE1P</t>
  </si>
  <si>
    <t>Longview</t>
  </si>
  <si>
    <t>POINT (-122.95058 46.14681)</t>
  </si>
  <si>
    <t>53015000802</t>
  </si>
  <si>
    <t>7SAYGDEE1R</t>
  </si>
  <si>
    <t>POINT (-122.62749 47.565)</t>
  </si>
  <si>
    <t>53035080500</t>
  </si>
  <si>
    <t>53033026101</t>
  </si>
  <si>
    <t>7SAYGDEE1S</t>
  </si>
  <si>
    <t>53033010102</t>
  </si>
  <si>
    <t>7SAYGDEE1T</t>
  </si>
  <si>
    <t>7SAYGDEE2N</t>
  </si>
  <si>
    <t>53053072408</t>
  </si>
  <si>
    <t>7SAYGDEE2P</t>
  </si>
  <si>
    <t>53033032315</t>
  </si>
  <si>
    <t>53033026300</t>
  </si>
  <si>
    <t>7SAYGDEE2R</t>
  </si>
  <si>
    <t>7SAYGDEE2S</t>
  </si>
  <si>
    <t>7SAYGDEE3N</t>
  </si>
  <si>
    <t>Black Diamond</t>
  </si>
  <si>
    <t>POINT (-122.00143 47.30893)</t>
  </si>
  <si>
    <t>53033031603</t>
  </si>
  <si>
    <t>7SAYGDEE3P</t>
  </si>
  <si>
    <t>7SAYGDEE3R</t>
  </si>
  <si>
    <t>7SAYGDEE3T</t>
  </si>
  <si>
    <t>53053071207</t>
  </si>
  <si>
    <t>Roy</t>
  </si>
  <si>
    <t>POINT (-122.54332 47.00328)</t>
  </si>
  <si>
    <t>53053073006</t>
  </si>
  <si>
    <t>53053070311</t>
  </si>
  <si>
    <t>7SAYGDEE4P</t>
  </si>
  <si>
    <t>53041970300</t>
  </si>
  <si>
    <t>Brier</t>
  </si>
  <si>
    <t>7SAYGDEE4R</t>
  </si>
  <si>
    <t>7SAYGDEE5N</t>
  </si>
  <si>
    <t>53061051918</t>
  </si>
  <si>
    <t>7SAYGDEE5P</t>
  </si>
  <si>
    <t>53033030101</t>
  </si>
  <si>
    <t>Woodway</t>
  </si>
  <si>
    <t>53061050600</t>
  </si>
  <si>
    <t>7SAYGDEE5R</t>
  </si>
  <si>
    <t>7SAYGDEE5S</t>
  </si>
  <si>
    <t>53033025302</t>
  </si>
  <si>
    <t>7SAYGDEE5T</t>
  </si>
  <si>
    <t>7SAYGDEE6N</t>
  </si>
  <si>
    <t>7SAYGDEE6P</t>
  </si>
  <si>
    <t>53061051914</t>
  </si>
  <si>
    <t>7SAYGDEE6R</t>
  </si>
  <si>
    <t>7SAYGDEE6S</t>
  </si>
  <si>
    <t>7SAYGDEE6T</t>
  </si>
  <si>
    <t>7SAYGDEE7P</t>
  </si>
  <si>
    <t>7SAYGDEE7R</t>
  </si>
  <si>
    <t>Gold Bar</t>
  </si>
  <si>
    <t>POINT (-121.69743 47.85565)</t>
  </si>
  <si>
    <t>53061053803</t>
  </si>
  <si>
    <t>7SAYGDEE7S</t>
  </si>
  <si>
    <t>53053072509</t>
  </si>
  <si>
    <t>Edgewood</t>
  </si>
  <si>
    <t>POINT (-122.28596 47.19183)</t>
  </si>
  <si>
    <t>53053073502</t>
  </si>
  <si>
    <t>7SAYGDEE7T</t>
  </si>
  <si>
    <t>7SAYGDEE8N</t>
  </si>
  <si>
    <t>Pacific</t>
  </si>
  <si>
    <t>Ocean Park</t>
  </si>
  <si>
    <t>POINT (-124.04987 46.49147)</t>
  </si>
  <si>
    <t>BONNEVILLE POWER ADMINISTRATION||PUD NO 2 OF PACIFIC COUNTY</t>
  </si>
  <si>
    <t>53049950701</t>
  </si>
  <si>
    <t>53033011001</t>
  </si>
  <si>
    <t>Burlington</t>
  </si>
  <si>
    <t>POINT (-122.33029 48.46846)</t>
  </si>
  <si>
    <t>7SAYGDEE8P</t>
  </si>
  <si>
    <t>53067010700</t>
  </si>
  <si>
    <t>53033023604</t>
  </si>
  <si>
    <t>53033032225</t>
  </si>
  <si>
    <t>Hansville</t>
  </si>
  <si>
    <t>POINT (-122.54758 47.91795)</t>
  </si>
  <si>
    <t>53033029702</t>
  </si>
  <si>
    <t>7SAYGDEE8R</t>
  </si>
  <si>
    <t>53033031912</t>
  </si>
  <si>
    <t>7SAYGDEE8S</t>
  </si>
  <si>
    <t>POINT (-122.49212 45.60365)</t>
  </si>
  <si>
    <t>53011041329</t>
  </si>
  <si>
    <t>7SAYGDEE8T</t>
  </si>
  <si>
    <t>53033029406</t>
  </si>
  <si>
    <t>53033027400</t>
  </si>
  <si>
    <t>7SAYGDEE9N</t>
  </si>
  <si>
    <t>53011041310</t>
  </si>
  <si>
    <t>7SAYGDEE9P</t>
  </si>
  <si>
    <t>53061052302</t>
  </si>
  <si>
    <t>53033031604</t>
  </si>
  <si>
    <t>53033023808</t>
  </si>
  <si>
    <t>53061052710</t>
  </si>
  <si>
    <t>7SAYGDEE9R</t>
  </si>
  <si>
    <t>7SAYGDEE9S</t>
  </si>
  <si>
    <t>7SAYGDEE9T</t>
  </si>
  <si>
    <t>7SAYGDEEXN</t>
  </si>
  <si>
    <t>53033022401</t>
  </si>
  <si>
    <t>7SAYGDEEXP</t>
  </si>
  <si>
    <t>Deming</t>
  </si>
  <si>
    <t>POINT (-122.21723 48.82651)</t>
  </si>
  <si>
    <t>53073010103</t>
  </si>
  <si>
    <t>53033027800</t>
  </si>
  <si>
    <t>7SAYGDEEXR</t>
  </si>
  <si>
    <t>7SAYGDEEXS</t>
  </si>
  <si>
    <t>53045960800</t>
  </si>
  <si>
    <t>7SAYGDEEXT</t>
  </si>
  <si>
    <t>7SAYGDEF0R</t>
  </si>
  <si>
    <t>7SAYGDEF1N</t>
  </si>
  <si>
    <t>7SAYGDEF1P</t>
  </si>
  <si>
    <t>53077002804</t>
  </si>
  <si>
    <t>53033025006</t>
  </si>
  <si>
    <t>7SAYGDEF2N</t>
  </si>
  <si>
    <t>53073000805</t>
  </si>
  <si>
    <t>7SAYGDEF3N</t>
  </si>
  <si>
    <t>7SAYGDEF4N</t>
  </si>
  <si>
    <t>Coulee City</t>
  </si>
  <si>
    <t>POINT (-119.28816 47.61233)</t>
  </si>
  <si>
    <t>53025010100</t>
  </si>
  <si>
    <t>7SAYGDEF4P</t>
  </si>
  <si>
    <t>7SAYGDEF5N</t>
  </si>
  <si>
    <t>7SAYGDEF5P</t>
  </si>
  <si>
    <t>7SAYGDEF5R</t>
  </si>
  <si>
    <t>POINT (-119.3118 46.20664)</t>
  </si>
  <si>
    <t>53005010815</t>
  </si>
  <si>
    <t>7SAYGDEF6N</t>
  </si>
  <si>
    <t>53033029307</t>
  </si>
  <si>
    <t>7SAYGDEF7N</t>
  </si>
  <si>
    <t>7SAYGDEF7P</t>
  </si>
  <si>
    <t>53029971500</t>
  </si>
  <si>
    <t>53061041610</t>
  </si>
  <si>
    <t>7SAYGDEF7R</t>
  </si>
  <si>
    <t>7SAYGDEF8R</t>
  </si>
  <si>
    <t>7SAYGDEF9N</t>
  </si>
  <si>
    <t>7SAYGDEF9R</t>
  </si>
  <si>
    <t>7SAYGDEFXP</t>
  </si>
  <si>
    <t>53061052010</t>
  </si>
  <si>
    <t>7SAYGDEFXR</t>
  </si>
  <si>
    <t>53033029306</t>
  </si>
  <si>
    <t>7SAYGDEFXS</t>
  </si>
  <si>
    <t>7YAKMDDC6S</t>
  </si>
  <si>
    <t>HYUNDAI</t>
  </si>
  <si>
    <t>IONIQ 5</t>
  </si>
  <si>
    <t>POINT (-122.30855 47.10424)</t>
  </si>
  <si>
    <t>53053073121</t>
  </si>
  <si>
    <t>7YAKNDDC9S</t>
  </si>
  <si>
    <t>7YAMTFS34T</t>
  </si>
  <si>
    <t>IONIQ 9</t>
  </si>
  <si>
    <t>JA4J24A52J</t>
  </si>
  <si>
    <t>MITSUBISHI</t>
  </si>
  <si>
    <t>OUTLANDER</t>
  </si>
  <si>
    <t>53063001100</t>
  </si>
  <si>
    <t>JA4J24A58J</t>
  </si>
  <si>
    <t>53061052708</t>
  </si>
  <si>
    <t>JA4T5VA96P</t>
  </si>
  <si>
    <t>53061052606</t>
  </si>
  <si>
    <t>JA4T5VA9XP</t>
  </si>
  <si>
    <t>JHMZC5F10J</t>
  </si>
  <si>
    <t>CLARITY</t>
  </si>
  <si>
    <t>JHMZC5F13J</t>
  </si>
  <si>
    <t>53035092600</t>
  </si>
  <si>
    <t>JHMZC5F16J</t>
  </si>
  <si>
    <t>PORTLAND GENERAL ELECTRIC CO</t>
  </si>
  <si>
    <t>53011042601</t>
  </si>
  <si>
    <t>JHMZC5F17K</t>
  </si>
  <si>
    <t>JHMZC5F31J</t>
  </si>
  <si>
    <t>53053060400</t>
  </si>
  <si>
    <t>JHMZC5F36J</t>
  </si>
  <si>
    <t>JHMZC5F38L</t>
  </si>
  <si>
    <t>53071920902</t>
  </si>
  <si>
    <t>JHMZC5F38M</t>
  </si>
  <si>
    <t>JHMZC5F3XJ</t>
  </si>
  <si>
    <t>53057952500</t>
  </si>
  <si>
    <t>JM3KKBHAXR</t>
  </si>
  <si>
    <t>MAZDA</t>
  </si>
  <si>
    <t>CX-90</t>
  </si>
  <si>
    <t>53067011622</t>
  </si>
  <si>
    <t>JM3KKCHAXS</t>
  </si>
  <si>
    <t>53053070307</t>
  </si>
  <si>
    <t>JM3KKDHA0R</t>
  </si>
  <si>
    <t>JM3KKDHAXR</t>
  </si>
  <si>
    <t>53035080101</t>
  </si>
  <si>
    <t>JM3KKEHA1R</t>
  </si>
  <si>
    <t>JM3KKEHA4R</t>
  </si>
  <si>
    <t>JM3KKEHA8R</t>
  </si>
  <si>
    <t>JM3KKEHA8S</t>
  </si>
  <si>
    <t>JM3KKEHAXS</t>
  </si>
  <si>
    <t>JN1AF0BA1R</t>
  </si>
  <si>
    <t>ARIYA HATCHBACK</t>
  </si>
  <si>
    <t>JN1AZ0CP0B</t>
  </si>
  <si>
    <t>2011</t>
  </si>
  <si>
    <t>73</t>
  </si>
  <si>
    <t>53067011500</t>
  </si>
  <si>
    <t>JN1AZ0CP1B</t>
  </si>
  <si>
    <t>Steilacoom</t>
  </si>
  <si>
    <t>POINT (-122.59802 47.17303)</t>
  </si>
  <si>
    <t>BONNEVILLE POWER ADMINISTRATION||TOWN OF STEILACOOM|CITY OF TACOMA - (WA)||PENINSULA LIGHT COMPANY</t>
  </si>
  <si>
    <t>53053072109</t>
  </si>
  <si>
    <t>JN1AZ0CP5B</t>
  </si>
  <si>
    <t>JN1AZ0CP5C</t>
  </si>
  <si>
    <t>53033006800</t>
  </si>
  <si>
    <t>JN1AZ0CP6C</t>
  </si>
  <si>
    <t>53035091302</t>
  </si>
  <si>
    <t>JN1AZ0CP7B</t>
  </si>
  <si>
    <t>53077000100</t>
  </si>
  <si>
    <t>JN1AZ0CP7C</t>
  </si>
  <si>
    <t>JN1AZ0CP8B</t>
  </si>
  <si>
    <t>53033023401</t>
  </si>
  <si>
    <t>JN1AZ0CP9C</t>
  </si>
  <si>
    <t>53029970700</t>
  </si>
  <si>
    <t>JN1AZ0CPXC</t>
  </si>
  <si>
    <t>53067012223</t>
  </si>
  <si>
    <t>JN1BF0AA3P</t>
  </si>
  <si>
    <t>JN1CF0BBXP</t>
  </si>
  <si>
    <t>JN1DF0BB1R</t>
  </si>
  <si>
    <t>JN1DF0CD7R</t>
  </si>
  <si>
    <t>JN8AF0BE4S</t>
  </si>
  <si>
    <t>ARIYA MPV</t>
  </si>
  <si>
    <t>53021020504</t>
  </si>
  <si>
    <t>JN8DF0BF1S</t>
  </si>
  <si>
    <t>JTDACACU2R</t>
  </si>
  <si>
    <t>PRIUS PRIME (PHEV)</t>
  </si>
  <si>
    <t>JTDACACU4R</t>
  </si>
  <si>
    <t>JTDACACU6R</t>
  </si>
  <si>
    <t>53005011201</t>
  </si>
  <si>
    <t>JTDACACU6S</t>
  </si>
  <si>
    <t>JTDACACU7R</t>
  </si>
  <si>
    <t>JTDACACUXR</t>
  </si>
  <si>
    <t>JTDACACUXS</t>
  </si>
  <si>
    <t>JTDKAMFP2N</t>
  </si>
  <si>
    <t>JTDKAMFP3M</t>
  </si>
  <si>
    <t>JTDKAMFP8M</t>
  </si>
  <si>
    <t>53005011505</t>
  </si>
  <si>
    <t>JTDKAMFP9M</t>
  </si>
  <si>
    <t>53067012421</t>
  </si>
  <si>
    <t>JTDKARFP2L</t>
  </si>
  <si>
    <t>53033021300</t>
  </si>
  <si>
    <t>JTDKARFP3H</t>
  </si>
  <si>
    <t>JTDKARFP3K</t>
  </si>
  <si>
    <t>JTDKARFP3L</t>
  </si>
  <si>
    <t>JTDKARFP5K</t>
  </si>
  <si>
    <t>53033007501</t>
  </si>
  <si>
    <t>JTDKARFP7J</t>
  </si>
  <si>
    <t>JTDKARFP9H</t>
  </si>
  <si>
    <t>JTDKARFPXJ</t>
  </si>
  <si>
    <t>53033002700</t>
  </si>
  <si>
    <t>JTDKARFPXK</t>
  </si>
  <si>
    <t>JTDKN3DP7D</t>
  </si>
  <si>
    <t>PRIUS</t>
  </si>
  <si>
    <t>JTDKN3DPXD</t>
  </si>
  <si>
    <t>JTJAAAAB1R</t>
  </si>
  <si>
    <t>LEXUS</t>
  </si>
  <si>
    <t>RZ</t>
  </si>
  <si>
    <t>JTJAAAAB2R</t>
  </si>
  <si>
    <t>JTJAAAAB7P</t>
  </si>
  <si>
    <t>JTJHKCFZ3P</t>
  </si>
  <si>
    <t>NX</t>
  </si>
  <si>
    <t>JTJHKCFZ3R</t>
  </si>
  <si>
    <t>Kelso</t>
  </si>
  <si>
    <t>POINT (-122.89867 46.14424)</t>
  </si>
  <si>
    <t>53015001700</t>
  </si>
  <si>
    <t>JTJHKCFZ3S</t>
  </si>
  <si>
    <t>JTJHKCFZ5S</t>
  </si>
  <si>
    <t>JTJHKCFZ6N</t>
  </si>
  <si>
    <t>53029970601</t>
  </si>
  <si>
    <t>JTJKKCFZ2R</t>
  </si>
  <si>
    <t>JTMAAAAA6S</t>
  </si>
  <si>
    <t>BZ4X</t>
  </si>
  <si>
    <t>53057940802</t>
  </si>
  <si>
    <t>JTMAB3FV2R</t>
  </si>
  <si>
    <t>RAV4 PRIME (PHEV)</t>
  </si>
  <si>
    <t>JTMAB3FV3R</t>
  </si>
  <si>
    <t>JTMAB3FV4N</t>
  </si>
  <si>
    <t>JTMAB3FV5N</t>
  </si>
  <si>
    <t>JTMAB3FV5P</t>
  </si>
  <si>
    <t>JTMAB3FV7P</t>
  </si>
  <si>
    <t>JTMAB3FV8R</t>
  </si>
  <si>
    <t>53033012100</t>
  </si>
  <si>
    <t>JTMAB3FV9M</t>
  </si>
  <si>
    <t>53077003400</t>
  </si>
  <si>
    <t>JTMAB3FVXP</t>
  </si>
  <si>
    <t>53011040610</t>
  </si>
  <si>
    <t>JTMAB3FVXR</t>
  </si>
  <si>
    <t>53067011722</t>
  </si>
  <si>
    <t>JTMABABA0R</t>
  </si>
  <si>
    <t>Evans</t>
  </si>
  <si>
    <t>SUBARU</t>
  </si>
  <si>
    <t>SOLTERRA</t>
  </si>
  <si>
    <t>POINT (-118.02345 48.71331)</t>
  </si>
  <si>
    <t>53065950101</t>
  </si>
  <si>
    <t>53033004703</t>
  </si>
  <si>
    <t>JTMABABA1R</t>
  </si>
  <si>
    <t>JTMABABA2P</t>
  </si>
  <si>
    <t>JTMABABA2S</t>
  </si>
  <si>
    <t>JTMABABA3R</t>
  </si>
  <si>
    <t>JTMABABA6P</t>
  </si>
  <si>
    <t>JTMABABA7P</t>
  </si>
  <si>
    <t>JTMABABA7R</t>
  </si>
  <si>
    <t>Spokane Valley</t>
  </si>
  <si>
    <t>53063012402</t>
  </si>
  <si>
    <t>JTMABABA8P</t>
  </si>
  <si>
    <t>JTMABABA8R</t>
  </si>
  <si>
    <t>JTMABABA8S</t>
  </si>
  <si>
    <t>JTMABABA9P</t>
  </si>
  <si>
    <t>JTMABABA9R</t>
  </si>
  <si>
    <t>JTMABACA0R</t>
  </si>
  <si>
    <t>JTMABACA1S</t>
  </si>
  <si>
    <t>53033005000</t>
  </si>
  <si>
    <t>JTMABACA2R</t>
  </si>
  <si>
    <t>53063010507</t>
  </si>
  <si>
    <t>JTMABACA6S</t>
  </si>
  <si>
    <t>53033020800</t>
  </si>
  <si>
    <t>JTMCB3FV1P</t>
  </si>
  <si>
    <t>JTMCB3FV4R</t>
  </si>
  <si>
    <t>JTMEB3FV1P</t>
  </si>
  <si>
    <t>JTMEB3FV3R</t>
  </si>
  <si>
    <t>JTMEB3FV3S</t>
  </si>
  <si>
    <t>JTMEB3FV6S</t>
  </si>
  <si>
    <t>53033032703</t>
  </si>
  <si>
    <t>JTMEB3FV8P</t>
  </si>
  <si>
    <t>53053070310</t>
  </si>
  <si>
    <t>JTMFB3FV3R</t>
  </si>
  <si>
    <t>53011040416</t>
  </si>
  <si>
    <t>JTMFB3FV9R</t>
  </si>
  <si>
    <t>JTMFB3FV9S</t>
  </si>
  <si>
    <t>53053071206</t>
  </si>
  <si>
    <t>JTMFB3FVXS</t>
  </si>
  <si>
    <t>KL8CL6S04F</t>
  </si>
  <si>
    <t>SPARK</t>
  </si>
  <si>
    <t>82</t>
  </si>
  <si>
    <t>KL8CL6S05E</t>
  </si>
  <si>
    <t>KL8CL6S06F</t>
  </si>
  <si>
    <t>53057952404</t>
  </si>
  <si>
    <t>KM8HC3A68R</t>
  </si>
  <si>
    <t>KONA</t>
  </si>
  <si>
    <t>KM8JBDD26R</t>
  </si>
  <si>
    <t>TUCSON</t>
  </si>
  <si>
    <t>53061052121</t>
  </si>
  <si>
    <t>KM8JFDD22R</t>
  </si>
  <si>
    <t>53071920802</t>
  </si>
  <si>
    <t>KM8JFDD27R</t>
  </si>
  <si>
    <t>KM8JFDD27S</t>
  </si>
  <si>
    <t>53035091600</t>
  </si>
  <si>
    <t>KM8K33AG1P</t>
  </si>
  <si>
    <t>53033002900</t>
  </si>
  <si>
    <t>KM8K53AG3L</t>
  </si>
  <si>
    <t>258</t>
  </si>
  <si>
    <t>KM8K53AG8L</t>
  </si>
  <si>
    <t>53035080200</t>
  </si>
  <si>
    <t>KM8K53AGXP</t>
  </si>
  <si>
    <t>East Wenatchee</t>
  </si>
  <si>
    <t>POINT (-120.29473 47.41515)</t>
  </si>
  <si>
    <t>53017950800</t>
  </si>
  <si>
    <t>KM8KMDAF4N</t>
  </si>
  <si>
    <t>KM8KMDDF1R</t>
  </si>
  <si>
    <t>53033032006</t>
  </si>
  <si>
    <t>KM8KNDAF1P</t>
  </si>
  <si>
    <t>KM8KNDAF2P</t>
  </si>
  <si>
    <t>KM8KNDAF4P</t>
  </si>
  <si>
    <t>KM8KNDAF7N</t>
  </si>
  <si>
    <t>KM8KNDAF7P</t>
  </si>
  <si>
    <t>KM8KNDAFXP</t>
  </si>
  <si>
    <t>KM8KNDDF0R</t>
  </si>
  <si>
    <t>KM8KNDDF6R</t>
  </si>
  <si>
    <t>KM8KNDDFXR</t>
  </si>
  <si>
    <t>KM8KRDAF1P</t>
  </si>
  <si>
    <t>KM8KRDAF4P</t>
  </si>
  <si>
    <t>Mountlake Terrace</t>
  </si>
  <si>
    <t>POINT (-122.31111 47.78803)</t>
  </si>
  <si>
    <t>53061051301</t>
  </si>
  <si>
    <t>53061052808</t>
  </si>
  <si>
    <t>KM8KRDAF5P</t>
  </si>
  <si>
    <t>KM8KRDDF4R</t>
  </si>
  <si>
    <t>KM8KRDDF6R</t>
  </si>
  <si>
    <t>53033008800</t>
  </si>
  <si>
    <t>KM8KRDDF7R</t>
  </si>
  <si>
    <t>KM8KRDDF8R</t>
  </si>
  <si>
    <t>KM8KRDDF9R</t>
  </si>
  <si>
    <t>KMHM34AA2S</t>
  </si>
  <si>
    <t>IONIQ 6</t>
  </si>
  <si>
    <t>KMHM34AC6R</t>
  </si>
  <si>
    <t>KMHM34AC9R</t>
  </si>
  <si>
    <t>KMHM34ACXP</t>
  </si>
  <si>
    <t>KMUKEDSB8R</t>
  </si>
  <si>
    <t>GV60</t>
  </si>
  <si>
    <t>KNAGV4LD6J</t>
  </si>
  <si>
    <t>Dupont</t>
  </si>
  <si>
    <t>OPTIMA</t>
  </si>
  <si>
    <t>POINT (-122.62954 47.09583)</t>
  </si>
  <si>
    <t>53053072801</t>
  </si>
  <si>
    <t>KNDADFS50R</t>
  </si>
  <si>
    <t>53061051100</t>
  </si>
  <si>
    <t>KNDADFS56R</t>
  </si>
  <si>
    <t>53053072309</t>
  </si>
  <si>
    <t>KNDAEFS52R</t>
  </si>
  <si>
    <t>KNDAEFS56S</t>
  </si>
  <si>
    <t>53067012720</t>
  </si>
  <si>
    <t>KNDAEFS57R</t>
  </si>
  <si>
    <t>KNDAEFS5XR</t>
  </si>
  <si>
    <t>KNDAEFS5XS</t>
  </si>
  <si>
    <t>POINT (-122.47913 47.2198)</t>
  </si>
  <si>
    <t>53053062801</t>
  </si>
  <si>
    <t>KNDAFFS51R</t>
  </si>
  <si>
    <t>KNDAFFS56R</t>
  </si>
  <si>
    <t>Liberty Lake</t>
  </si>
  <si>
    <t>POINT (-117.1015 47.66829)</t>
  </si>
  <si>
    <t>53063013205</t>
  </si>
  <si>
    <t>KNDAFFS57R</t>
  </si>
  <si>
    <t>KNDC34LA8N</t>
  </si>
  <si>
    <t>POINT (-122.45782 47.26541)</t>
  </si>
  <si>
    <t>53053060600</t>
  </si>
  <si>
    <t>KNDC3DLC0N</t>
  </si>
  <si>
    <t>Lynden</t>
  </si>
  <si>
    <t>POINT (-122.45051 48.94298)</t>
  </si>
  <si>
    <t>53073010303</t>
  </si>
  <si>
    <t>KNDC3DLC1N</t>
  </si>
  <si>
    <t>KNDC3DLC1P</t>
  </si>
  <si>
    <t>53067011626</t>
  </si>
  <si>
    <t>KNDC3DLC2R</t>
  </si>
  <si>
    <t>KNDC3DLC5N</t>
  </si>
  <si>
    <t>KNDC3DLC5R</t>
  </si>
  <si>
    <t>KNDC3DLC6R</t>
  </si>
  <si>
    <t>53033003500</t>
  </si>
  <si>
    <t>KNDC3DLC7N</t>
  </si>
  <si>
    <t>KNDC3DLC7R</t>
  </si>
  <si>
    <t>KNDC3DLC8N</t>
  </si>
  <si>
    <t>53065951401</t>
  </si>
  <si>
    <t>KNDC3DLCXN</t>
  </si>
  <si>
    <t>KNDC4DLC4P</t>
  </si>
  <si>
    <t>Aberdeen</t>
  </si>
  <si>
    <t>POINT (-123.81619 46.97606)</t>
  </si>
  <si>
    <t>53027001100</t>
  </si>
  <si>
    <t>KNDCC3LD2J</t>
  </si>
  <si>
    <t>NIRO</t>
  </si>
  <si>
    <t>KNDCC3LD5K</t>
  </si>
  <si>
    <t>KNDCC3LG0K</t>
  </si>
  <si>
    <t>239</t>
  </si>
  <si>
    <t>53073000401</t>
  </si>
  <si>
    <t>KNDCC3LG4L</t>
  </si>
  <si>
    <t>KNDCC3LG7K</t>
  </si>
  <si>
    <t>53017950600</t>
  </si>
  <si>
    <t>KNDCC3LG8K</t>
  </si>
  <si>
    <t>KNDCC3LG8N</t>
  </si>
  <si>
    <t>53073000501</t>
  </si>
  <si>
    <t>KNDCC3LGXK</t>
  </si>
  <si>
    <t>KNDCD3LD0N</t>
  </si>
  <si>
    <t>53033010401</t>
  </si>
  <si>
    <t>KNDCD3LD7N</t>
  </si>
  <si>
    <t>KNDCE3LG0L</t>
  </si>
  <si>
    <t>53033003400</t>
  </si>
  <si>
    <t>KNDCE3LG2K</t>
  </si>
  <si>
    <t>53033011901</t>
  </si>
  <si>
    <t>KNDCE3LG3K</t>
  </si>
  <si>
    <t>53061051921</t>
  </si>
  <si>
    <t>KNDCE3LG4L</t>
  </si>
  <si>
    <t>53033003302</t>
  </si>
  <si>
    <t>KNDCE3LGXL</t>
  </si>
  <si>
    <t>53061041100</t>
  </si>
  <si>
    <t>KNDCM3LD5K</t>
  </si>
  <si>
    <t>53061040500</t>
  </si>
  <si>
    <t>KNDCM3LD5L</t>
  </si>
  <si>
    <t>KNDCM3LD9K</t>
  </si>
  <si>
    <t>53067010520</t>
  </si>
  <si>
    <t>KNDCM3LDXJ</t>
  </si>
  <si>
    <t>KNDCR3L11R</t>
  </si>
  <si>
    <t>53061052006</t>
  </si>
  <si>
    <t>KNDCR3L13S</t>
  </si>
  <si>
    <t>KNDCR3L15S</t>
  </si>
  <si>
    <t>KNDCR3L17S</t>
  </si>
  <si>
    <t>KNDCR3L19P</t>
  </si>
  <si>
    <t>53033029405</t>
  </si>
  <si>
    <t>KNDCR3L19R</t>
  </si>
  <si>
    <t>KNDCR3L19S</t>
  </si>
  <si>
    <t>POINT (-117.1748 47.65699)</t>
  </si>
  <si>
    <t>53063013101</t>
  </si>
  <si>
    <t>KNDCR3LF4P</t>
  </si>
  <si>
    <t>53033029102</t>
  </si>
  <si>
    <t>KNDCR3LF5P</t>
  </si>
  <si>
    <t>53077000700</t>
  </si>
  <si>
    <t>KNDCR3LF6R</t>
  </si>
  <si>
    <t>KNDCS3LF0R</t>
  </si>
  <si>
    <t>KNDCS3LF3P</t>
  </si>
  <si>
    <t>53067011422</t>
  </si>
  <si>
    <t>KNDCS3LF4P</t>
  </si>
  <si>
    <t>KNDCS3LF4R</t>
  </si>
  <si>
    <t>53063010504</t>
  </si>
  <si>
    <t>KNDJP3AE0G</t>
  </si>
  <si>
    <t>SOUL</t>
  </si>
  <si>
    <t>93</t>
  </si>
  <si>
    <t>31950</t>
  </si>
  <si>
    <t>KNDJP3AE4G</t>
  </si>
  <si>
    <t>POINT (-122.40872 47.16568)</t>
  </si>
  <si>
    <t>BONNEVILLE POWER ADMINISTRATION||CITY OF TACOMA - (WA)||PARKLAND LIGHT &amp; WATER COMPANY|PENINSULA LIGHT COMPANY</t>
  </si>
  <si>
    <t>53053071604</t>
  </si>
  <si>
    <t>KNDJP3AEXG</t>
  </si>
  <si>
    <t>KNDJX3AE2H</t>
  </si>
  <si>
    <t>32250</t>
  </si>
  <si>
    <t>53061051200</t>
  </si>
  <si>
    <t>KNDJX3AE5H</t>
  </si>
  <si>
    <t>KNDJX3AE6F</t>
  </si>
  <si>
    <t>KNDJX3AE9H</t>
  </si>
  <si>
    <t>53067011810</t>
  </si>
  <si>
    <t>KNDJX3AEXG</t>
  </si>
  <si>
    <t>KNDPYDAH0P</t>
  </si>
  <si>
    <t>SPORTAGE</t>
  </si>
  <si>
    <t>KNDPYDAH1P</t>
  </si>
  <si>
    <t>53077001701</t>
  </si>
  <si>
    <t>KNDPYDAH6P</t>
  </si>
  <si>
    <t>53015000901</t>
  </si>
  <si>
    <t>KNDPYDAH8P</t>
  </si>
  <si>
    <t>KNDPYDDH1R</t>
  </si>
  <si>
    <t>KNDPYDDH1S</t>
  </si>
  <si>
    <t>KNDPYDDH3S</t>
  </si>
  <si>
    <t>KNDPYDDH4R</t>
  </si>
  <si>
    <t>KNDPYDDH6R</t>
  </si>
  <si>
    <t>53067012620</t>
  </si>
  <si>
    <t>KNDPYDDH6S</t>
  </si>
  <si>
    <t>53033008300</t>
  </si>
  <si>
    <t>KNDPYDDH8S</t>
  </si>
  <si>
    <t>KNDPZDDH0S</t>
  </si>
  <si>
    <t>53035092102</t>
  </si>
  <si>
    <t>KNDPZDDH5S</t>
  </si>
  <si>
    <t>53041970800</t>
  </si>
  <si>
    <t>KNDPZDDH8S</t>
  </si>
  <si>
    <t>KNDRJDJH5S</t>
  </si>
  <si>
    <t>SORENTO</t>
  </si>
  <si>
    <t>53067011720</t>
  </si>
  <si>
    <t>KNDRMDLH7N</t>
  </si>
  <si>
    <t>KNDRMDLHXP</t>
  </si>
  <si>
    <t>LPSED3KA0M</t>
  </si>
  <si>
    <t>POLESTAR</t>
  </si>
  <si>
    <t>PS2</t>
  </si>
  <si>
    <t>233</t>
  </si>
  <si>
    <t>LPSED3KA1N</t>
  </si>
  <si>
    <t>53077002900</t>
  </si>
  <si>
    <t>LPSED3KA3M</t>
  </si>
  <si>
    <t>LPSED3KA4N</t>
  </si>
  <si>
    <t>LPSED3KA9M</t>
  </si>
  <si>
    <t>LYVBR0DL8J</t>
  </si>
  <si>
    <t>XC60</t>
  </si>
  <si>
    <t>52900</t>
  </si>
  <si>
    <t>SALK19F49S</t>
  </si>
  <si>
    <t>LAND ROVER</t>
  </si>
  <si>
    <t>RANGE ROVER</t>
  </si>
  <si>
    <t>58</t>
  </si>
  <si>
    <t>VCF1ZBU20P</t>
  </si>
  <si>
    <t>FISKER</t>
  </si>
  <si>
    <t>OCEAN</t>
  </si>
  <si>
    <t>53029970402</t>
  </si>
  <si>
    <t>W1N0G5DB6L</t>
  </si>
  <si>
    <t>GLC-CLASS</t>
  </si>
  <si>
    <t>W1N9M0KB7P</t>
  </si>
  <si>
    <t>EQB-CLASS</t>
  </si>
  <si>
    <t>W1NKM5GB4S</t>
  </si>
  <si>
    <t>54</t>
  </si>
  <si>
    <t>W1NKM8AB9S</t>
  </si>
  <si>
    <t>WA114BGF0S</t>
  </si>
  <si>
    <t>AUDI</t>
  </si>
  <si>
    <t>Q6</t>
  </si>
  <si>
    <t>WA124BGF7S</t>
  </si>
  <si>
    <t>WA14UBFZ6R</t>
  </si>
  <si>
    <t>Q4</t>
  </si>
  <si>
    <t>WA16AAGE1R</t>
  </si>
  <si>
    <t>Q8</t>
  </si>
  <si>
    <t>WA1AAAGE0M</t>
  </si>
  <si>
    <t>E-TRON</t>
  </si>
  <si>
    <t>222</t>
  </si>
  <si>
    <t>WA1AAAGE8M</t>
  </si>
  <si>
    <t>WA1AAAGE9M</t>
  </si>
  <si>
    <t>WA1E2AFY1L</t>
  </si>
  <si>
    <t>Q5 E</t>
  </si>
  <si>
    <t>WA1E2AFY2M</t>
  </si>
  <si>
    <t>WA1E2AFY2R</t>
  </si>
  <si>
    <t>WA1E2AFY8R</t>
  </si>
  <si>
    <t>WA1E2AFY9P</t>
  </si>
  <si>
    <t>Tulalip</t>
  </si>
  <si>
    <t>53061940001</t>
  </si>
  <si>
    <t>WA1E2AFY9R</t>
  </si>
  <si>
    <t>WA1E2AFY9S</t>
  </si>
  <si>
    <t>WA1F2AFY0M</t>
  </si>
  <si>
    <t>WA1F2AFY2R</t>
  </si>
  <si>
    <t>WA1F2AFY7N</t>
  </si>
  <si>
    <t>Q5</t>
  </si>
  <si>
    <t>53061053801</t>
  </si>
  <si>
    <t>WA1F2AFYXM</t>
  </si>
  <si>
    <t>WA1L2BFZ6R</t>
  </si>
  <si>
    <t>53035090201</t>
  </si>
  <si>
    <t>WA1LAAGE0K</t>
  </si>
  <si>
    <t>204</t>
  </si>
  <si>
    <t>WA1LAAGE7N</t>
  </si>
  <si>
    <t>WA1LABGE3K</t>
  </si>
  <si>
    <t>WA1LUBFZ9R</t>
  </si>
  <si>
    <t>WA1VAAGE4K</t>
  </si>
  <si>
    <t>53033022102</t>
  </si>
  <si>
    <t>WA1VAAGE5K</t>
  </si>
  <si>
    <t>WA1VAAGEXK</t>
  </si>
  <si>
    <t>WA1VABGE4K</t>
  </si>
  <si>
    <t>WA1VABGE5K</t>
  </si>
  <si>
    <t>WAUAHBFW5N</t>
  </si>
  <si>
    <t>RS E-TRON GT</t>
  </si>
  <si>
    <t>WAUBHBFW0P</t>
  </si>
  <si>
    <t>WAUCJBFW6N</t>
  </si>
  <si>
    <t>E-TRON GT</t>
  </si>
  <si>
    <t>WAUEJBFW6N</t>
  </si>
  <si>
    <t>WAUSPBFF1H</t>
  </si>
  <si>
    <t>A3</t>
  </si>
  <si>
    <t>WAUTPBFF2G</t>
  </si>
  <si>
    <t>WAUTPBFF7J</t>
  </si>
  <si>
    <t>WAUTPBFF8G</t>
  </si>
  <si>
    <t>53063004900</t>
  </si>
  <si>
    <t>WAUTPBFF8J</t>
  </si>
  <si>
    <t>WAUUPBFF4G</t>
  </si>
  <si>
    <t>WAUUPBFF4J</t>
  </si>
  <si>
    <t>53077940008</t>
  </si>
  <si>
    <t>WAUUPBFF7G</t>
  </si>
  <si>
    <t>WB523CF00N</t>
  </si>
  <si>
    <t>IX</t>
  </si>
  <si>
    <t>WB523CF00R</t>
  </si>
  <si>
    <t>53033032213</t>
  </si>
  <si>
    <t>WB523CF00S</t>
  </si>
  <si>
    <t>53061052112</t>
  </si>
  <si>
    <t>WB523CF01S</t>
  </si>
  <si>
    <t>53033007600</t>
  </si>
  <si>
    <t>WB523CF02R</t>
  </si>
  <si>
    <t>53011040603</t>
  </si>
  <si>
    <t>53011040803</t>
  </si>
  <si>
    <t>WB523CF06N</t>
  </si>
  <si>
    <t>WB523CF06R</t>
  </si>
  <si>
    <t>WB523CF07P</t>
  </si>
  <si>
    <t>WB523CF09R</t>
  </si>
  <si>
    <t>WBA13AG02N</t>
  </si>
  <si>
    <t>530E</t>
  </si>
  <si>
    <t>WBA5P7C06M</t>
  </si>
  <si>
    <t>WBA5P9C06M</t>
  </si>
  <si>
    <t>53033023100</t>
  </si>
  <si>
    <t>WBA7J2C58J</t>
  </si>
  <si>
    <t>740E</t>
  </si>
  <si>
    <t>90700</t>
  </si>
  <si>
    <t>WBY13HG02S</t>
  </si>
  <si>
    <t>I5</t>
  </si>
  <si>
    <t>WBY1Z2C50F</t>
  </si>
  <si>
    <t>I3</t>
  </si>
  <si>
    <t>81</t>
  </si>
  <si>
    <t>WBY1Z2C51E</t>
  </si>
  <si>
    <t>WBY1Z2C52E</t>
  </si>
  <si>
    <t>WBY1Z2C52G</t>
  </si>
  <si>
    <t>WBY1Z4C56E</t>
  </si>
  <si>
    <t>72</t>
  </si>
  <si>
    <t>WBY1Z4C57F</t>
  </si>
  <si>
    <t>Hoodsport</t>
  </si>
  <si>
    <t>POINT (-123.14135 47.40639)</t>
  </si>
  <si>
    <t>53045960201</t>
  </si>
  <si>
    <t>WBY1Z4C58F</t>
  </si>
  <si>
    <t>WBY1Z4C5XF</t>
  </si>
  <si>
    <t>WBY1Z4C5XG</t>
  </si>
  <si>
    <t>WBY1Z6C50H</t>
  </si>
  <si>
    <t>WBY1Z6C57H</t>
  </si>
  <si>
    <t>WBY1Z8C31H</t>
  </si>
  <si>
    <t>97</t>
  </si>
  <si>
    <t>WBY1Z8C35H</t>
  </si>
  <si>
    <t>WBY1Z8C51H</t>
  </si>
  <si>
    <t>WBY1Z8C58H</t>
  </si>
  <si>
    <t>WBY2Z2C50E</t>
  </si>
  <si>
    <t>I8</t>
  </si>
  <si>
    <t>53033007302</t>
  </si>
  <si>
    <t>WBY33AW04R</t>
  </si>
  <si>
    <t>I4</t>
  </si>
  <si>
    <t>WBY33AW06P</t>
  </si>
  <si>
    <t>WBY43HD01S</t>
  </si>
  <si>
    <t>WBY73AW06R</t>
  </si>
  <si>
    <t>WBY7Z2C52J</t>
  </si>
  <si>
    <t>114</t>
  </si>
  <si>
    <t>53033005803</t>
  </si>
  <si>
    <t>WBY7Z2C56J</t>
  </si>
  <si>
    <t>WBY7Z4C56J</t>
  </si>
  <si>
    <t>WBY7Z6C51J</t>
  </si>
  <si>
    <t>WBY7Z8C54J</t>
  </si>
  <si>
    <t>53071920701</t>
  </si>
  <si>
    <t>WBY7Z8C59J</t>
  </si>
  <si>
    <t>WBY83FB06R</t>
  </si>
  <si>
    <t>WBY83FB0XR</t>
  </si>
  <si>
    <t>WBY8P2C53K</t>
  </si>
  <si>
    <t>153</t>
  </si>
  <si>
    <t>WBY8P4C54K</t>
  </si>
  <si>
    <t>126</t>
  </si>
  <si>
    <t>WDDUG6DB5H</t>
  </si>
  <si>
    <t>Ferndale</t>
  </si>
  <si>
    <t>S-CLASS</t>
  </si>
  <si>
    <t>POINT (-122.5945 48.84787)</t>
  </si>
  <si>
    <t>53073010600</t>
  </si>
  <si>
    <t>WDDVP9AB0G</t>
  </si>
  <si>
    <t>B-CLASS</t>
  </si>
  <si>
    <t>WDDVP9AB6E</t>
  </si>
  <si>
    <t>53067011822</t>
  </si>
  <si>
    <t>WMEEJ9AA1G</t>
  </si>
  <si>
    <t>SMART</t>
  </si>
  <si>
    <t>FORTWO</t>
  </si>
  <si>
    <t>68</t>
  </si>
  <si>
    <t>WMEEJ9AA3G</t>
  </si>
  <si>
    <t>53035091204</t>
  </si>
  <si>
    <t>WMEFJ9BAXH</t>
  </si>
  <si>
    <t>WMEFJ9BAXJ</t>
  </si>
  <si>
    <t>EQ FORTWO</t>
  </si>
  <si>
    <t>WMW13DJ00P</t>
  </si>
  <si>
    <t>MINI</t>
  </si>
  <si>
    <t>HARDTOP</t>
  </si>
  <si>
    <t>WMW13DJ05N</t>
  </si>
  <si>
    <t>53057940401</t>
  </si>
  <si>
    <t>WMW13DJ06N</t>
  </si>
  <si>
    <t>53061050402</t>
  </si>
  <si>
    <t>WMW13DJ08P</t>
  </si>
  <si>
    <t>WMW13DJ09N</t>
  </si>
  <si>
    <t>WMWXP3C07M</t>
  </si>
  <si>
    <t>110</t>
  </si>
  <si>
    <t>WMWXP3C08M</t>
  </si>
  <si>
    <t>WMZ23BS09N</t>
  </si>
  <si>
    <t>COUNTRYMAN</t>
  </si>
  <si>
    <t>POINT (-122.51495 47.16196)</t>
  </si>
  <si>
    <t>BONNEVILLE POWER ADMINISTRATION||CITY OF TACOMA - (WA)||LAKEVIEW LIGHT &amp; POWER|PENINSULA LIGHT COMPANY</t>
  </si>
  <si>
    <t>53053071806</t>
  </si>
  <si>
    <t>WP0AB2Y17N</t>
  </si>
  <si>
    <t>PORSCHE</t>
  </si>
  <si>
    <t>TAYCAN</t>
  </si>
  <si>
    <t>53033029305</t>
  </si>
  <si>
    <t>WP0AB2Y17P</t>
  </si>
  <si>
    <t>WP0AB2Y1XL</t>
  </si>
  <si>
    <t>203</t>
  </si>
  <si>
    <t>WP0AC2Y17N</t>
  </si>
  <si>
    <t>WP0AD2Y11N</t>
  </si>
  <si>
    <t>WP0AD2Y1XP</t>
  </si>
  <si>
    <t>WP0AE2A78J</t>
  </si>
  <si>
    <t>PANAMERA</t>
  </si>
  <si>
    <t>WP0AE2YA5S</t>
  </si>
  <si>
    <t>53061041304</t>
  </si>
  <si>
    <t>WP0BC2Y13P</t>
  </si>
  <si>
    <t>53063005000</t>
  </si>
  <si>
    <t>WP0CH2A76J</t>
  </si>
  <si>
    <t>184400</t>
  </si>
  <si>
    <t>WP1AA2XAXS</t>
  </si>
  <si>
    <t>MACAN</t>
  </si>
  <si>
    <t>WP1AE2AY1L</t>
  </si>
  <si>
    <t>CAYENNE</t>
  </si>
  <si>
    <t>81100</t>
  </si>
  <si>
    <t>WP1BE2AY2S</t>
  </si>
  <si>
    <t>WP1BN2AY7S</t>
  </si>
  <si>
    <t>WVG6YVEB0S</t>
  </si>
  <si>
    <t>ID. BUZZ</t>
  </si>
  <si>
    <t>53063014500</t>
  </si>
  <si>
    <t>WVGDMPE22M</t>
  </si>
  <si>
    <t>53073000807</t>
  </si>
  <si>
    <t>WVGDMPE24M</t>
  </si>
  <si>
    <t>WVGJNPE24N</t>
  </si>
  <si>
    <t>WVGNYVEB2S</t>
  </si>
  <si>
    <t>WVGUNPE23M</t>
  </si>
  <si>
    <t>WVGUNPE25N</t>
  </si>
  <si>
    <t>WVGUNPE29N</t>
  </si>
  <si>
    <t>WVWKP7AU9G</t>
  </si>
  <si>
    <t>E-GOLF</t>
  </si>
  <si>
    <t>83</t>
  </si>
  <si>
    <t>53061041500</t>
  </si>
  <si>
    <t>WVWKR7AU8K</t>
  </si>
  <si>
    <t>125</t>
  </si>
  <si>
    <t>WVWKR7AUXH</t>
  </si>
  <si>
    <t>WVWKR7AUXK</t>
  </si>
  <si>
    <t>WVWPP7AU8G</t>
  </si>
  <si>
    <t>WVWPR7AU8K</t>
  </si>
  <si>
    <t>WVWPR7AUXJ</t>
  </si>
  <si>
    <t>YV1BK0EP1M</t>
  </si>
  <si>
    <t>V60</t>
  </si>
  <si>
    <t>YV1H60EP7R</t>
  </si>
  <si>
    <t>53035090400</t>
  </si>
  <si>
    <t>YV1H60EP8R</t>
  </si>
  <si>
    <t>YV4BR0CK6M</t>
  </si>
  <si>
    <t>XC90</t>
  </si>
  <si>
    <t>53061052504</t>
  </si>
  <si>
    <t>YV4BR0CKXN</t>
  </si>
  <si>
    <t>53029970401</t>
  </si>
  <si>
    <t>YV4BR0CL5M</t>
  </si>
  <si>
    <t>YV4BR0CL6M</t>
  </si>
  <si>
    <t>YV4BR0CMXM</t>
  </si>
  <si>
    <t>YV4BR0DK8M</t>
  </si>
  <si>
    <t>53033005201</t>
  </si>
  <si>
    <t>YV4BR0DKXM</t>
  </si>
  <si>
    <t>YV4BR0DL1L</t>
  </si>
  <si>
    <t>Greenbank</t>
  </si>
  <si>
    <t>POINT (-122.56817 48.08827)</t>
  </si>
  <si>
    <t>53029971302</t>
  </si>
  <si>
    <t>YV4BR0DM2L</t>
  </si>
  <si>
    <t>YV4BR0PL3J</t>
  </si>
  <si>
    <t>64950</t>
  </si>
  <si>
    <t>YV4ED3GB7N</t>
  </si>
  <si>
    <t>C40</t>
  </si>
  <si>
    <t>YV4ED3GB8N</t>
  </si>
  <si>
    <t>YV4ED3GK8P</t>
  </si>
  <si>
    <t>YV4ED3UM7P</t>
  </si>
  <si>
    <t>XC40</t>
  </si>
  <si>
    <t>YV4ED3UR1M</t>
  </si>
  <si>
    <t>53057950801</t>
  </si>
  <si>
    <t>YV4ED3UR9N</t>
  </si>
  <si>
    <t>YV4ED3URXM</t>
  </si>
  <si>
    <t>53033032325</t>
  </si>
  <si>
    <t>YV4EK3ZL7S</t>
  </si>
  <si>
    <t>EX30</t>
  </si>
  <si>
    <t>YV4ER3HL0S</t>
  </si>
  <si>
    <t>EX40</t>
  </si>
  <si>
    <t>YV4ER3XK0R</t>
  </si>
  <si>
    <t>53033020200</t>
  </si>
  <si>
    <t>YV4H600A3P</t>
  </si>
  <si>
    <t>YV4H60CW2P</t>
  </si>
  <si>
    <t>53033001100</t>
  </si>
  <si>
    <t>YV4H60CX0P</t>
  </si>
  <si>
    <t>53077001601</t>
  </si>
  <si>
    <t>YV4H60CXXP</t>
  </si>
  <si>
    <t>YV4H60DJ7R</t>
  </si>
  <si>
    <t>YV4H60DJ9R</t>
  </si>
  <si>
    <t>YV4H60DM6R</t>
  </si>
  <si>
    <t>YV4H60DX2P</t>
  </si>
  <si>
    <t>53075000202</t>
  </si>
  <si>
    <t>YV4H60RC0S</t>
  </si>
  <si>
    <t>YV4H60RM8S</t>
  </si>
  <si>
    <t>ZACPDFCWXR</t>
  </si>
  <si>
    <t>Orting</t>
  </si>
  <si>
    <t>HORNET</t>
  </si>
  <si>
    <t>POINT (-122.20166 47.09596)</t>
  </si>
  <si>
    <t>53053070404</t>
  </si>
  <si>
    <t>ZACPDFDW1R</t>
  </si>
  <si>
    <t>53033031302</t>
  </si>
  <si>
    <t>ZASPATDW0R</t>
  </si>
  <si>
    <t>ALFA ROMEO</t>
  </si>
  <si>
    <t>TONALE</t>
  </si>
  <si>
    <t>53053060903</t>
  </si>
  <si>
    <t>ZFAFFAA43R</t>
  </si>
  <si>
    <t>500E</t>
  </si>
  <si>
    <t>53033029408</t>
  </si>
  <si>
    <t>ZFAFFAA4XR</t>
  </si>
  <si>
    <t>ZFAFFAC40R</t>
  </si>
  <si>
    <t>Total general</t>
  </si>
  <si>
    <t>Cuenta de VIN (1-10)</t>
  </si>
  <si>
    <t>Cuenta de DOL Vehicle ID</t>
  </si>
  <si>
    <t>Recuento distinto de VIN (1-10)</t>
  </si>
  <si>
    <t>KPIs</t>
  </si>
  <si>
    <t>Etiquetas de fila</t>
  </si>
  <si>
    <t>BEV</t>
  </si>
  <si>
    <t>PHEV</t>
  </si>
  <si>
    <t>Evolucion registros</t>
  </si>
  <si>
    <t>Densidad en función de la comarca</t>
  </si>
  <si>
    <t>Comarcas</t>
  </si>
  <si>
    <t>Registros</t>
  </si>
  <si>
    <t>Porcentaje</t>
  </si>
  <si>
    <t>Registros por mascas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</si>
</sst>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3" fillId="0" borderId="0" xfId="1"/>
    <xf numFmtId="0" fontId="0" fillId="0" borderId="3" xfId="0" applyBorder="1"/>
    <xf numFmtId="0" fontId="0" fillId="0" borderId="4" xfId="0" applyNumberFormat="1" applyBorder="1"/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5" xfId="0" applyNumberFormat="1" applyBorder="1"/>
    <xf numFmtId="0" fontId="0" fillId="0" borderId="6" xfId="0" applyBorder="1" applyAlignment="1">
      <alignment horizontal="left"/>
    </xf>
    <xf numFmtId="10" fontId="0" fillId="0" borderId="3" xfId="0" applyNumberFormat="1" applyBorder="1"/>
    <xf numFmtId="10" fontId="0" fillId="0" borderId="5" xfId="0" applyNumberFormat="1" applyBorder="1"/>
    <xf numFmtId="10" fontId="0" fillId="0" borderId="4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4" fillId="2" borderId="0" xfId="0" applyFont="1" applyFill="1" applyAlignment="1"/>
    <xf numFmtId="0" fontId="0" fillId="2" borderId="0" xfId="0" applyFill="1" applyAlignment="1"/>
  </cellXfs>
  <cellStyles count="2">
    <cellStyle name="Normal" xfId="0" builtinId="0"/>
    <cellStyle name="Normal 2" xfId="1" xr:uid="{36E5E1BD-E09B-4197-84BA-C4B9423A421D}"/>
  </cellStyles>
  <dxfs count="13">
    <dxf>
      <fill>
        <patternFill patternType="solid">
          <fgColor rgb="FFF4CCCC"/>
          <bgColor rgb="FFF4CCCC"/>
        </patternFill>
      </fill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Electric_Vehicle-style" pivot="0" count="4" xr9:uid="{00000000-0011-0000-FFFF-FFFF00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SegmentadorProveedor 2" pivot="0" table="0" count="10" xr9:uid="{ABC32DA6-E358-42B7-855C-4FE2AC76CB20}">
      <tableStyleElement type="wholeTable" dxfId="8"/>
      <tableStyleElement type="headerRow" dxfId="7"/>
    </tableStyle>
    <tableStyle name="SegmentadorProveedor 2 2" pivot="0" table="0" count="10" xr9:uid="{B43EA91C-C64F-4FEC-8D9B-D63A665820AB}">
      <tableStyleElement type="wholeTable" dxfId="6"/>
      <tableStyleElement type="headerRow" dxfId="5"/>
    </tableStyle>
    <tableStyle name="SegmentadorProveedor 2 3" pivot="0" table="0" count="10" xr9:uid="{85A08D8C-6587-489B-9E87-EA1839E75319}">
      <tableStyleElement type="wholeTable" dxfId="4"/>
      <tableStyleElement type="headerRow" dxfId="3"/>
    </tableStyle>
    <tableStyle name="SegmentadorProveedor 2 4" pivot="0" table="0" count="10" xr9:uid="{E93AD758-92FA-41F6-A382-33A0D48925ED}">
      <tableStyleElement type="wholeTable" dxfId="2"/>
      <tableStyleElement type="headerRow" dxfId="1"/>
    </tableStyle>
  </tableStyle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gmentadorProveedor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egmentadorProveedor 2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egmentadorProveedor 2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egmentadorProveedor 2 4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powerPivotData" Target="model/item.data"/><Relationship Id="rId10" Type="http://schemas.microsoft.com/office/2007/relationships/slicerCache" Target="slicerCaches/slicerCache2.xml"/><Relationship Id="rId4" Type="http://schemas.openxmlformats.org/officeDocument/2006/relationships/externalLink" Target="externalLinks/externalLink1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390256"/>
        <c:axId val="192391968"/>
      </c:lineChart>
      <c:catAx>
        <c:axId val="192390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391968"/>
        <c:crosses val="autoZero"/>
        <c:auto val="1"/>
        <c:lblAlgn val="ctr"/>
        <c:lblOffset val="100"/>
        <c:noMultiLvlLbl val="0"/>
      </c:catAx>
      <c:valAx>
        <c:axId val="19239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39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596672"/>
        <c:axId val="1083579360"/>
      </c:lineChart>
      <c:catAx>
        <c:axId val="108359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3579360"/>
        <c:crosses val="autoZero"/>
        <c:auto val="1"/>
        <c:lblAlgn val="ctr"/>
        <c:lblOffset val="100"/>
        <c:noMultiLvlLbl val="0"/>
      </c:catAx>
      <c:valAx>
        <c:axId val="108357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359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/>
                </a:gs>
                <a:gs pos="46000">
                  <a:schemeClr val="accent5"/>
                </a:gs>
                <a:gs pos="100000">
                  <a:schemeClr val="accent5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79168320"/>
        <c:axId val="1079197168"/>
      </c:barChart>
      <c:catAx>
        <c:axId val="107916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9197168"/>
        <c:crosses val="autoZero"/>
        <c:auto val="1"/>
        <c:lblAlgn val="ctr"/>
        <c:lblOffset val="100"/>
        <c:noMultiLvlLbl val="0"/>
      </c:catAx>
      <c:valAx>
        <c:axId val="1079197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91683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9983920"/>
        <c:axId val="929987280"/>
      </c:lineChart>
      <c:catAx>
        <c:axId val="92998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9987280"/>
        <c:crosses val="autoZero"/>
        <c:auto val="1"/>
        <c:lblAlgn val="ctr"/>
        <c:lblOffset val="100"/>
        <c:noMultiLvlLbl val="0"/>
      </c:catAx>
      <c:valAx>
        <c:axId val="929987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998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[Electric_Vehicle_Population_Data_Carlos.xlsx]Analisis!PorcentajePorTipoElectrificacion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Analisis!$H$5:$H$7</c:f>
              <c:strCache>
                <c:ptCount val="2"/>
                <c:pt idx="0">
                  <c:v>BEV</c:v>
                </c:pt>
                <c:pt idx="1">
                  <c:v>PHEV</c:v>
                </c:pt>
              </c:strCache>
            </c:strRef>
          </c:cat>
          <c:val>
            <c:numRef>
              <c:f>Analisis!$I$5:$I$7</c:f>
              <c:numCache>
                <c:formatCode>0.00%</c:formatCode>
                <c:ptCount val="2"/>
                <c:pt idx="0">
                  <c:v>0.72410865874363328</c:v>
                </c:pt>
                <c:pt idx="1">
                  <c:v>0.27589134125636672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F-409B-B2BA-95F44E76D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228672"/>
        <c:axId val="1463228192"/>
      </c:barChart>
      <c:catAx>
        <c:axId val="146322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3228192"/>
        <c:crosses val="autoZero"/>
        <c:auto val="1"/>
        <c:lblAlgn val="ctr"/>
        <c:lblOffset val="100"/>
        <c:noMultiLvlLbl val="0"/>
      </c:catAx>
      <c:valAx>
        <c:axId val="14632281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6322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[Electric_Vehicle_Population_Data_Carlos.xlsx]Analisis!EvolucionRegistros</c:name>
    <c:fmtId val="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Analisis!$E$13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Analisis!$D$14:$D$31</c:f>
              <c:strCache>
                <c:ptCount val="17"/>
                <c:pt idx="0">
                  <c:v>2008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strCache>
            </c:strRef>
          </c:cat>
          <c:val>
            <c:numRef>
              <c:f>Analisis!$E$14:$E$31</c:f>
              <c:numCache>
                <c:formatCode>General</c:formatCode>
                <c:ptCount val="17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23</c:v>
                </c:pt>
                <c:pt idx="4">
                  <c:v>18</c:v>
                </c:pt>
                <c:pt idx="5">
                  <c:v>33</c:v>
                </c:pt>
                <c:pt idx="6">
                  <c:v>36</c:v>
                </c:pt>
                <c:pt idx="7">
                  <c:v>34</c:v>
                </c:pt>
                <c:pt idx="8">
                  <c:v>93</c:v>
                </c:pt>
                <c:pt idx="9">
                  <c:v>80</c:v>
                </c:pt>
                <c:pt idx="10">
                  <c:v>87</c:v>
                </c:pt>
                <c:pt idx="11">
                  <c:v>72</c:v>
                </c:pt>
                <c:pt idx="12">
                  <c:v>129</c:v>
                </c:pt>
                <c:pt idx="13">
                  <c:v>217</c:v>
                </c:pt>
                <c:pt idx="14">
                  <c:v>167</c:v>
                </c:pt>
                <c:pt idx="15">
                  <c:v>134</c:v>
                </c:pt>
                <c:pt idx="16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1B-422C-9397-10B469F0D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dropLines>
        <c:marker val="1"/>
        <c:smooth val="0"/>
        <c:axId val="1071081247"/>
        <c:axId val="1071077887"/>
      </c:lineChart>
      <c:catAx>
        <c:axId val="107108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1077887"/>
        <c:crosses val="autoZero"/>
        <c:auto val="1"/>
        <c:lblAlgn val="ctr"/>
        <c:lblOffset val="100"/>
        <c:noMultiLvlLbl val="0"/>
      </c:catAx>
      <c:valAx>
        <c:axId val="1071077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108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[Electric_Vehicle_Population_Data_Carlos.xlsx]Analisis!RegistrosPOrMarca</c:name>
    <c:fmtId val="9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Analisis!$M$13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Analisis!$L$14:$L$44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CADILLAC</c:v>
                </c:pt>
                <c:pt idx="4">
                  <c:v>CHEVROLET</c:v>
                </c:pt>
                <c:pt idx="5">
                  <c:v>DODGE</c:v>
                </c:pt>
                <c:pt idx="6">
                  <c:v>FIAT</c:v>
                </c:pt>
                <c:pt idx="7">
                  <c:v>FISKER</c:v>
                </c:pt>
                <c:pt idx="8">
                  <c:v>FORD</c:v>
                </c:pt>
                <c:pt idx="9">
                  <c:v>GENESIS</c:v>
                </c:pt>
                <c:pt idx="10">
                  <c:v>GMC</c:v>
                </c:pt>
                <c:pt idx="11">
                  <c:v>HONDA</c:v>
                </c:pt>
                <c:pt idx="12">
                  <c:v>HYUNDAI</c:v>
                </c:pt>
                <c:pt idx="13">
                  <c:v>JEEP</c:v>
                </c:pt>
                <c:pt idx="14">
                  <c:v>KIA</c:v>
                </c:pt>
                <c:pt idx="15">
                  <c:v>LEXUS</c:v>
                </c:pt>
                <c:pt idx="16">
                  <c:v>LUCID</c:v>
                </c:pt>
                <c:pt idx="17">
                  <c:v>MERCEDES-BENZ</c:v>
                </c:pt>
                <c:pt idx="18">
                  <c:v>MINI</c:v>
                </c:pt>
                <c:pt idx="19">
                  <c:v>NISSAN</c:v>
                </c:pt>
                <c:pt idx="20">
                  <c:v>POLESTAR</c:v>
                </c:pt>
                <c:pt idx="21">
                  <c:v>PORSCHE</c:v>
                </c:pt>
                <c:pt idx="22">
                  <c:v>RAM</c:v>
                </c:pt>
                <c:pt idx="23">
                  <c:v>RIVIAN</c:v>
                </c:pt>
                <c:pt idx="24">
                  <c:v>SMART</c:v>
                </c:pt>
                <c:pt idx="25">
                  <c:v>SUBARU</c:v>
                </c:pt>
                <c:pt idx="26">
                  <c:v>TESLA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Analisis!$M$14:$M$44</c:f>
              <c:numCache>
                <c:formatCode>General</c:formatCode>
                <c:ptCount val="30"/>
                <c:pt idx="0">
                  <c:v>3</c:v>
                </c:pt>
                <c:pt idx="1">
                  <c:v>21</c:v>
                </c:pt>
                <c:pt idx="2">
                  <c:v>28</c:v>
                </c:pt>
                <c:pt idx="3">
                  <c:v>4</c:v>
                </c:pt>
                <c:pt idx="4">
                  <c:v>57</c:v>
                </c:pt>
                <c:pt idx="5">
                  <c:v>1</c:v>
                </c:pt>
                <c:pt idx="6">
                  <c:v>13</c:v>
                </c:pt>
                <c:pt idx="7">
                  <c:v>1</c:v>
                </c:pt>
                <c:pt idx="8">
                  <c:v>45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  <c:pt idx="12">
                  <c:v>37</c:v>
                </c:pt>
                <c:pt idx="13">
                  <c:v>1</c:v>
                </c:pt>
                <c:pt idx="14">
                  <c:v>57</c:v>
                </c:pt>
                <c:pt idx="15">
                  <c:v>3</c:v>
                </c:pt>
                <c:pt idx="16">
                  <c:v>3</c:v>
                </c:pt>
                <c:pt idx="17">
                  <c:v>8</c:v>
                </c:pt>
                <c:pt idx="18">
                  <c:v>7</c:v>
                </c:pt>
                <c:pt idx="19">
                  <c:v>135</c:v>
                </c:pt>
                <c:pt idx="20">
                  <c:v>6</c:v>
                </c:pt>
                <c:pt idx="21">
                  <c:v>8</c:v>
                </c:pt>
                <c:pt idx="22">
                  <c:v>1</c:v>
                </c:pt>
                <c:pt idx="23">
                  <c:v>37</c:v>
                </c:pt>
                <c:pt idx="24">
                  <c:v>4</c:v>
                </c:pt>
                <c:pt idx="25">
                  <c:v>14</c:v>
                </c:pt>
                <c:pt idx="26">
                  <c:v>603</c:v>
                </c:pt>
                <c:pt idx="27">
                  <c:v>6</c:v>
                </c:pt>
                <c:pt idx="28">
                  <c:v>36</c:v>
                </c:pt>
                <c:pt idx="2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1-4862-9A4D-A3E0726716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00281968"/>
        <c:axId val="1500286288"/>
      </c:barChart>
      <c:catAx>
        <c:axId val="150028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00286288"/>
        <c:crosses val="autoZero"/>
        <c:auto val="1"/>
        <c:lblAlgn val="ctr"/>
        <c:lblOffset val="100"/>
        <c:noMultiLvlLbl val="0"/>
      </c:catAx>
      <c:valAx>
        <c:axId val="150028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0028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9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12" Type="http://schemas.openxmlformats.org/officeDocument/2006/relationships/chart" Target="../charts/chart8.xml"/><Relationship Id="rId17" Type="http://schemas.openxmlformats.org/officeDocument/2006/relationships/image" Target="../media/image5.emf"/><Relationship Id="rId2" Type="http://schemas.openxmlformats.org/officeDocument/2006/relationships/image" Target="../media/image2.svg"/><Relationship Id="rId16" Type="http://schemas.openxmlformats.org/officeDocument/2006/relationships/chart" Target="../charts/chart12.xml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chart" Target="../charts/chart7.xml"/><Relationship Id="rId5" Type="http://schemas.openxmlformats.org/officeDocument/2006/relationships/chart" Target="../charts/chart1.xml"/><Relationship Id="rId15" Type="http://schemas.openxmlformats.org/officeDocument/2006/relationships/chart" Target="../charts/chart11.xml"/><Relationship Id="rId10" Type="http://schemas.openxmlformats.org/officeDocument/2006/relationships/chart" Target="../charts/chart6.xml"/><Relationship Id="rId4" Type="http://schemas.openxmlformats.org/officeDocument/2006/relationships/image" Target="../media/image4.svg"/><Relationship Id="rId9" Type="http://schemas.openxmlformats.org/officeDocument/2006/relationships/chart" Target="../charts/chart5.xml"/><Relationship Id="rId1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119343</xdr:colOff>
      <xdr:row>32</xdr:row>
      <xdr:rowOff>47625</xdr:rowOff>
    </xdr:from>
    <xdr:to>
      <xdr:col>4</xdr:col>
      <xdr:colOff>412937</xdr:colOff>
      <xdr:row>47</xdr:row>
      <xdr:rowOff>75639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Electric Vehicle Type">
              <a:extLst>
                <a:ext uri="{FF2B5EF4-FFF2-40B4-BE49-F238E27FC236}">
                  <a16:creationId xmlns:a16="http://schemas.microsoft.com/office/drawing/2014/main" id="{A5A7027D-C1BC-6EF7-0AF6-64509C1CA2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lectric Vehicle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1519" y="506786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616323</xdr:colOff>
      <xdr:row>13</xdr:row>
      <xdr:rowOff>40341</xdr:rowOff>
    </xdr:from>
    <xdr:to>
      <xdr:col>6</xdr:col>
      <xdr:colOff>629770</xdr:colOff>
      <xdr:row>28</xdr:row>
      <xdr:rowOff>68356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County">
              <a:extLst>
                <a:ext uri="{FF2B5EF4-FFF2-40B4-BE49-F238E27FC236}">
                  <a16:creationId xmlns:a16="http://schemas.microsoft.com/office/drawing/2014/main" id="{E9166683-02D0-1B08-B08C-24621A5E90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6352" y="2079812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0</xdr:row>
      <xdr:rowOff>117231</xdr:rowOff>
    </xdr:from>
    <xdr:to>
      <xdr:col>16</xdr:col>
      <xdr:colOff>448235</xdr:colOff>
      <xdr:row>40</xdr:row>
      <xdr:rowOff>78395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8E194D0-8A90-4EB3-98F3-502D5AE2CB67}"/>
            </a:ext>
          </a:extLst>
        </xdr:cNvPr>
        <xdr:cNvSpPr>
          <a:spLocks/>
        </xdr:cNvSpPr>
      </xdr:nvSpPr>
      <xdr:spPr>
        <a:xfrm>
          <a:off x="152399" y="117231"/>
          <a:ext cx="12353365" cy="7581164"/>
        </a:xfrm>
        <a:prstGeom prst="rect">
          <a:avLst/>
        </a:prstGeom>
        <a:gradFill flip="none" rotWithShape="1">
          <a:gsLst>
            <a:gs pos="0">
              <a:schemeClr val="accent6">
                <a:lumMod val="20000"/>
                <a:lumOff val="80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0</xdr:col>
      <xdr:colOff>21291</xdr:colOff>
      <xdr:row>1</xdr:row>
      <xdr:rowOff>56590</xdr:rowOff>
    </xdr:from>
    <xdr:to>
      <xdr:col>16</xdr:col>
      <xdr:colOff>302559</xdr:colOff>
      <xdr:row>40</xdr:row>
      <xdr:rowOff>22971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3DA45808-3ADD-43D5-A285-7E65E4962817}"/>
            </a:ext>
          </a:extLst>
        </xdr:cNvPr>
        <xdr:cNvSpPr/>
      </xdr:nvSpPr>
      <xdr:spPr>
        <a:xfrm>
          <a:off x="21291" y="247090"/>
          <a:ext cx="12338797" cy="7395881"/>
        </a:xfrm>
        <a:prstGeom prst="roundRect">
          <a:avLst>
            <a:gd name="adj" fmla="val 8559"/>
          </a:avLst>
        </a:prstGeom>
        <a:solidFill>
          <a:schemeClr val="bg1">
            <a:alpha val="3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_tradnl" sz="1100"/>
            <a:t>j</a:t>
          </a:r>
        </a:p>
      </xdr:txBody>
    </xdr:sp>
    <xdr:clientData/>
  </xdr:twoCellAnchor>
  <xdr:twoCellAnchor>
    <xdr:from>
      <xdr:col>1</xdr:col>
      <xdr:colOff>2</xdr:colOff>
      <xdr:row>0</xdr:row>
      <xdr:rowOff>200949</xdr:rowOff>
    </xdr:from>
    <xdr:to>
      <xdr:col>3</xdr:col>
      <xdr:colOff>241142</xdr:colOff>
      <xdr:row>39</xdr:row>
      <xdr:rowOff>31358</xdr:rowOff>
    </xdr:to>
    <xdr:sp macro="" textlink="">
      <xdr:nvSpPr>
        <xdr:cNvPr id="4" name="Redondear rectángulo de esquina del mismo lado 3">
          <a:extLst>
            <a:ext uri="{FF2B5EF4-FFF2-40B4-BE49-F238E27FC236}">
              <a16:creationId xmlns:a16="http://schemas.microsoft.com/office/drawing/2014/main" id="{297B2320-ED82-41F0-A90A-B2B7481955B6}"/>
            </a:ext>
          </a:extLst>
        </xdr:cNvPr>
        <xdr:cNvSpPr/>
      </xdr:nvSpPr>
      <xdr:spPr>
        <a:xfrm rot="16200000">
          <a:off x="-2552120" y="3057871"/>
          <a:ext cx="7631384" cy="1917540"/>
        </a:xfrm>
        <a:prstGeom prst="round2SameRect">
          <a:avLst>
            <a:gd name="adj1" fmla="val 37046"/>
            <a:gd name="adj2" fmla="val 0"/>
          </a:avLst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5</xdr:col>
      <xdr:colOff>715099</xdr:colOff>
      <xdr:row>2</xdr:row>
      <xdr:rowOff>46223</xdr:rowOff>
    </xdr:from>
    <xdr:to>
      <xdr:col>8</xdr:col>
      <xdr:colOff>376253</xdr:colOff>
      <xdr:row>7</xdr:row>
      <xdr:rowOff>145676</xdr:rowOff>
    </xdr:to>
    <xdr:sp macro="" textlink="Analisis!F7">
      <xdr:nvSpPr>
        <xdr:cNvPr id="5" name="Rectángulo redondeado 5">
          <a:extLst>
            <a:ext uri="{FF2B5EF4-FFF2-40B4-BE49-F238E27FC236}">
              <a16:creationId xmlns:a16="http://schemas.microsoft.com/office/drawing/2014/main" id="{5032859E-82AC-4D16-B696-B97835F45A89}"/>
            </a:ext>
          </a:extLst>
        </xdr:cNvPr>
        <xdr:cNvSpPr/>
      </xdr:nvSpPr>
      <xdr:spPr>
        <a:xfrm>
          <a:off x="4065658" y="427223"/>
          <a:ext cx="1947154" cy="1051953"/>
        </a:xfrm>
        <a:prstGeom prst="roundRect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3BA07D8E-B47D-472A-A873-5077BA178160}" type="TxLink">
            <a:rPr lang="en-US" sz="2800" b="0" i="0" u="none" strike="noStrike">
              <a:solidFill>
                <a:srgbClr val="000000"/>
              </a:solidFill>
              <a:latin typeface="Arial"/>
              <a:ea typeface="+mn-ea"/>
              <a:cs typeface="Arial"/>
            </a:rPr>
            <a:t>1178</a:t>
          </a:fld>
          <a:endParaRPr lang="en-US" sz="28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481961</xdr:colOff>
      <xdr:row>2</xdr:row>
      <xdr:rowOff>28574</xdr:rowOff>
    </xdr:from>
    <xdr:to>
      <xdr:col>12</xdr:col>
      <xdr:colOff>491377</xdr:colOff>
      <xdr:row>7</xdr:row>
      <xdr:rowOff>133349</xdr:rowOff>
    </xdr:to>
    <xdr:sp macro="" textlink="[1]Analisis!K7">
      <xdr:nvSpPr>
        <xdr:cNvPr id="7" name="Rectángulo redondeado 7">
          <a:extLst>
            <a:ext uri="{FF2B5EF4-FFF2-40B4-BE49-F238E27FC236}">
              <a16:creationId xmlns:a16="http://schemas.microsoft.com/office/drawing/2014/main" id="{12E2CBEF-4797-47EA-9D5F-E41F8E3FADF3}"/>
            </a:ext>
          </a:extLst>
        </xdr:cNvPr>
        <xdr:cNvSpPr/>
      </xdr:nvSpPr>
      <xdr:spPr>
        <a:xfrm>
          <a:off x="6120761" y="409574"/>
          <a:ext cx="3057416" cy="1057275"/>
        </a:xfrm>
        <a:prstGeom prst="roundRect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US" sz="28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361042</xdr:colOff>
      <xdr:row>2</xdr:row>
      <xdr:rowOff>6507</xdr:rowOff>
    </xdr:from>
    <xdr:to>
      <xdr:col>5</xdr:col>
      <xdr:colOff>665842</xdr:colOff>
      <xdr:row>3</xdr:row>
      <xdr:rowOff>70007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9A82BF6C-AF93-4485-AA6C-F3278E040341}"/>
            </a:ext>
          </a:extLst>
        </xdr:cNvPr>
        <xdr:cNvSpPr txBox="1"/>
      </xdr:nvSpPr>
      <xdr:spPr>
        <a:xfrm>
          <a:off x="2187601" y="387507"/>
          <a:ext cx="18288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000" b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Registros totales</a:t>
          </a:r>
        </a:p>
      </xdr:txBody>
    </xdr:sp>
    <xdr:clientData/>
  </xdr:twoCellAnchor>
  <xdr:twoCellAnchor>
    <xdr:from>
      <xdr:col>5</xdr:col>
      <xdr:colOff>713654</xdr:colOff>
      <xdr:row>2</xdr:row>
      <xdr:rowOff>28920</xdr:rowOff>
    </xdr:from>
    <xdr:to>
      <xdr:col>8</xdr:col>
      <xdr:colOff>202025</xdr:colOff>
      <xdr:row>3</xdr:row>
      <xdr:rowOff>92420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B8E9D2E-35C7-4C7E-9363-E3ACE5AA1D0E}"/>
            </a:ext>
          </a:extLst>
        </xdr:cNvPr>
        <xdr:cNvSpPr txBox="1"/>
      </xdr:nvSpPr>
      <xdr:spPr>
        <a:xfrm>
          <a:off x="4064213" y="409920"/>
          <a:ext cx="1774371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000" b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Vehiculos</a:t>
          </a:r>
          <a:r>
            <a:rPr lang="es-ES_tradnl" sz="1000" b="0" baseline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 registrados</a:t>
          </a:r>
          <a:endParaRPr lang="es-ES_tradnl" sz="1000" b="0">
            <a:solidFill>
              <a:schemeClr val="bg2">
                <a:lumMod val="50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8</xdr:col>
      <xdr:colOff>563035</xdr:colOff>
      <xdr:row>2</xdr:row>
      <xdr:rowOff>12111</xdr:rowOff>
    </xdr:from>
    <xdr:to>
      <xdr:col>11</xdr:col>
      <xdr:colOff>484289</xdr:colOff>
      <xdr:row>3</xdr:row>
      <xdr:rowOff>75611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63A39062-150D-4F74-AF6B-077C7244CD15}"/>
            </a:ext>
          </a:extLst>
        </xdr:cNvPr>
        <xdr:cNvSpPr txBox="1"/>
      </xdr:nvSpPr>
      <xdr:spPr>
        <a:xfrm>
          <a:off x="6201835" y="393111"/>
          <a:ext cx="2207254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000" b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% Tipo electrificación</a:t>
          </a:r>
        </a:p>
      </xdr:txBody>
    </xdr:sp>
    <xdr:clientData/>
  </xdr:twoCellAnchor>
  <xdr:twoCellAnchor editAs="oneCell">
    <xdr:from>
      <xdr:col>5</xdr:col>
      <xdr:colOff>241461</xdr:colOff>
      <xdr:row>2</xdr:row>
      <xdr:rowOff>11411</xdr:rowOff>
    </xdr:from>
    <xdr:to>
      <xdr:col>5</xdr:col>
      <xdr:colOff>561433</xdr:colOff>
      <xdr:row>4</xdr:row>
      <xdr:rowOff>2845</xdr:rowOff>
    </xdr:to>
    <xdr:pic>
      <xdr:nvPicPr>
        <xdr:cNvPr id="12" name="Gráfico 11" descr="Lista de comprobación con relleno sólido">
          <a:extLst>
            <a:ext uri="{FF2B5EF4-FFF2-40B4-BE49-F238E27FC236}">
              <a16:creationId xmlns:a16="http://schemas.microsoft.com/office/drawing/2014/main" id="{D208CD58-CCD1-4EC8-9943-4807EC152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92020" y="392411"/>
          <a:ext cx="319972" cy="372434"/>
        </a:xfrm>
        <a:prstGeom prst="rect">
          <a:avLst/>
        </a:prstGeom>
      </xdr:spPr>
    </xdr:pic>
    <xdr:clientData/>
  </xdr:twoCellAnchor>
  <xdr:twoCellAnchor>
    <xdr:from>
      <xdr:col>7</xdr:col>
      <xdr:colOff>709975</xdr:colOff>
      <xdr:row>2</xdr:row>
      <xdr:rowOff>100239</xdr:rowOff>
    </xdr:from>
    <xdr:to>
      <xdr:col>8</xdr:col>
      <xdr:colOff>289546</xdr:colOff>
      <xdr:row>4</xdr:row>
      <xdr:rowOff>92687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11AE6EC7-D368-4054-94E4-59F9F8D186BE}"/>
            </a:ext>
          </a:extLst>
        </xdr:cNvPr>
        <xdr:cNvSpPr/>
      </xdr:nvSpPr>
      <xdr:spPr>
        <a:xfrm>
          <a:off x="5584534" y="481239"/>
          <a:ext cx="341571" cy="373448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 editAs="oneCell">
    <xdr:from>
      <xdr:col>7</xdr:col>
      <xdr:colOff>755688</xdr:colOff>
      <xdr:row>2</xdr:row>
      <xdr:rowOff>163384</xdr:rowOff>
    </xdr:from>
    <xdr:to>
      <xdr:col>8</xdr:col>
      <xdr:colOff>228425</xdr:colOff>
      <xdr:row>4</xdr:row>
      <xdr:rowOff>72715</xdr:rowOff>
    </xdr:to>
    <xdr:pic>
      <xdr:nvPicPr>
        <xdr:cNvPr id="14" name="Gráfico 13" descr="Marca de verificación con relleno sólido">
          <a:extLst>
            <a:ext uri="{FF2B5EF4-FFF2-40B4-BE49-F238E27FC236}">
              <a16:creationId xmlns:a16="http://schemas.microsoft.com/office/drawing/2014/main" id="{FC6E2F7E-5848-4554-B420-DCD56D638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630247" y="544384"/>
          <a:ext cx="234737" cy="290331"/>
        </a:xfrm>
        <a:prstGeom prst="rect">
          <a:avLst/>
        </a:prstGeom>
      </xdr:spPr>
    </xdr:pic>
    <xdr:clientData/>
  </xdr:twoCellAnchor>
  <xdr:twoCellAnchor>
    <xdr:from>
      <xdr:col>3</xdr:col>
      <xdr:colOff>428938</xdr:colOff>
      <xdr:row>8</xdr:row>
      <xdr:rowOff>152180</xdr:rowOff>
    </xdr:from>
    <xdr:to>
      <xdr:col>12</xdr:col>
      <xdr:colOff>485776</xdr:colOff>
      <xdr:row>20</xdr:row>
      <xdr:rowOff>171450</xdr:rowOff>
    </xdr:to>
    <xdr:sp macro="" textlink="">
      <xdr:nvSpPr>
        <xdr:cNvPr id="23" name="Rectángulo redondeado 34">
          <a:extLst>
            <a:ext uri="{FF2B5EF4-FFF2-40B4-BE49-F238E27FC236}">
              <a16:creationId xmlns:a16="http://schemas.microsoft.com/office/drawing/2014/main" id="{9215C58E-5B9D-40A7-9EB8-8DBB00191CC2}"/>
            </a:ext>
          </a:extLst>
        </xdr:cNvPr>
        <xdr:cNvSpPr/>
      </xdr:nvSpPr>
      <xdr:spPr>
        <a:xfrm>
          <a:off x="2257738" y="1676180"/>
          <a:ext cx="6914838" cy="2305270"/>
        </a:xfrm>
        <a:prstGeom prst="roundRect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5</xdr:col>
      <xdr:colOff>746909</xdr:colOff>
      <xdr:row>9</xdr:row>
      <xdr:rowOff>116573</xdr:rowOff>
    </xdr:from>
    <xdr:to>
      <xdr:col>12</xdr:col>
      <xdr:colOff>215341</xdr:colOff>
      <xdr:row>18</xdr:row>
      <xdr:rowOff>19288</xdr:rowOff>
    </xdr:to>
    <xdr:graphicFrame macro="">
      <xdr:nvGraphicFramePr>
        <xdr:cNvPr id="24" name="Cantidad-Mes">
          <a:extLst>
            <a:ext uri="{FF2B5EF4-FFF2-40B4-BE49-F238E27FC236}">
              <a16:creationId xmlns:a16="http://schemas.microsoft.com/office/drawing/2014/main" id="{88E645E3-691E-428E-90A5-2DCC55C7C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709777</xdr:colOff>
      <xdr:row>8</xdr:row>
      <xdr:rowOff>157368</xdr:rowOff>
    </xdr:from>
    <xdr:to>
      <xdr:col>10</xdr:col>
      <xdr:colOff>159308</xdr:colOff>
      <xdr:row>9</xdr:row>
      <xdr:rowOff>142963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319453B8-3E4F-4DD4-A482-4C3996AC0227}"/>
            </a:ext>
          </a:extLst>
        </xdr:cNvPr>
        <xdr:cNvSpPr txBox="1"/>
      </xdr:nvSpPr>
      <xdr:spPr>
        <a:xfrm>
          <a:off x="2536336" y="1681368"/>
          <a:ext cx="4783531" cy="176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S_tradnl" sz="1100" b="1">
              <a:solidFill>
                <a:schemeClr val="tx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Evolución de los registros por año</a:t>
          </a:r>
          <a:endParaRPr lang="es-ES_tradnl" sz="1100" b="1" baseline="0">
            <a:solidFill>
              <a:schemeClr val="tx1"/>
            </a:solidFill>
            <a:latin typeface="Segoe UI Symbol" panose="020B0502040204020203" pitchFamily="34" charset="0"/>
            <a:ea typeface="Segoe UI Symbol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12</xdr:col>
      <xdr:colOff>628651</xdr:colOff>
      <xdr:row>1</xdr:row>
      <xdr:rowOff>149725</xdr:rowOff>
    </xdr:from>
    <xdr:to>
      <xdr:col>16</xdr:col>
      <xdr:colOff>56030</xdr:colOff>
      <xdr:row>39</xdr:row>
      <xdr:rowOff>67235</xdr:rowOff>
    </xdr:to>
    <xdr:sp macro="" textlink="">
      <xdr:nvSpPr>
        <xdr:cNvPr id="26" name="Rectángulo redondeado 41">
          <a:extLst>
            <a:ext uri="{FF2B5EF4-FFF2-40B4-BE49-F238E27FC236}">
              <a16:creationId xmlns:a16="http://schemas.microsoft.com/office/drawing/2014/main" id="{7F804646-00BD-47BD-9A6B-023D7EB73380}"/>
            </a:ext>
          </a:extLst>
        </xdr:cNvPr>
        <xdr:cNvSpPr/>
      </xdr:nvSpPr>
      <xdr:spPr>
        <a:xfrm>
          <a:off x="9313210" y="340225"/>
          <a:ext cx="2800349" cy="7156510"/>
        </a:xfrm>
        <a:prstGeom prst="roundRect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13</xdr:col>
      <xdr:colOff>131227</xdr:colOff>
      <xdr:row>2</xdr:row>
      <xdr:rowOff>58476</xdr:rowOff>
    </xdr:from>
    <xdr:to>
      <xdr:col>16</xdr:col>
      <xdr:colOff>678098</xdr:colOff>
      <xdr:row>3</xdr:row>
      <xdr:rowOff>44232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3C7CD7B3-56F0-4318-9470-1BD3523ECF90}"/>
            </a:ext>
          </a:extLst>
        </xdr:cNvPr>
        <xdr:cNvSpPr txBox="1"/>
      </xdr:nvSpPr>
      <xdr:spPr>
        <a:xfrm>
          <a:off x="9580027" y="439476"/>
          <a:ext cx="3156721" cy="1762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S_tradnl" sz="1100" b="1" baseline="0">
              <a:solidFill>
                <a:schemeClr val="tx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Número de registros por comarcas</a:t>
          </a:r>
        </a:p>
      </xdr:txBody>
    </xdr:sp>
    <xdr:clientData/>
  </xdr:twoCellAnchor>
  <xdr:twoCellAnchor>
    <xdr:from>
      <xdr:col>3</xdr:col>
      <xdr:colOff>360617</xdr:colOff>
      <xdr:row>29</xdr:row>
      <xdr:rowOff>180174</xdr:rowOff>
    </xdr:from>
    <xdr:to>
      <xdr:col>11</xdr:col>
      <xdr:colOff>783950</xdr:colOff>
      <xdr:row>38</xdr:row>
      <xdr:rowOff>85436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2037D6F8-D425-40EB-BC0D-3C1FBD19B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277624</xdr:colOff>
      <xdr:row>10</xdr:row>
      <xdr:rowOff>94388</xdr:rowOff>
    </xdr:from>
    <xdr:to>
      <xdr:col>14</xdr:col>
      <xdr:colOff>250922</xdr:colOff>
      <xdr:row>38</xdr:row>
      <xdr:rowOff>95249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96E9E536-AD92-40EB-A6C3-BEF41F035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57385</xdr:colOff>
      <xdr:row>27</xdr:row>
      <xdr:rowOff>97967</xdr:rowOff>
    </xdr:from>
    <xdr:to>
      <xdr:col>17</xdr:col>
      <xdr:colOff>480885</xdr:colOff>
      <xdr:row>33</xdr:row>
      <xdr:rowOff>59595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8C96C3D6-C3F4-4C97-B1B1-D9B862C92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57385</xdr:colOff>
      <xdr:row>32</xdr:row>
      <xdr:rowOff>174167</xdr:rowOff>
    </xdr:from>
    <xdr:to>
      <xdr:col>17</xdr:col>
      <xdr:colOff>477285</xdr:colOff>
      <xdr:row>38</xdr:row>
      <xdr:rowOff>132167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6AF0A9BA-E2A4-461E-90F3-834EA80F7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478</xdr:colOff>
      <xdr:row>2</xdr:row>
      <xdr:rowOff>68596</xdr:rowOff>
    </xdr:from>
    <xdr:to>
      <xdr:col>3</xdr:col>
      <xdr:colOff>246527</xdr:colOff>
      <xdr:row>11</xdr:row>
      <xdr:rowOff>11205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BA95DE96-C210-456F-87FD-85A79F104FEF}"/>
            </a:ext>
          </a:extLst>
        </xdr:cNvPr>
        <xdr:cNvSpPr txBox="1"/>
      </xdr:nvSpPr>
      <xdr:spPr>
        <a:xfrm>
          <a:off x="303037" y="449596"/>
          <a:ext cx="1770049" cy="16571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2000">
              <a:solidFill>
                <a:schemeClr val="tx2"/>
              </a:solidFill>
            </a:rPr>
            <a:t>Electrificación vehicular</a:t>
          </a:r>
          <a:r>
            <a:rPr lang="es-ES" sz="2000" baseline="0">
              <a:solidFill>
                <a:schemeClr val="tx2"/>
              </a:solidFill>
            </a:rPr>
            <a:t> - </a:t>
          </a:r>
          <a:r>
            <a:rPr lang="es-ES" sz="2000">
              <a:solidFill>
                <a:schemeClr val="tx2"/>
              </a:solidFill>
            </a:rPr>
            <a:t>estado de Washington</a:t>
          </a:r>
          <a:endParaRPr lang="es-ES_tradnl" sz="2000" b="1">
            <a:solidFill>
              <a:schemeClr val="tx2"/>
            </a:solidFill>
            <a:latin typeface="+mj-lt"/>
            <a:ea typeface="Segoe UI Symbol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3</xdr:col>
      <xdr:colOff>334497</xdr:colOff>
      <xdr:row>2</xdr:row>
      <xdr:rowOff>12884</xdr:rowOff>
    </xdr:from>
    <xdr:to>
      <xdr:col>5</xdr:col>
      <xdr:colOff>592232</xdr:colOff>
      <xdr:row>7</xdr:row>
      <xdr:rowOff>145675</xdr:rowOff>
    </xdr:to>
    <xdr:sp macro="" textlink="Analisis!D7">
      <xdr:nvSpPr>
        <xdr:cNvPr id="51" name="Rectángulo: esquinas redondeadas 50">
          <a:extLst>
            <a:ext uri="{FF2B5EF4-FFF2-40B4-BE49-F238E27FC236}">
              <a16:creationId xmlns:a16="http://schemas.microsoft.com/office/drawing/2014/main" id="{77E64784-9D58-4AF1-A80E-0849CE674569}"/>
            </a:ext>
          </a:extLst>
        </xdr:cNvPr>
        <xdr:cNvSpPr/>
      </xdr:nvSpPr>
      <xdr:spPr>
        <a:xfrm>
          <a:off x="2161056" y="393884"/>
          <a:ext cx="1781735" cy="1085291"/>
        </a:xfrm>
        <a:prstGeom prst="roundRect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2E572642-6EEC-498F-9922-5FDDB0949392}" type="TxLink">
            <a:rPr lang="en-US" sz="3200" b="0" i="0" u="none" strike="noStrike">
              <a:solidFill>
                <a:srgbClr val="000000"/>
              </a:solidFill>
              <a:latin typeface="Arial"/>
              <a:ea typeface="+mn-ea"/>
              <a:cs typeface="Arial"/>
            </a:rPr>
            <a:t>1159</a:t>
          </a:fld>
          <a:endParaRPr lang="es-ES" sz="3200" b="0" i="0" u="none" strike="noStrike">
            <a:solidFill>
              <a:srgbClr val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686357</xdr:colOff>
      <xdr:row>10</xdr:row>
      <xdr:rowOff>1</xdr:rowOff>
    </xdr:from>
    <xdr:to>
      <xdr:col>11</xdr:col>
      <xdr:colOff>280147</xdr:colOff>
      <xdr:row>17</xdr:row>
      <xdr:rowOff>134472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42C6A862-A8A2-4907-971B-99F6ED918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363205</xdr:colOff>
      <xdr:row>22</xdr:row>
      <xdr:rowOff>11206</xdr:rowOff>
    </xdr:from>
    <xdr:to>
      <xdr:col>17</xdr:col>
      <xdr:colOff>400353</xdr:colOff>
      <xdr:row>26</xdr:row>
      <xdr:rowOff>104382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6D73A59E-ACA9-403E-98E3-92AD90D87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363205</xdr:colOff>
      <xdr:row>27</xdr:row>
      <xdr:rowOff>145676</xdr:rowOff>
    </xdr:from>
    <xdr:to>
      <xdr:col>17</xdr:col>
      <xdr:colOff>400353</xdr:colOff>
      <xdr:row>32</xdr:row>
      <xdr:rowOff>37147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ACC5A130-6378-4C9B-AFED-C70759868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363205</xdr:colOff>
      <xdr:row>33</xdr:row>
      <xdr:rowOff>56031</xdr:rowOff>
    </xdr:from>
    <xdr:to>
      <xdr:col>17</xdr:col>
      <xdr:colOff>400353</xdr:colOff>
      <xdr:row>37</xdr:row>
      <xdr:rowOff>149207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6453ADEB-8CB2-408E-AC69-64D83B4BB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313765</xdr:colOff>
      <xdr:row>22</xdr:row>
      <xdr:rowOff>49987</xdr:rowOff>
    </xdr:from>
    <xdr:to>
      <xdr:col>12</xdr:col>
      <xdr:colOff>504265</xdr:colOff>
      <xdr:row>39</xdr:row>
      <xdr:rowOff>67235</xdr:rowOff>
    </xdr:to>
    <xdr:sp macro="" textlink="">
      <xdr:nvSpPr>
        <xdr:cNvPr id="74" name="Rectángulo redondeado 41">
          <a:extLst>
            <a:ext uri="{FF2B5EF4-FFF2-40B4-BE49-F238E27FC236}">
              <a16:creationId xmlns:a16="http://schemas.microsoft.com/office/drawing/2014/main" id="{51611A35-9498-4749-AF9F-57D522A3E39E}"/>
            </a:ext>
          </a:extLst>
        </xdr:cNvPr>
        <xdr:cNvSpPr/>
      </xdr:nvSpPr>
      <xdr:spPr>
        <a:xfrm>
          <a:off x="2140324" y="4240987"/>
          <a:ext cx="7048500" cy="3255748"/>
        </a:xfrm>
        <a:prstGeom prst="roundRect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3</xdr:col>
      <xdr:colOff>706090</xdr:colOff>
      <xdr:row>22</xdr:row>
      <xdr:rowOff>108902</xdr:rowOff>
    </xdr:from>
    <xdr:to>
      <xdr:col>8</xdr:col>
      <xdr:colOff>52811</xdr:colOff>
      <xdr:row>23</xdr:row>
      <xdr:rowOff>94658</xdr:rowOff>
    </xdr:to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FFE84319-E90E-4C38-8028-26398890F87A}"/>
            </a:ext>
          </a:extLst>
        </xdr:cNvPr>
        <xdr:cNvSpPr txBox="1"/>
      </xdr:nvSpPr>
      <xdr:spPr>
        <a:xfrm>
          <a:off x="2532649" y="4299902"/>
          <a:ext cx="3156721" cy="1762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S_tradnl" sz="1100" b="1" baseline="0">
              <a:solidFill>
                <a:schemeClr val="tx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Servicio compañias electricas</a:t>
          </a:r>
        </a:p>
      </xdr:txBody>
    </xdr:sp>
    <xdr:clientData/>
  </xdr:twoCellAnchor>
  <xdr:twoCellAnchor>
    <xdr:from>
      <xdr:col>8</xdr:col>
      <xdr:colOff>715495</xdr:colOff>
      <xdr:row>3</xdr:row>
      <xdr:rowOff>1</xdr:rowOff>
    </xdr:from>
    <xdr:to>
      <xdr:col>12</xdr:col>
      <xdr:colOff>369793</xdr:colOff>
      <xdr:row>8</xdr:row>
      <xdr:rowOff>9525</xdr:rowOff>
    </xdr:to>
    <xdr:graphicFrame macro="">
      <xdr:nvGraphicFramePr>
        <xdr:cNvPr id="77" name="Gráfico 76">
          <a:extLst>
            <a:ext uri="{FF2B5EF4-FFF2-40B4-BE49-F238E27FC236}">
              <a16:creationId xmlns:a16="http://schemas.microsoft.com/office/drawing/2014/main" id="{8B4E956A-C34F-401F-B673-43145A4A6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488017</xdr:colOff>
      <xdr:row>10</xdr:row>
      <xdr:rowOff>37540</xdr:rowOff>
    </xdr:from>
    <xdr:to>
      <xdr:col>12</xdr:col>
      <xdr:colOff>419100</xdr:colOff>
      <xdr:row>20</xdr:row>
      <xdr:rowOff>38100</xdr:rowOff>
    </xdr:to>
    <xdr:graphicFrame macro="">
      <xdr:nvGraphicFramePr>
        <xdr:cNvPr id="78" name="Gráfico 77">
          <a:extLst>
            <a:ext uri="{FF2B5EF4-FFF2-40B4-BE49-F238E27FC236}">
              <a16:creationId xmlns:a16="http://schemas.microsoft.com/office/drawing/2014/main" id="{297F4541-293D-4AD3-B0CB-8001087FE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514349</xdr:colOff>
      <xdr:row>24</xdr:row>
      <xdr:rowOff>2</xdr:rowOff>
    </xdr:from>
    <xdr:to>
      <xdr:col>12</xdr:col>
      <xdr:colOff>291353</xdr:colOff>
      <xdr:row>38</xdr:row>
      <xdr:rowOff>78441</xdr:rowOff>
    </xdr:to>
    <xdr:graphicFrame macro="">
      <xdr:nvGraphicFramePr>
        <xdr:cNvPr id="81" name="Gráfico 80">
          <a:extLst>
            <a:ext uri="{FF2B5EF4-FFF2-40B4-BE49-F238E27FC236}">
              <a16:creationId xmlns:a16="http://schemas.microsoft.com/office/drawing/2014/main" id="{E9E76474-979E-4B60-AC32-445993C93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257736</xdr:colOff>
      <xdr:row>11</xdr:row>
      <xdr:rowOff>78441</xdr:rowOff>
    </xdr:from>
    <xdr:to>
      <xdr:col>3</xdr:col>
      <xdr:colOff>145677</xdr:colOff>
      <xdr:row>15</xdr:row>
      <xdr:rowOff>179294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4" name="Electric Vehicle Type 1">
              <a:extLst>
                <a:ext uri="{FF2B5EF4-FFF2-40B4-BE49-F238E27FC236}">
                  <a16:creationId xmlns:a16="http://schemas.microsoft.com/office/drawing/2014/main" id="{C419B23A-D744-49B2-9321-E48715237E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lectric Vehicle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736" y="2173941"/>
              <a:ext cx="1714500" cy="8628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226360</xdr:colOff>
      <xdr:row>16</xdr:row>
      <xdr:rowOff>122508</xdr:rowOff>
    </xdr:from>
    <xdr:to>
      <xdr:col>3</xdr:col>
      <xdr:colOff>228601</xdr:colOff>
      <xdr:row>29</xdr:row>
      <xdr:rowOff>27258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6" name="County 1">
              <a:extLst>
                <a:ext uri="{FF2B5EF4-FFF2-40B4-BE49-F238E27FC236}">
                  <a16:creationId xmlns:a16="http://schemas.microsoft.com/office/drawing/2014/main" id="{25397340-BECB-4185-874B-1292406F47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360" y="3170508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89648</xdr:colOff>
      <xdr:row>4</xdr:row>
      <xdr:rowOff>33616</xdr:rowOff>
    </xdr:from>
    <xdr:to>
      <xdr:col>15</xdr:col>
      <xdr:colOff>582513</xdr:colOff>
      <xdr:row>37</xdr:row>
      <xdr:rowOff>67235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1FF8A324-9A4D-F769-EB95-FD84793CD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6207" y="795616"/>
          <a:ext cx="2386659" cy="6320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rre\Documents\SHARE\FORMACI&#211;N\ANALISIS%20DE%20DATOS\MODULO%204-Dashboard%20y%20analisis%20de%20datos\LECCION%204-Dashboard%20con%20Excel\Datos%20Pedidos_Carlos.xlsx" TargetMode="External"/><Relationship Id="rId1" Type="http://schemas.openxmlformats.org/officeDocument/2006/relationships/externalLinkPath" Target="/Users/corre/Documents/SHARE/FORMACI&#211;N/ANALISIS%20DE%20DATOS/MODULO%204-Dashboard%20y%20analisis%20de%20datos/LECCION%204-Dashboard%20con%20Excel/Datos%20Pedidos_Carl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rre\Documents\SHARE\FORMACI&#211;N\ANALISIS%20DE%20DATOS\MODULO%204-Dashboard%20y%20analisis%20de%20datos\LECCION%204-Dashboard%20con%20Ecel\Descargas\Dashboard-Pedidos.xlsx" TargetMode="External"/><Relationship Id="rId1" Type="http://schemas.openxmlformats.org/officeDocument/2006/relationships/externalLinkPath" Target="/Users/corre/Documents/SHARE/FORMACI&#211;N/ANALISIS%20DE%20DATOS/MODULO%204-Dashboard%20y%20analisis%20de%20datos/LECCION%204-Dashboard%20con%20Excel/Descargas/Dashboard-Pedi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Analisis"/>
      <sheetName val="Dashboard"/>
    </sheetNames>
    <sheetDataSet>
      <sheetData sheetId="0"/>
      <sheetData sheetId="1">
        <row r="12">
          <cell r="U12">
            <v>0.87301587301587302</v>
          </cell>
          <cell r="X12">
            <v>3.1746031746031744E-2</v>
          </cell>
          <cell r="AA12">
            <v>9.5238095238095233E-2</v>
          </cell>
        </row>
        <row r="13">
          <cell r="U13">
            <v>0.12698412698412698</v>
          </cell>
          <cell r="X13">
            <v>0.96825396825396826</v>
          </cell>
          <cell r="AA13">
            <v>0.90476190476190477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Análisis"/>
      <sheetName val="Dashboard"/>
      <sheetName val="Dashboard-Pedidos"/>
    </sheetNames>
    <sheetDataSet>
      <sheetData sheetId="0"/>
      <sheetData sheetId="1">
        <row r="11">
          <cell r="BG11">
            <v>0.86631578947368426</v>
          </cell>
        </row>
      </sheetData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Rodríguez" refreshedDate="45965.434573148152" createdVersion="8" refreshedVersion="8" minRefreshableVersion="3" recordCount="1495" xr:uid="{527F0DCB-D05F-4CE6-8046-50ED7F1F166B}">
  <cacheSource type="worksheet">
    <worksheetSource name="Datos_conjuntos"/>
  </cacheSource>
  <cacheFields count="17">
    <cacheField name="VIN (1-10)" numFmtId="0">
      <sharedItems count="1178">
        <s v="1C4JJXP60P"/>
        <s v="1C4JJXP61P"/>
        <s v="1C4JJXP63M"/>
        <s v="1C4JJXP66M"/>
        <s v="1C4JJXP67N"/>
        <s v="1C4JJXP69P"/>
        <s v="1C4JJXP6XM"/>
        <s v="1C4JJXP6XP"/>
        <s v="1C4JJXR60P"/>
        <s v="1C4JJXR61P"/>
        <s v="1C4JJXR63N"/>
        <s v="1C4JJXR64M"/>
        <s v="1C4JJXR65P"/>
        <s v="1C4JJXR68P"/>
        <s v="1C4JJXR69P"/>
        <s v="1C4JJXR6XP"/>
        <s v="1C4RJXN60R"/>
        <s v="1C4RJXN61R"/>
        <s v="1C4RJXN62S"/>
        <s v="1C4RJXN63R"/>
        <s v="1C4RJXN64R"/>
        <s v="1C4RJXN68R"/>
        <s v="1C4RJXP63R"/>
        <s v="1C4RJXP64R"/>
        <s v="1C4RJXP65R"/>
        <s v="1C4RJXP66R"/>
        <s v="1C4RJXR60R"/>
        <s v="1C4RJXR67R"/>
        <s v="1C4RJYB63R"/>
        <s v="1C4RJYB6XP"/>
        <s v="1C4RJYC61R"/>
        <s v="1C4RJYD62R"/>
        <s v="1C4RJYD63P"/>
        <s v="1C4RJYD66P"/>
        <s v="1C4RJYE62P"/>
        <s v="1C4RJYE67N"/>
        <s v="1FADP3R4XG"/>
        <s v="1FADP5CU0E"/>
        <s v="1FADP5CU0G"/>
        <s v="1FADP5CU1D"/>
        <s v="1FADP5CU1F"/>
        <s v="1FADP5CU3E"/>
        <s v="1FADP5CU4D"/>
        <s v="1FADP5CU6D"/>
        <s v="1FADP5CU7D"/>
        <s v="1FADP5CU8D"/>
        <s v="1FADP5CU8F"/>
        <s v="1FADP5CU8G"/>
        <s v="1FADP5CU9E"/>
        <s v="1FADP5CUXG"/>
        <s v="1FADP5EU2H"/>
        <s v="1FADP5FU0H"/>
        <s v="1FMCU0E1XP"/>
        <s v="1FMCU0E1XR"/>
        <s v="1FMCU0EZXM"/>
        <s v="1FMCU0KZ1N"/>
        <s v="1FT6W1EV2P"/>
        <s v="1FT6W1EV3P"/>
        <s v="1FT6W1EV5N"/>
        <s v="1FT6W1EV6P"/>
        <s v="1FT6W5L70S"/>
        <s v="1FT6W5L74R"/>
        <s v="1FT6W7L70R"/>
        <s v="1FTBW3XK0P"/>
        <s v="1FTBW3XK5P"/>
        <s v="1FTVW1EL6P"/>
        <s v="1FTVW1ELXN"/>
        <s v="1FTVW1EV8P"/>
        <s v="1FTVW1EVXP"/>
        <s v="1FTVW3LK3R"/>
        <s v="1G1FW6S01H"/>
        <s v="1G1FW6S01P"/>
        <s v="1G1FW6S02N"/>
        <s v="1G1FW6S09H"/>
        <s v="1G1FX6S00H"/>
        <s v="1G1FX6S00J"/>
        <s v="1G1FX6S00P"/>
        <s v="1G1FX6S03H"/>
        <s v="1G1FX6S05J"/>
        <s v="1G1FX6S06H"/>
        <s v="1G1FX6S07H"/>
        <s v="1G1FX6S07J"/>
        <s v="1G1FX6S08P"/>
        <s v="1G1FY6S00L"/>
        <s v="1G1FY6S01K"/>
        <s v="1G1FY6S01L"/>
        <s v="1G1FY6S01P"/>
        <s v="1G1FY6S02L"/>
        <s v="1G1FY6S03L"/>
        <s v="1G1FY6S04K"/>
        <s v="1G1FY6S06M"/>
        <s v="1G1FY6S06N"/>
        <s v="1G1FY6S07M"/>
        <s v="1G1FY6S07N"/>
        <s v="1G1FY6S07P"/>
        <s v="1G1FY6S08L"/>
        <s v="1G1FY6S09L"/>
        <s v="1G1FY6S09P"/>
        <s v="1G1FY6S0XK"/>
        <s v="1G1FZ6S02L"/>
        <s v="1G1FZ6S03K"/>
        <s v="1G1FZ6S03M"/>
        <s v="1G1FZ6S04K"/>
        <s v="1G1FZ6S05L"/>
        <s v="1G1FZ6S06L"/>
        <s v="1G1FZ6S07L"/>
        <s v="1G1FZ6S07N"/>
        <s v="1G1FZ6S08K"/>
        <s v="1G1FZ6S0XK"/>
        <s v="1G1FZ6S0XN"/>
        <s v="1G1FZ6S0XP"/>
        <s v="1G1RA6E48E"/>
        <s v="1G1RA6S53J"/>
        <s v="1G1RA6S54H"/>
        <s v="1G1RA6S59H"/>
        <s v="1G1RB6E46F"/>
        <s v="1G1RB6E48F"/>
        <s v="1G1RB6S53J"/>
        <s v="1G1RB6S54J"/>
        <s v="1G1RB6S55H"/>
        <s v="1G1RB6S56J"/>
        <s v="1G1RB6S57J"/>
        <s v="1G1RB6S58J"/>
        <s v="1G1RC6E42D"/>
        <s v="1G1RC6E45F"/>
        <s v="1G1RC6S52H"/>
        <s v="1G1RC6S54G"/>
        <s v="1G1RC6S54H"/>
        <s v="1G1RC6S55H"/>
        <s v="1G1RC6S56H"/>
        <s v="1G1RC6S5XH"/>
        <s v="1G1RD6E43D"/>
        <s v="1G1RD6E46C"/>
        <s v="1G1RD6E47C"/>
        <s v="1G1RD6E49D"/>
        <s v="1G1RD6E4XC"/>
        <s v="1G1RD6S50H"/>
        <s v="1G1RD6S55H"/>
        <s v="1G1RE6E47C"/>
        <s v="1GT10DDB4S"/>
        <s v="1GYKPMRL4R"/>
        <s v="1GYKPSRL1R"/>
        <s v="1GYKPSRL6R"/>
        <s v="1N4AZ0CP0F"/>
        <s v="1N4AZ0CP1D"/>
        <s v="1N4AZ0CP1E"/>
        <s v="1N4AZ0CP1F"/>
        <s v="1N4AZ0CP2D"/>
        <s v="1N4AZ0CP2E"/>
        <s v="1N4AZ0CP2F"/>
        <s v="1N4AZ0CP3E"/>
        <s v="1N4AZ0CP3F"/>
        <s v="1N4AZ0CP3G"/>
        <s v="1N4AZ0CP4D"/>
        <s v="1N4AZ0CP4F"/>
        <s v="1N4AZ0CP5D"/>
        <s v="1N4AZ0CP5E"/>
        <s v="1N4AZ0CP5F"/>
        <s v="1N4AZ0CP6D"/>
        <s v="1N4AZ0CP6E"/>
        <s v="1N4AZ0CP6F"/>
        <s v="1N4AZ0CP6G"/>
        <s v="1N4AZ0CP7D"/>
        <s v="1N4AZ0CP7E"/>
        <s v="1N4AZ0CP7F"/>
        <s v="1N4AZ0CP8D"/>
        <s v="1N4AZ0CP8F"/>
        <s v="1N4AZ0CP9D"/>
        <s v="1N4AZ0CP9F"/>
        <s v="1N4AZ0CPXE"/>
        <s v="1N4AZ0CPXF"/>
        <s v="1N4AZ1BV0S"/>
        <s v="1N4AZ1BV2R"/>
        <s v="1N4AZ1BV2S"/>
        <s v="1N4AZ1BV4P"/>
        <s v="1N4AZ1BVXS"/>
        <s v="1N4AZ1CP0J"/>
        <s v="1N4AZ1CP0K"/>
        <s v="1N4AZ1CP1J"/>
        <s v="1N4AZ1CP2J"/>
        <s v="1N4AZ1CP2K"/>
        <s v="1N4AZ1CP3J"/>
        <s v="1N4AZ1CP4K"/>
        <s v="1N4AZ1CP4L"/>
        <s v="1N4AZ1CP6K"/>
        <s v="1N4AZ1CP6L"/>
        <s v="1N4AZ1CP7J"/>
        <s v="1N4AZ1CP7K"/>
        <s v="1N4AZ1CP8K"/>
        <s v="1N4AZ1CPXJ"/>
        <s v="1N4AZ1CV2N"/>
        <s v="1N4AZ1CV3N"/>
        <s v="1N4AZ1CV4M"/>
        <s v="1N4AZ1CV8N"/>
        <s v="1N4AZ1CVXN"/>
        <s v="1N4BZ0CP0H"/>
        <s v="1N4BZ0CP1G"/>
        <s v="1N4BZ0CP3H"/>
        <s v="1N4BZ0CP4G"/>
        <s v="1N4BZ0CP5H"/>
        <s v="1N4BZ0CP7H"/>
        <s v="1N4BZ0CP8H"/>
        <s v="1N4BZ0CP9G"/>
        <s v="1N4BZ0CP9H"/>
        <s v="1N4BZ1BV1N"/>
        <s v="1N4BZ1BV3N"/>
        <s v="1N4BZ1BV6N"/>
        <s v="1N4BZ1BVXN"/>
        <s v="1N4BZ1CP3K"/>
        <s v="1N4BZ1CP3L"/>
        <s v="1N4BZ1CP7L"/>
        <s v="1N4BZ1CP8L"/>
        <s v="1N4BZ1CP9K"/>
        <s v="1N4BZ1CV1N"/>
        <s v="1N4BZ1DP1L"/>
        <s v="1N4BZ1DV1N"/>
        <s v="1N4CZ1CV1S"/>
        <s v="1N4CZ1CV3S"/>
        <s v="1N4CZ1CV4P"/>
        <s v="1N4CZ1CV5S"/>
        <s v="1N4CZ1CV8S"/>
        <s v="1N4CZ1CV9P"/>
        <s v="1N4CZ1CV9R"/>
        <s v="1N4CZ1CVXS"/>
        <s v="1V25MPE83R"/>
        <s v="1V25MPE86R"/>
        <s v="1V2CMPE89P"/>
        <s v="1V2DNPE80P"/>
        <s v="1V2DNPE82P"/>
        <s v="1V2DNPE8XP"/>
        <s v="1V2DSPE88S"/>
        <s v="1V2GNPE82P"/>
        <s v="1V2GNPE84P"/>
        <s v="1V2GNPE85P"/>
        <s v="1V2GNPE88P"/>
        <s v="1V2GNPE89P"/>
        <s v="1V2JNPE89P"/>
        <s v="1V2VMPE81P"/>
        <s v="1V2WNPE83P"/>
        <s v="1V2WNPE88P"/>
        <s v="1V2WSPE83S"/>
        <s v="1V2WSPE85R"/>
        <s v="1V2WSPE86R"/>
        <s v="1V2WSPE88R"/>
        <s v="2C3CDBDK8R"/>
        <s v="2C4RC1L72P"/>
        <s v="2C4RC1L73J"/>
        <s v="2C4RC1L73M"/>
        <s v="2C4RC1L76P"/>
        <s v="2C4RC1N76J"/>
        <s v="2C4RC1N79P"/>
        <s v="2C4RC1S72M"/>
        <s v="2C4RC1S72R"/>
        <s v="2C4RC1S73P"/>
        <s v="2C4RC1S73R"/>
        <s v="2C4RC1S76P"/>
        <s v="2C4RC1S76R"/>
        <s v="2C4RC1S78S"/>
        <s v="2C4RC1S7XR"/>
        <s v="2T3YL4DV5E"/>
        <s v="3C3CFFGE0D"/>
        <s v="3C3CFFGE1E"/>
        <s v="3C3CFFGE1F"/>
        <s v="3C3CFFGE1G"/>
        <s v="3C3CFFGE2D"/>
        <s v="3C3CFFGE2F"/>
        <s v="3C3CFFGE2J"/>
        <s v="3C3CFFGE9D"/>
        <s v="3C3CFFGE9F"/>
        <s v="3C4RJNAK1S"/>
        <s v="3C6MRWAZ0R"/>
        <s v="3FA6P0PU4G"/>
        <s v="3FA6P0PU5D"/>
        <s v="3FA6P0PU5E"/>
        <s v="3FA6P0PU7H"/>
        <s v="3FA6P0SU4G"/>
        <s v="3FA6P0SU4K"/>
        <s v="3FA6P0SU5F"/>
        <s v="3FA6P0SU6E"/>
        <s v="3FA6P0SU9F"/>
        <s v="3FMTK1RM6M"/>
        <s v="3FMTK1S51R"/>
        <s v="3FMTK1SS3N"/>
        <s v="3FMTK1SS4P"/>
        <s v="3FMTK2SU2P"/>
        <s v="3FMTK2SU5N"/>
        <s v="3FMTK3R42P"/>
        <s v="3FMTK3R74P"/>
        <s v="3FMTK3S52S"/>
        <s v="3FMTK3S54P"/>
        <s v="3FMTK3S58R"/>
        <s v="3FMTK3SU2M"/>
        <s v="3FMTK3SU2S"/>
        <s v="3FMTK3SU3P"/>
        <s v="3FMTK3SU4M"/>
        <s v="3FMTK3SU5R"/>
        <s v="3FMTK3SU8M"/>
        <s v="3FMTK3SU8N"/>
        <s v="3FMTK3SU9R"/>
        <s v="3FMTK3SU9S"/>
        <s v="3FMTK4SE1P"/>
        <s v="3FMTK4SX0P"/>
        <s v="3FMTK4SX4R"/>
        <s v="3FMTK4SX5P"/>
        <s v="3FMTK4SX6P"/>
        <s v="3FMTK4SX6S"/>
        <s v="3FMTK4SX7R"/>
        <s v="3FMTK4SX8S"/>
        <s v="3GN7DMRP3S"/>
        <s v="3GN7DNRP9S"/>
        <s v="3GN7DPRR7R"/>
        <s v="3GNKDCRJ1R"/>
        <s v="3GNKDCRJ9R"/>
        <s v="3GNKDCRJXR"/>
        <s v="3GPKHVRJ1R"/>
        <s v="3GPKHVRJ1S"/>
        <s v="3GPKHXRJ0R"/>
        <s v="3GPKHXRJ3S"/>
        <s v="3GPKHZRJ5R"/>
        <s v="3GYK3BMR1S"/>
        <s v="3MW39FS07R"/>
        <s v="3MW5P7J02N"/>
        <s v="3MW5P9J08N"/>
        <s v="4JGDA6DB1J"/>
        <s v="4JGDM2EB9R"/>
        <s v="4JGDM4EB7P"/>
        <s v="4JGFB4GB5S"/>
        <s v="4JGFB4GB7R"/>
        <s v="4JGGM1CB1P"/>
        <s v="4JGGM1CB3R"/>
        <s v="4JGGM1CBXP"/>
        <s v="4W5KHNRL2R"/>
        <s v="4W5KHNRL9R"/>
        <s v="4W5XHPRL1R"/>
        <s v="50EA1GBA3N"/>
        <s v="50EA1TEA8S"/>
        <s v="50EA1TEA9S"/>
        <s v="5LMTJ5DZ9S"/>
        <s v="5LMYJ8XY6L"/>
        <s v="5NMMEET10T"/>
        <s v="5UX43EU00R"/>
        <s v="5UX43EU03S"/>
        <s v="5UX43EU04S"/>
        <s v="5UX43EU06R"/>
        <s v="5UX43EU06S"/>
        <s v="5UX43EU07R"/>
        <s v="5UX43EU07T"/>
        <s v="5UX43EU08R"/>
        <s v="5UX43EU08S"/>
        <s v="5UXKT0C31H"/>
        <s v="5UXKT0C55G"/>
        <s v="5UXKT0C56J"/>
        <s v="5UXTA6C00M"/>
        <s v="5UXTA6C00P"/>
        <s v="5UXTA6C01N"/>
        <s v="5UXTA6C03P"/>
        <s v="5UXTA6C04M"/>
        <s v="5UXTA6C04N"/>
        <s v="5UXTA6C05P"/>
        <s v="5UXTA6C07M"/>
        <s v="5UXTA6C07N"/>
        <s v="5UXTA6C08N"/>
        <s v="5UXTS1C00M"/>
        <s v="5XYAFFS52S"/>
        <s v="5XYAFFS55T"/>
        <s v="5XYAFFS58S"/>
        <s v="5XYC3DJC2S"/>
        <s v="5YJ3E1EA0J"/>
        <s v="5YJ3E1EA0K"/>
        <s v="5YJ3E1EA0L"/>
        <s v="5YJ3E1EA0N"/>
        <s v="5YJ3E1EA0P"/>
        <s v="5YJ3E1EA1J"/>
        <s v="5YJ3E1EA1K"/>
        <s v="5YJ3E1EA1L"/>
        <s v="5YJ3E1EA1M"/>
        <s v="5YJ3E1EA1N"/>
        <s v="5YJ3E1EA1P"/>
        <s v="5YJ3E1EA1R"/>
        <s v="5YJ3E1EA1S"/>
        <s v="5YJ3E1EA2J"/>
        <s v="5YJ3E1EA2K"/>
        <s v="5YJ3E1EA2L"/>
        <s v="5YJ3E1EA2P"/>
        <s v="5YJ3E1EA2R"/>
        <s v="5YJ3E1EA2S"/>
        <s v="5YJ3E1EA3J"/>
        <s v="5YJ3E1EA3K"/>
        <s v="5YJ3E1EA3M"/>
        <s v="5YJ3E1EA3N"/>
        <s v="5YJ3E1EA3P"/>
        <s v="5YJ3E1EA3R"/>
        <s v="5YJ3E1EA3S"/>
        <s v="5YJ3E1EA4J"/>
        <s v="5YJ3E1EA4K"/>
        <s v="5YJ3E1EA4L"/>
        <s v="5YJ3E1EA4M"/>
        <s v="5YJ3E1EA4P"/>
        <s v="5YJ3E1EA4S"/>
        <s v="5YJ3E1EA5J"/>
        <s v="5YJ3E1EA5K"/>
        <s v="5YJ3E1EA5L"/>
        <s v="5YJ3E1EA5M"/>
        <s v="5YJ3E1EA5P"/>
        <s v="5YJ3E1EA6H"/>
        <s v="5YJ3E1EA6J"/>
        <s v="5YJ3E1EA6L"/>
        <s v="5YJ3E1EA6P"/>
        <s v="5YJ3E1EA6R"/>
        <s v="5YJ3E1EA7J"/>
        <s v="5YJ3E1EA7K"/>
        <s v="5YJ3E1EA7L"/>
        <s v="5YJ3E1EA7P"/>
        <s v="5YJ3E1EA7R"/>
        <s v="5YJ3E1EA7S"/>
        <s v="5YJ3E1EA8J"/>
        <s v="5YJ3E1EA8K"/>
        <s v="5YJ3E1EA8L"/>
        <s v="5YJ3E1EA8P"/>
        <s v="5YJ3E1EA8S"/>
        <s v="5YJ3E1EA9K"/>
        <s v="5YJ3E1EA9P"/>
        <s v="5YJ3E1EA9S"/>
        <s v="5YJ3E1EAXJ"/>
        <s v="5YJ3E1EAXK"/>
        <s v="5YJ3E1EAXL"/>
        <s v="5YJ3E1EAXP"/>
        <s v="5YJ3E1EAXS"/>
        <s v="5YJ3E1EB0J"/>
        <s v="5YJ3E1EB0K"/>
        <s v="5YJ3E1EB0N"/>
        <s v="5YJ3E1EB0R"/>
        <s v="5YJ3E1EB1J"/>
        <s v="5YJ3E1EB1K"/>
        <s v="5YJ3E1EB1M"/>
        <s v="5YJ3E1EB1N"/>
        <s v="5YJ3E1EB1P"/>
        <s v="5YJ3E1EB1R"/>
        <s v="5YJ3E1EB2J"/>
        <s v="5YJ3E1EB2L"/>
        <s v="5YJ3E1EB2N"/>
        <s v="5YJ3E1EB2S"/>
        <s v="5YJ3E1EB3J"/>
        <s v="5YJ3E1EB3K"/>
        <s v="5YJ3E1EB3L"/>
        <s v="5YJ3E1EB3N"/>
        <s v="5YJ3E1EB4J"/>
        <s v="5YJ3E1EB4K"/>
        <s v="5YJ3E1EB4L"/>
        <s v="5YJ3E1EB4M"/>
        <s v="5YJ3E1EB4N"/>
        <s v="5YJ3E1EB4P"/>
        <s v="5YJ3E1EB4S"/>
        <s v="5YJ3E1EB5J"/>
        <s v="5YJ3E1EB5L"/>
        <s v="5YJ3E1EB5R"/>
        <s v="5YJ3E1EB6J"/>
        <s v="5YJ3E1EB6K"/>
        <s v="5YJ3E1EB6L"/>
        <s v="5YJ3E1EB6P"/>
        <s v="5YJ3E1EB6S"/>
        <s v="5YJ3E1EB7J"/>
        <s v="5YJ3E1EB7K"/>
        <s v="5YJ3E1EB7S"/>
        <s v="5YJ3E1EB8J"/>
        <s v="5YJ3E1EB8K"/>
        <s v="5YJ3E1EB8N"/>
        <s v="5YJ3E1EB8S"/>
        <s v="5YJ3E1EB9J"/>
        <s v="5YJ3E1EB9K"/>
        <s v="5YJ3E1EB9N"/>
        <s v="5YJ3E1EB9P"/>
        <s v="5YJ3E1EB9R"/>
        <s v="5YJ3E1EB9S"/>
        <s v="5YJ3E1EBXJ"/>
        <s v="5YJ3E1EBXK"/>
        <s v="5YJ3E1EBXL"/>
        <s v="5YJ3E1EBXM"/>
        <s v="5YJ3E1EBXN"/>
        <s v="5YJ3E1EBXP"/>
        <s v="5YJ3E1EC0L"/>
        <s v="5YJ3E1EC0M"/>
        <s v="5YJ3E1EC1L"/>
        <s v="5YJ3E1EC1P"/>
        <s v="5YJ3E1EC3P"/>
        <s v="5YJ3E1EC4P"/>
        <s v="5YJ3E1EC5L"/>
        <s v="5YJ3E1EC6L"/>
        <s v="5YJ3E1EC6N"/>
        <s v="5YJ3E1EC7N"/>
        <s v="5YJ3E1EC7P"/>
        <s v="5YJ3E1EC9N"/>
        <s v="5YJ3E1EC9P"/>
        <s v="5YJ3E1ECXL"/>
        <s v="5YJ3E1ECXP"/>
        <s v="5YJ3E1ET3S"/>
        <s v="5YJ3E1ET4R"/>
        <s v="5YJ3E1ET7R"/>
        <s v="5YJ3E1ET8S"/>
        <s v="5YJRE11B98"/>
        <s v="5YJSA1AG3D"/>
        <s v="5YJSA1CN1D"/>
        <s v="5YJSA1CN8D"/>
        <s v="5YJSA1DN3D"/>
        <s v="5YJSA1E19G"/>
        <s v="5YJSA1E1XF"/>
        <s v="5YJSA1E1XG"/>
        <s v="5YJSA1E20G"/>
        <s v="5YJSA1E21G"/>
        <s v="5YJSA1E22F"/>
        <s v="5YJSA1E22G"/>
        <s v="5YJSA1E22J"/>
        <s v="5YJSA1E23G"/>
        <s v="5YJSA1E23J"/>
        <s v="5YJSA1E24G"/>
        <s v="5YJSA1E24M"/>
        <s v="5YJSA1E25F"/>
        <s v="5YJSA1E25H"/>
        <s v="5YJSA1E26F"/>
        <s v="5YJSA1E26G"/>
        <s v="5YJSA1E26K"/>
        <s v="5YJSA1E27F"/>
        <s v="5YJSA1E27H"/>
        <s v="5YJSA1E27J"/>
        <s v="5YJSA1E27K"/>
        <s v="5YJSA1E28H"/>
        <s v="5YJSA1E28J"/>
        <s v="5YJSA1E28K"/>
        <s v="5YJSA1E29K"/>
        <s v="5YJSA1E2XG"/>
        <s v="5YJSA1E2XJ"/>
        <s v="5YJSA1E2XL"/>
        <s v="5YJSA1E40J"/>
        <s v="5YJSA1E45K"/>
        <s v="5YJSA1E46G"/>
        <s v="5YJSA1E49G"/>
        <s v="5YJSA1E49J"/>
        <s v="5YJSA1E4XF"/>
        <s v="5YJSA1E4XG"/>
        <s v="5YJSA1E50P"/>
        <s v="5YJSA1E52R"/>
        <s v="5YJSA1E56R"/>
        <s v="5YJSA1E58P"/>
        <s v="5YJSA1E5XN"/>
        <s v="5YJSA1E61M"/>
        <s v="5YJSA1H10E"/>
        <s v="5YJSA1H12E"/>
        <s v="5YJSA1H27F"/>
        <s v="5YJSA1H29F"/>
        <s v="5YJSA1S29F"/>
        <s v="5YJSA1V24F"/>
        <s v="5YJXCAE20G"/>
        <s v="5YJXCAE21L"/>
        <s v="5YJXCAE22H"/>
        <s v="5YJXCAE24H"/>
        <s v="5YJXCAE24L"/>
        <s v="5YJXCAE25L"/>
        <s v="5YJXCAE26L"/>
        <s v="5YJXCAE29L"/>
        <s v="5YJXCAE41K"/>
        <s v="5YJXCAE46L"/>
        <s v="5YJXCBE21H"/>
        <s v="5YJXCBE24J"/>
        <s v="5YJXCBE26J"/>
        <s v="5YJXCBE29H"/>
        <s v="5YJXCBE29K"/>
        <s v="5YJXCBE41J"/>
        <s v="5YJXCBE46L"/>
        <s v="5YJXCDE21H"/>
        <s v="5YJXCDE22K"/>
        <s v="5YJXCDE26J"/>
        <s v="5YJXCDE28H"/>
        <s v="5YJXCDE2XJ"/>
        <s v="5YJYGAEE1M"/>
        <s v="5YJYGAEE3M"/>
        <s v="5YJYGAEE7M"/>
        <s v="5YJYGAEEXM"/>
        <s v="5YJYGDEDXM"/>
        <s v="5YJYGDEE0M"/>
        <s v="5YJYGDEE1L"/>
        <s v="5YJYGDEE1M"/>
        <s v="5YJYGDEE2L"/>
        <s v="5YJYGDEE2M"/>
        <s v="5YJYGDEE3M"/>
        <s v="5YJYGDEE4L"/>
        <s v="5YJYGDEE4M"/>
        <s v="5YJYGDEE5L"/>
        <s v="5YJYGDEE5M"/>
        <s v="5YJYGDEE6L"/>
        <s v="5YJYGDEE6M"/>
        <s v="5YJYGDEE7L"/>
        <s v="5YJYGDEE7M"/>
        <s v="5YJYGDEE8L"/>
        <s v="5YJYGDEE8M"/>
        <s v="5YJYGDEE9L"/>
        <s v="5YJYGDEEXL"/>
        <s v="5YJYGDEEXM"/>
        <s v="5YJYGDEF1L"/>
        <s v="5YJYGDEF5L"/>
        <s v="5YJYGDEF5M"/>
        <s v="5YJYGDEF7M"/>
        <s v="5YJYGDEF8L"/>
        <s v="5YJYGDEF9M"/>
        <s v="5YJYGDEFXL"/>
        <s v="5YM23CS04S"/>
        <s v="5YM23CS06R"/>
        <s v="7FCTGAAA1N"/>
        <s v="7FCTGAAA1P"/>
        <s v="7FCTGAAA3P"/>
        <s v="7FCTGAAAXP"/>
        <s v="7FCTGAAL1N"/>
        <s v="7FCTGAAL8P"/>
        <s v="7FCTGAAL9P"/>
        <s v="7FCTGBAA2S"/>
        <s v="7FCTGBAA5S"/>
        <s v="7FCTGBAA6P"/>
        <s v="7FCTGBAA7S"/>
        <s v="7FCTGBAA8S"/>
        <s v="7FCTGBAAXP"/>
        <s v="7FCTGBAAXS"/>
        <s v="7FCTGCAA8R"/>
        <s v="7G2CEHED0R"/>
        <s v="7G2CEHED2R"/>
        <s v="7G2CEHED4S"/>
        <s v="7G2CEHED7S"/>
        <s v="7G2CEHED8R"/>
        <s v="7G2CEHEE0R"/>
        <s v="7G2CEHEE7R"/>
        <s v="7JDEV3KL9S"/>
        <s v="7JRBR0FM0L"/>
        <s v="7JRH60FU9P"/>
        <s v="7PDSGABA0P"/>
        <s v="7PDSGABA4P"/>
        <s v="7PDSGABA6P"/>
        <s v="7PDSGABA7P"/>
        <s v="7PDSGABL0P"/>
        <s v="7PDSGABL3P"/>
        <s v="7PDSGBBA0R"/>
        <s v="7PDSGBBA3R"/>
        <s v="7PDSGBBA3S"/>
        <s v="7PDSGBBA4S"/>
        <s v="7PDSGBBA5S"/>
        <s v="7PDSGBBA8R"/>
        <s v="7PDSGBBA8S"/>
        <s v="7PDSGBBA9R"/>
        <s v="7PDSGBBA9S"/>
        <s v="7PDSGBBAXS"/>
        <s v="7PDSGCBA1S"/>
        <s v="7PDSGCBP3S"/>
        <s v="7PDSGCBP4S"/>
        <s v="7PDSGCBP7S"/>
        <s v="7SAXCAE50P"/>
        <s v="7SAXCAE57N"/>
        <s v="7SAXCAE58R"/>
        <s v="7SAXCBE53S"/>
        <s v="7SAXCBE58P"/>
        <s v="7SAXCBE5XN"/>
        <s v="7SAXCBE63P"/>
        <s v="7SAXCBE66P"/>
        <s v="7SAXCDE56N"/>
        <s v="7SAXCDE57P"/>
        <s v="7SAXCDE58P"/>
        <s v="7SAXCDE59P"/>
        <s v="7SAXCDE59R"/>
        <s v="7SAYGAEE0P"/>
        <s v="7SAYGAEE0S"/>
        <s v="7SAYGAEE1N"/>
        <s v="7SAYGAEE1P"/>
        <s v="7SAYGAEE1R"/>
        <s v="7SAYGAEE2P"/>
        <s v="7SAYGAEE2R"/>
        <s v="7SAYGAEE2S"/>
        <s v="7SAYGAEE3N"/>
        <s v="7SAYGAEE3P"/>
        <s v="7SAYGAEE3R"/>
        <s v="7SAYGAEE4P"/>
        <s v="7SAYGAEE4R"/>
        <s v="7SAYGAEE5N"/>
        <s v="7SAYGAEE5P"/>
        <s v="7SAYGAEE5R"/>
        <s v="7SAYGAEE6N"/>
        <s v="7SAYGAEE6P"/>
        <s v="7SAYGAEE7R"/>
        <s v="7SAYGAEE7S"/>
        <s v="7SAYGAEE8R"/>
        <s v="7SAYGAEE8S"/>
        <s v="7SAYGAEE9R"/>
        <s v="7SAYGAEE9S"/>
        <s v="7SAYGAEEXN"/>
        <s v="7SAYGAEEXP"/>
        <s v="7SAYGDED0R"/>
        <s v="7SAYGDED0T"/>
        <s v="7SAYGDED2S"/>
        <s v="7SAYGDED5R"/>
        <s v="7SAYGDED5S"/>
        <s v="7SAYGDED6S"/>
        <s v="7SAYGDED7P"/>
        <s v="7SAYGDED8T"/>
        <s v="7SAYGDED9S"/>
        <s v="7SAYGDEDXS"/>
        <s v="7SAYGDEE0N"/>
        <s v="7SAYGDEE0P"/>
        <s v="7SAYGDEE0R"/>
        <s v="7SAYGDEE0S"/>
        <s v="7SAYGDEE0T"/>
        <s v="7SAYGDEE1N"/>
        <s v="7SAYGDEE1P"/>
        <s v="7SAYGDEE1R"/>
        <s v="7SAYGDEE1S"/>
        <s v="7SAYGDEE1T"/>
        <s v="7SAYGDEE2N"/>
        <s v="7SAYGDEE2P"/>
        <s v="7SAYGDEE2R"/>
        <s v="7SAYGDEE2S"/>
        <s v="7SAYGDEE3N"/>
        <s v="7SAYGDEE3P"/>
        <s v="7SAYGDEE3R"/>
        <s v="7SAYGDEE3T"/>
        <s v="7SAYGDEE4P"/>
        <s v="7SAYGDEE4R"/>
        <s v="7SAYGDEE5N"/>
        <s v="7SAYGDEE5P"/>
        <s v="7SAYGDEE5R"/>
        <s v="7SAYGDEE5S"/>
        <s v="7SAYGDEE5T"/>
        <s v="7SAYGDEE6N"/>
        <s v="7SAYGDEE6P"/>
        <s v="7SAYGDEE6R"/>
        <s v="7SAYGDEE6S"/>
        <s v="7SAYGDEE6T"/>
        <s v="7SAYGDEE7P"/>
        <s v="7SAYGDEE7R"/>
        <s v="7SAYGDEE7S"/>
        <s v="7SAYGDEE7T"/>
        <s v="7SAYGDEE8N"/>
        <s v="7SAYGDEE8P"/>
        <s v="7SAYGDEE8R"/>
        <s v="7SAYGDEE8S"/>
        <s v="7SAYGDEE8T"/>
        <s v="7SAYGDEE9N"/>
        <s v="7SAYGDEE9P"/>
        <s v="7SAYGDEE9R"/>
        <s v="7SAYGDEE9S"/>
        <s v="7SAYGDEE9T"/>
        <s v="7SAYGDEEXN"/>
        <s v="7SAYGDEEXP"/>
        <s v="7SAYGDEEXR"/>
        <s v="7SAYGDEEXS"/>
        <s v="7SAYGDEEXT"/>
        <s v="7SAYGDEF0R"/>
        <s v="7SAYGDEF1N"/>
        <s v="7SAYGDEF1P"/>
        <s v="7SAYGDEF2N"/>
        <s v="7SAYGDEF3N"/>
        <s v="7SAYGDEF4N"/>
        <s v="7SAYGDEF4P"/>
        <s v="7SAYGDEF5N"/>
        <s v="7SAYGDEF5P"/>
        <s v="7SAYGDEF5R"/>
        <s v="7SAYGDEF6N"/>
        <s v="7SAYGDEF7N"/>
        <s v="7SAYGDEF7P"/>
        <s v="7SAYGDEF7R"/>
        <s v="7SAYGDEF8R"/>
        <s v="7SAYGDEF9N"/>
        <s v="7SAYGDEF9R"/>
        <s v="7SAYGDEFXP"/>
        <s v="7SAYGDEFXR"/>
        <s v="7SAYGDEFXS"/>
        <s v="7YAKMDDC6S"/>
        <s v="7YAKNDDC9S"/>
        <s v="7YAMTFS34T"/>
        <s v="JA4J24A52J"/>
        <s v="JA4J24A58J"/>
        <s v="JA4T5VA96P"/>
        <s v="JA4T5VA9XP"/>
        <s v="JHMZC5F10J"/>
        <s v="JHMZC5F13J"/>
        <s v="JHMZC5F16J"/>
        <s v="JHMZC5F17K"/>
        <s v="JHMZC5F31J"/>
        <s v="JHMZC5F36J"/>
        <s v="JHMZC5F38L"/>
        <s v="JHMZC5F38M"/>
        <s v="JHMZC5F3XJ"/>
        <s v="JM3KKBHAXR"/>
        <s v="JM3KKCHAXS"/>
        <s v="JM3KKDHA0R"/>
        <s v="JM3KKDHAXR"/>
        <s v="JM3KKEHA1R"/>
        <s v="JM3KKEHA4R"/>
        <s v="JM3KKEHA8R"/>
        <s v="JM3KKEHA8S"/>
        <s v="JM3KKEHAXS"/>
        <s v="JN1AF0BA1R"/>
        <s v="JN1AZ0CP0B"/>
        <s v="JN1AZ0CP1B"/>
        <s v="JN1AZ0CP5B"/>
        <s v="JN1AZ0CP5C"/>
        <s v="JN1AZ0CP6C"/>
        <s v="JN1AZ0CP7B"/>
        <s v="JN1AZ0CP7C"/>
        <s v="JN1AZ0CP8B"/>
        <s v="JN1AZ0CP9C"/>
        <s v="JN1AZ0CPXC"/>
        <s v="JN1BF0AA3P"/>
        <s v="JN1CF0BBXP"/>
        <s v="JN1DF0BB1R"/>
        <s v="JN1DF0CD7R"/>
        <s v="JN8AF0BE4S"/>
        <s v="JN8DF0BF1S"/>
        <s v="JTDACACU2R"/>
        <s v="JTDACACU4R"/>
        <s v="JTDACACU6R"/>
        <s v="JTDACACU6S"/>
        <s v="JTDACACU7R"/>
        <s v="JTDACACUXR"/>
        <s v="JTDACACUXS"/>
        <s v="JTDKAMFP2N"/>
        <s v="JTDKAMFP3M"/>
        <s v="JTDKAMFP8M"/>
        <s v="JTDKAMFP9M"/>
        <s v="JTDKARFP2L"/>
        <s v="JTDKARFP3H"/>
        <s v="JTDKARFP3K"/>
        <s v="JTDKARFP3L"/>
        <s v="JTDKARFP5K"/>
        <s v="JTDKARFP7J"/>
        <s v="JTDKARFP9H"/>
        <s v="JTDKARFPXJ"/>
        <s v="JTDKARFPXK"/>
        <s v="JTDKN3DP7D"/>
        <s v="JTDKN3DPXD"/>
        <s v="JTJAAAAB1R"/>
        <s v="JTJAAAAB2R"/>
        <s v="JTJAAAAB7P"/>
        <s v="JTJHKCFZ3P"/>
        <s v="JTJHKCFZ3R"/>
        <s v="JTJHKCFZ3S"/>
        <s v="JTJHKCFZ5S"/>
        <s v="JTJHKCFZ6N"/>
        <s v="JTJKKCFZ2R"/>
        <s v="JTMAAAAA6S"/>
        <s v="JTMAB3FV2R"/>
        <s v="JTMAB3FV3R"/>
        <s v="JTMAB3FV4N"/>
        <s v="JTMAB3FV5N"/>
        <s v="JTMAB3FV5P"/>
        <s v="JTMAB3FV7P"/>
        <s v="JTMAB3FV8R"/>
        <s v="JTMAB3FV9M"/>
        <s v="JTMAB3FVXP"/>
        <s v="JTMAB3FVXR"/>
        <s v="JTMABABA0R"/>
        <s v="JTMABABA1R"/>
        <s v="JTMABABA2P"/>
        <s v="JTMABABA2S"/>
        <s v="JTMABABA3R"/>
        <s v="JTMABABA6P"/>
        <s v="JTMABABA7P"/>
        <s v="JTMABABA7R"/>
        <s v="JTMABABA8P"/>
        <s v="JTMABABA8R"/>
        <s v="JTMABABA8S"/>
        <s v="JTMABABA9P"/>
        <s v="JTMABABA9R"/>
        <s v="JTMABACA0R"/>
        <s v="JTMABACA1S"/>
        <s v="JTMABACA2R"/>
        <s v="JTMABACA6S"/>
        <s v="JTMCB3FV1P"/>
        <s v="JTMCB3FV4R"/>
        <s v="JTMEB3FV1P"/>
        <s v="JTMEB3FV3R"/>
        <s v="JTMEB3FV3S"/>
        <s v="JTMEB3FV6S"/>
        <s v="JTMEB3FV8P"/>
        <s v="JTMFB3FV3R"/>
        <s v="JTMFB3FV9R"/>
        <s v="JTMFB3FV9S"/>
        <s v="JTMFB3FVXS"/>
        <s v="KL8CL6S04F"/>
        <s v="KL8CL6S05E"/>
        <s v="KL8CL6S06F"/>
        <s v="KM8HC3A68R"/>
        <s v="KM8JBDD26R"/>
        <s v="KM8JFDD22R"/>
        <s v="KM8JFDD27R"/>
        <s v="KM8JFDD27S"/>
        <s v="KM8K33AG1P"/>
        <s v="KM8K53AG3L"/>
        <s v="KM8K53AG8L"/>
        <s v="KM8K53AGXP"/>
        <s v="KM8KMDAF4N"/>
        <s v="KM8KMDDF1R"/>
        <s v="KM8KNDAF1P"/>
        <s v="KM8KNDAF2P"/>
        <s v="KM8KNDAF4P"/>
        <s v="KM8KNDAF7N"/>
        <s v="KM8KNDAF7P"/>
        <s v="KM8KNDAFXP"/>
        <s v="KM8KNDDF0R"/>
        <s v="KM8KNDDF6R"/>
        <s v="KM8KNDDFXR"/>
        <s v="KM8KRDAF1P"/>
        <s v="KM8KRDAF4P"/>
        <s v="KM8KRDAF5P"/>
        <s v="KM8KRDDF4R"/>
        <s v="KM8KRDDF6R"/>
        <s v="KM8KRDDF7R"/>
        <s v="KM8KRDDF8R"/>
        <s v="KM8KRDDF9R"/>
        <s v="KMHM34AA2S"/>
        <s v="KMHM34AC6R"/>
        <s v="KMHM34AC9R"/>
        <s v="KMHM34ACXP"/>
        <s v="KMUKEDSB8R"/>
        <s v="KNAGV4LD6J"/>
        <s v="KNDADFS50R"/>
        <s v="KNDADFS56R"/>
        <s v="KNDAEFS52R"/>
        <s v="KNDAEFS56S"/>
        <s v="KNDAEFS57R"/>
        <s v="KNDAEFS5XR"/>
        <s v="KNDAEFS5XS"/>
        <s v="KNDAFFS51R"/>
        <s v="KNDAFFS56R"/>
        <s v="KNDAFFS57R"/>
        <s v="KNDC34LA8N"/>
        <s v="KNDC3DLC0N"/>
        <s v="KNDC3DLC1N"/>
        <s v="KNDC3DLC1P"/>
        <s v="KNDC3DLC2R"/>
        <s v="KNDC3DLC5N"/>
        <s v="KNDC3DLC5R"/>
        <s v="KNDC3DLC6R"/>
        <s v="KNDC3DLC7N"/>
        <s v="KNDC3DLC7R"/>
        <s v="KNDC3DLC8N"/>
        <s v="KNDC3DLCXN"/>
        <s v="KNDC4DLC4P"/>
        <s v="KNDCC3LD2J"/>
        <s v="KNDCC3LD5K"/>
        <s v="KNDCC3LG0K"/>
        <s v="KNDCC3LG4L"/>
        <s v="KNDCC3LG7K"/>
        <s v="KNDCC3LG8K"/>
        <s v="KNDCC3LG8N"/>
        <s v="KNDCC3LGXK"/>
        <s v="KNDCD3LD0N"/>
        <s v="KNDCD3LD7N"/>
        <s v="KNDCE3LG0L"/>
        <s v="KNDCE3LG2K"/>
        <s v="KNDCE3LG3K"/>
        <s v="KNDCE3LG4L"/>
        <s v="KNDCE3LGXL"/>
        <s v="KNDCM3LD5K"/>
        <s v="KNDCM3LD5L"/>
        <s v="KNDCM3LD9K"/>
        <s v="KNDCM3LDXJ"/>
        <s v="KNDCR3L11R"/>
        <s v="KNDCR3L13S"/>
        <s v="KNDCR3L15S"/>
        <s v="KNDCR3L17S"/>
        <s v="KNDCR3L19P"/>
        <s v="KNDCR3L19R"/>
        <s v="KNDCR3L19S"/>
        <s v="KNDCR3LF4P"/>
        <s v="KNDCR3LF5P"/>
        <s v="KNDCR3LF6R"/>
        <s v="KNDCS3LF0R"/>
        <s v="KNDCS3LF3P"/>
        <s v="KNDCS3LF4P"/>
        <s v="KNDCS3LF4R"/>
        <s v="KNDJP3AE0G"/>
        <s v="KNDJP3AE4G"/>
        <s v="KNDJP3AEXG"/>
        <s v="KNDJX3AE2H"/>
        <s v="KNDJX3AE5H"/>
        <s v="KNDJX3AE6F"/>
        <s v="KNDJX3AE9H"/>
        <s v="KNDJX3AEXG"/>
        <s v="KNDPYDAH0P"/>
        <s v="KNDPYDAH1P"/>
        <s v="KNDPYDAH6P"/>
        <s v="KNDPYDAH8P"/>
        <s v="KNDPYDDH1R"/>
        <s v="KNDPYDDH1S"/>
        <s v="KNDPYDDH3S"/>
        <s v="KNDPYDDH4R"/>
        <s v="KNDPYDDH6R"/>
        <s v="KNDPYDDH6S"/>
        <s v="KNDPYDDH8S"/>
        <s v="KNDPZDDH0S"/>
        <s v="KNDPZDDH5S"/>
        <s v="KNDPZDDH8S"/>
        <s v="KNDRJDJH5S"/>
        <s v="KNDRMDLH7N"/>
        <s v="KNDRMDLHXP"/>
        <s v="LPSED3KA0M"/>
        <s v="LPSED3KA1N"/>
        <s v="LPSED3KA3M"/>
        <s v="LPSED3KA4N"/>
        <s v="LPSED3KA9M"/>
        <s v="LYVBR0DL8J"/>
        <s v="SALK19F49S"/>
        <s v="VCF1ZBU20P"/>
        <s v="W1N0G5DB6L"/>
        <s v="W1N9M0KB7P"/>
        <s v="W1NKM5GB4S"/>
        <s v="W1NKM8AB9S"/>
        <s v="WA114BGF0S"/>
        <s v="WA124BGF7S"/>
        <s v="WA14UBFZ6R"/>
        <s v="WA16AAGE1R"/>
        <s v="WA1AAAGE0M"/>
        <s v="WA1AAAGE8M"/>
        <s v="WA1AAAGE9M"/>
        <s v="WA1E2AFY1L"/>
        <s v="WA1E2AFY2M"/>
        <s v="WA1E2AFY2R"/>
        <s v="WA1E2AFY8R"/>
        <s v="WA1E2AFY9P"/>
        <s v="WA1E2AFY9R"/>
        <s v="WA1E2AFY9S"/>
        <s v="WA1F2AFY0M"/>
        <s v="WA1F2AFY2R"/>
        <s v="WA1F2AFY7N"/>
        <s v="WA1F2AFYXM"/>
        <s v="WA1L2BFZ6R"/>
        <s v="WA1LAAGE0K"/>
        <s v="WA1LAAGE7N"/>
        <s v="WA1LABGE3K"/>
        <s v="WA1LUBFZ9R"/>
        <s v="WA1VAAGE4K"/>
        <s v="WA1VAAGE5K"/>
        <s v="WA1VAAGEXK"/>
        <s v="WA1VABGE4K"/>
        <s v="WA1VABGE5K"/>
        <s v="WAUAHBFW5N"/>
        <s v="WAUBHBFW0P"/>
        <s v="WAUCJBFW6N"/>
        <s v="WAUEJBFW6N"/>
        <s v="WAUSPBFF1H"/>
        <s v="WAUTPBFF2G"/>
        <s v="WAUTPBFF7J"/>
        <s v="WAUTPBFF8G"/>
        <s v="WAUTPBFF8J"/>
        <s v="WAUUPBFF4G"/>
        <s v="WAUUPBFF4J"/>
        <s v="WAUUPBFF7G"/>
        <s v="WB523CF00N"/>
        <s v="WB523CF00R"/>
        <s v="WB523CF00S"/>
        <s v="WB523CF01S"/>
        <s v="WB523CF02R"/>
        <s v="WB523CF06N"/>
        <s v="WB523CF06R"/>
        <s v="WB523CF07P"/>
        <s v="WB523CF09R"/>
        <s v="WBA13AG02N"/>
        <s v="WBA5P7C06M"/>
        <s v="WBA5P9C06M"/>
        <s v="WBA7J2C58J"/>
        <s v="WBY13HG02S"/>
        <s v="WBY1Z2C50F"/>
        <s v="WBY1Z2C51E"/>
        <s v="WBY1Z2C52E"/>
        <s v="WBY1Z2C52G"/>
        <s v="WBY1Z4C56E"/>
        <s v="WBY1Z4C57F"/>
        <s v="WBY1Z4C58F"/>
        <s v="WBY1Z4C5XF"/>
        <s v="WBY1Z4C5XG"/>
        <s v="WBY1Z6C50H"/>
        <s v="WBY1Z6C57H"/>
        <s v="WBY1Z8C31H"/>
        <s v="WBY1Z8C35H"/>
        <s v="WBY1Z8C51H"/>
        <s v="WBY1Z8C58H"/>
        <s v="WBY2Z2C50E"/>
        <s v="WBY33AW04R"/>
        <s v="WBY33AW06P"/>
        <s v="WBY43HD01S"/>
        <s v="WBY73AW06R"/>
        <s v="WBY7Z2C52J"/>
        <s v="WBY7Z2C56J"/>
        <s v="WBY7Z4C56J"/>
        <s v="WBY7Z6C51J"/>
        <s v="WBY7Z8C54J"/>
        <s v="WBY7Z8C59J"/>
        <s v="WBY83FB06R"/>
        <s v="WBY83FB0XR"/>
        <s v="WBY8P2C53K"/>
        <s v="WBY8P4C54K"/>
        <s v="WDDUG6DB5H"/>
        <s v="WDDVP9AB0G"/>
        <s v="WDDVP9AB6E"/>
        <s v="WMEEJ9AA1G"/>
        <s v="WMEEJ9AA3G"/>
        <s v="WMEFJ9BAXH"/>
        <s v="WMEFJ9BAXJ"/>
        <s v="WMW13DJ00P"/>
        <s v="WMW13DJ05N"/>
        <s v="WMW13DJ06N"/>
        <s v="WMW13DJ08P"/>
        <s v="WMW13DJ09N"/>
        <s v="WMWXP3C07M"/>
        <s v="WMWXP3C08M"/>
        <s v="WMZ23BS09N"/>
        <s v="WP0AB2Y17N"/>
        <s v="WP0AB2Y17P"/>
        <s v="WP0AB2Y1XL"/>
        <s v="WP0AC2Y17N"/>
        <s v="WP0AD2Y11N"/>
        <s v="WP0AD2Y1XP"/>
        <s v="WP0AE2A78J"/>
        <s v="WP0AE2YA5S"/>
        <s v="WP0BC2Y13P"/>
        <s v="WP0CH2A76J"/>
        <s v="WP1AA2XAXS"/>
        <s v="WP1AE2AY1L"/>
        <s v="WP1BE2AY2S"/>
        <s v="WP1BN2AY7S"/>
        <s v="WVG6YVEB0S"/>
        <s v="WVGDMPE22M"/>
        <s v="WVGDMPE24M"/>
        <s v="WVGJNPE24N"/>
        <s v="WVGNYVEB2S"/>
        <s v="WVGUNPE23M"/>
        <s v="WVGUNPE25N"/>
        <s v="WVGUNPE29N"/>
        <s v="WVWKP7AU9G"/>
        <s v="WVWKR7AU8K"/>
        <s v="WVWKR7AUXH"/>
        <s v="WVWKR7AUXK"/>
        <s v="WVWPP7AU8G"/>
        <s v="WVWPR7AU8K"/>
        <s v="WVWPR7AUXJ"/>
        <s v="YV1BK0EP1M"/>
        <s v="YV1H60EP7R"/>
        <s v="YV1H60EP8R"/>
        <s v="YV4BR0CK6M"/>
        <s v="YV4BR0CKXN"/>
        <s v="YV4BR0CL5M"/>
        <s v="YV4BR0CL6M"/>
        <s v="YV4BR0CMXM"/>
        <s v="YV4BR0DK8M"/>
        <s v="YV4BR0DKXM"/>
        <s v="YV4BR0DL1L"/>
        <s v="YV4BR0DM2L"/>
        <s v="YV4BR0PL3J"/>
        <s v="YV4ED3GB7N"/>
        <s v="YV4ED3GB8N"/>
        <s v="YV4ED3GK8P"/>
        <s v="YV4ED3UM7P"/>
        <s v="YV4ED3UR1M"/>
        <s v="YV4ED3UR9N"/>
        <s v="YV4ED3URXM"/>
        <s v="YV4EK3ZL7S"/>
        <s v="YV4ER3HL0S"/>
        <s v="YV4ER3XK0R"/>
        <s v="YV4H600A3P"/>
        <s v="YV4H60CW2P"/>
        <s v="YV4H60CX0P"/>
        <s v="YV4H60CXXP"/>
        <s v="YV4H60DJ7R"/>
        <s v="YV4H60DJ9R"/>
        <s v="YV4H60DM6R"/>
        <s v="YV4H60DX2P"/>
        <s v="YV4H60RC0S"/>
        <s v="YV4H60RM8S"/>
        <s v="ZACPDFCWXR"/>
        <s v="ZACPDFDW1R"/>
        <s v="ZASPATDW0R"/>
        <s v="ZFAFFAA43R"/>
        <s v="ZFAFFAA4XR"/>
        <s v="ZFAFFAC40R"/>
      </sharedItems>
    </cacheField>
    <cacheField name="County" numFmtId="0">
      <sharedItems count="32">
        <s v="Kitsap"/>
        <s v="King"/>
        <s v="Snohomish"/>
        <s v="Yakima"/>
        <s v="Clark"/>
        <s v="Island"/>
        <s v="Pierce"/>
        <s v="Thurston"/>
        <s v="Lewis"/>
        <s v="Pend Oreille"/>
        <s v="Chelan"/>
        <s v="Skagit"/>
        <s v="Stevens"/>
        <s v="Grant"/>
        <s v="Walla Walla"/>
        <s v="Spokane"/>
        <s v="Mason"/>
        <s v="San Juan"/>
        <s v="Okanogan"/>
        <s v="Jefferson"/>
        <s v="Clallam"/>
        <s v="Klickitat"/>
        <s v="Whatcom"/>
        <s v="Benton"/>
        <s v="Grays Harbor"/>
        <s v="Kittitas"/>
        <s v="Adams"/>
        <s v="Douglas"/>
        <s v="Whitman"/>
        <s v="Cowlitz"/>
        <s v="Franklin"/>
        <s v="Pacific"/>
      </sharedItems>
    </cacheField>
    <cacheField name="City" numFmtId="0">
      <sharedItems/>
    </cacheField>
    <cacheField name="State" numFmtId="0">
      <sharedItems/>
    </cacheField>
    <cacheField name="Postal Code" numFmtId="1">
      <sharedItems containsSemiMixedTypes="0" containsString="0" containsNumber="1" containsInteger="1" minValue="98001" maxValue="99362"/>
    </cacheField>
    <cacheField name="Model Year" numFmtId="0">
      <sharedItems count="17">
        <s v="2023"/>
        <s v="2021"/>
        <s v="2022"/>
        <s v="2024"/>
        <s v="2025"/>
        <s v="2016"/>
        <s v="2014"/>
        <s v="2013"/>
        <s v="2015"/>
        <s v="2017"/>
        <s v="2018"/>
        <s v="2020"/>
        <s v="2019"/>
        <s v="2012"/>
        <s v="2026"/>
        <s v="2008"/>
        <s v="2011"/>
      </sharedItems>
    </cacheField>
    <cacheField name="Make" numFmtId="0">
      <sharedItems count="36">
        <s v="JEEP"/>
        <s v="FORD"/>
        <s v="CHEVROLET"/>
        <s v="GMC"/>
        <s v="CADILLAC"/>
        <s v="NISSAN"/>
        <s v="VOLKSWAGEN"/>
        <s v="DODGE"/>
        <s v="CHRYSLER"/>
        <s v="TOYOTA"/>
        <s v="FIAT"/>
        <s v="RAM"/>
        <s v="HONDA"/>
        <s v="BMW"/>
        <s v="MERCEDES-BENZ"/>
        <s v="ACURA"/>
        <s v="LUCID"/>
        <s v="LINCOLN"/>
        <s v="GENESIS"/>
        <s v="KIA"/>
        <s v="TESLA"/>
        <s v="RIVIAN"/>
        <s v="VOLVO"/>
        <s v="HYUNDAI"/>
        <s v="MITSUBISHI"/>
        <s v="MAZDA"/>
        <s v="LEXUS"/>
        <s v="SUBARU"/>
        <s v="POLESTAR"/>
        <s v="LAND ROVER"/>
        <s v="FISKER"/>
        <s v="AUDI"/>
        <s v="SMART"/>
        <s v="MINI"/>
        <s v="PORSCHE"/>
        <s v="ALFA ROMEO"/>
      </sharedItems>
    </cacheField>
    <cacheField name="Model" numFmtId="0">
      <sharedItems/>
    </cacheField>
    <cacheField name="Electric Vehicle Type" numFmtId="0">
      <sharedItems count="2">
        <s v="Plug-in Hybrid Electric Vehicle (PHEV)"/>
        <s v="Battery Electric Vehicle (BEV)"/>
      </sharedItems>
    </cacheField>
    <cacheField name="Clean Alternative Fuel Vehicle (CAFV) Eligibility" numFmtId="0">
      <sharedItems/>
    </cacheField>
    <cacheField name="Electric Range" numFmtId="0">
      <sharedItems/>
    </cacheField>
    <cacheField name="Base MSRP" numFmtId="0">
      <sharedItems/>
    </cacheField>
    <cacheField name="Legislative District" numFmtId="0">
      <sharedItems/>
    </cacheField>
    <cacheField name="DOL Vehicle ID" numFmtId="1">
      <sharedItems containsSemiMixedTypes="0" containsString="0" containsNumber="1" containsInteger="1" minValue="1956790" maxValue="478451970"/>
    </cacheField>
    <cacheField name="Vehicle Location" numFmtId="0">
      <sharedItems/>
    </cacheField>
    <cacheField name="Electric Utility" numFmtId="0">
      <sharedItems count="39">
        <s v="PUGET SOUND ENERGY INC"/>
        <s v="PUGET SOUND ENERGY INC||CITY OF TACOMA - (WA)"/>
        <s v="PACIFICORP"/>
        <s v="BONNEVILLE POWER ADMINISTRATION||PUD NO 1 OF CLARK COUNTY - (WA)"/>
        <s v="CITY OF SEATTLE - (WA)|CITY OF TACOMA - (WA)"/>
        <s v="BONNEVILLE POWER ADMINISTRATION||PUD 1 OF SNOHOMISH COUNTY"/>
        <s v="BONNEVILLE POWER ADMINISTRATION||CITY OF CENTRALIA - (WA)|CITY OF TACOMA - (WA)"/>
        <s v="PUD NO 1 OF PEND OREILLE COUNTY"/>
        <s v="PUD NO 1 OF CHELAN COUNTY"/>
        <s v="AVISTA CORP"/>
        <s v="PUD NO 2 OF GRANT COUNTY"/>
        <s v="BONNEVILLE POWER ADMINISTRATION||CITY OF TACOMA - (WA)||PENINSULA LIGHT COMPANY"/>
        <s v="BONNEVILLE POWER ADMINISTRATION||AVISTA CORP||INLAND POWER &amp; LIGHT COMPANY"/>
        <s v="BONNEVILLE POWER ADMINISTRATION||PACIFICORP||PUD NO 1 OF CLARK COUNTY - (WA)"/>
        <s v="BONNEVILLE POWER ADMINISTRATION||CITY OF TACOMA - (WA)||PUD NO 3 OF MASON COUNTY"/>
        <s v="MODERN ELECTRIC WATER COMPANY"/>
        <s v="BONNEVILLE POWER ADMINISTRATION||ORCAS POWER &amp; LIGHT COOP"/>
        <s v="CITY OF TACOMA - (WA)||TANNER ELECTRIC COOP"/>
        <s v="OKANOGAN COUNTY ELEC COOP, INC"/>
        <s v="BONNEVILLE POWER ADMINISTRATION||PUGET SOUND ENERGY INC||PUD NO 1 OF JEFFERSON COUNTY"/>
        <s v="BONNEVILLE POWER ADMINISTRATION||PUD NO 1 OF CLALLAM COUNTY"/>
        <s v="BONNEVILLE POWER ADMINISTRATION||PUD NO 1 OF KLICKITAT COUNTY"/>
        <s v="BONNEVILLE POWER ADMINISTRATION||CITY OF TACOMA - (WA)||ELMHURST MUTUAL POWER &amp; LIGHT CO|PENINSULA LIGHT COMPANY"/>
        <s v="PUGET SOUND ENERGY INC||PUD NO 1 OF WHATCOM COUNTY"/>
        <s v="BONNEVILLE POWER ADMINISTRATION||CITY OF RICHLAND - (WA)"/>
        <s v="BONNEVILLE POWER ADMINISTRATION||PUD NO 1 OF GRAYS HARBOR COUNTY"/>
        <s v="NO KNOWN ELECTRIC UTILITY SERVICE"/>
        <s v="BONNEVILLE POWER ADMINISTRATION||AVISTA CORP||BIG BEND ELECTRIC COOP, INC"/>
        <s v="PUD NO 1 OF DOUGLAS COUNTY"/>
        <s v="BONNEVILLE POWER ADMINISTRATION||CITY OF TACOMA - (WA)||OHOP MUTUAL LIGHT COMPANY, INC|PENINSULA LIGHT COMPANY"/>
        <s v="BONNEVILLE POWER ADMINISTRATION||PUD NO 1 OF COWLITZ COUNTY"/>
        <s v="BONNEVILLE POWER ADMINISTRATION||PUD NO 1 OF BENTON COUNTY"/>
        <s v="BONNEVILLE POWER ADMINISTRATION||VERA IRRIGATION DISTRICT #15"/>
        <s v="BONNEVILLE POWER ADMINISTRATION||PUD NO 1 OF FRANKLIN COUNTY"/>
        <s v="BONNEVILLE POWER ADMINISTRATION||PUD NO 2 OF PACIFIC COUNTY"/>
        <s v="PORTLAND GENERAL ELECTRIC CO"/>
        <s v="BONNEVILLE POWER ADMINISTRATION||TOWN OF STEILACOOM|CITY OF TACOMA - (WA)||PENINSULA LIGHT COMPANY"/>
        <s v="BONNEVILLE POWER ADMINISTRATION||CITY OF TACOMA - (WA)||PARKLAND LIGHT &amp; WATER COMPANY|PENINSULA LIGHT COMPANY"/>
        <s v="BONNEVILLE POWER ADMINISTRATION||CITY OF TACOMA - (WA)||LAKEVIEW LIGHT &amp; POWER|PENINSULA LIGHT COMPANY"/>
      </sharedItems>
    </cacheField>
    <cacheField name="2020 Census Tract" numFmtId="0">
      <sharedItems/>
    </cacheField>
  </cacheFields>
  <extLst>
    <ext xmlns:x14="http://schemas.microsoft.com/office/spreadsheetml/2009/9/main" uri="{725AE2AE-9491-48be-B2B4-4EB974FC3084}">
      <x14:pivotCacheDefinition pivotCacheId="94179129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 Rodríguez" refreshedDate="45965.57420185185" backgroundQuery="1" createdVersion="8" refreshedVersion="8" minRefreshableVersion="3" recordCount="0" supportSubquery="1" supportAdvancedDrill="1" xr:uid="{D15AEAE9-7E05-4110-9D49-8579EC1FE761}">
  <cacheSource type="external" connectionId="1"/>
  <cacheFields count="2">
    <cacheField name="[Datos_conjuntos].[Electric Vehicle Type].[Electric Vehicle Type]" caption="Electric Vehicle Type" numFmtId="0" hierarchy="8" level="1">
      <sharedItems count="2">
        <s v="Battery Electric Vehicle (BEV)"/>
        <s v="Plug-in Hybrid Electric Vehicle (PHEV)"/>
      </sharedItems>
    </cacheField>
    <cacheField name="[Measures].[Recuento distinto de VIN (1-10)]" caption="Recuento distinto de VIN (1-10)" numFmtId="0" hierarchy="20" level="32767"/>
  </cacheFields>
  <cacheHierarchies count="21">
    <cacheHierarchy uniqueName="[Datos_conjuntos].[VIN (1-10)]" caption="VIN (1-10)" attribute="1" defaultMemberUniqueName="[Datos_conjuntos].[VIN (1-10)].[All]" allUniqueName="[Datos_conjuntos].[VIN (1-10)].[All]" dimensionUniqueName="[Datos_conjuntos]" displayFolder="" count="2" memberValueDatatype="130" unbalanced="0"/>
    <cacheHierarchy uniqueName="[Datos_conjuntos].[County]" caption="County" attribute="1" defaultMemberUniqueName="[Datos_conjuntos].[County].[All]" allUniqueName="[Datos_conjuntos].[County].[All]" dimensionUniqueName="[Datos_conjuntos]" displayFolder="" count="2" memberValueDatatype="130" unbalanced="0"/>
    <cacheHierarchy uniqueName="[Datos_conjuntos].[City]" caption="City" attribute="1" defaultMemberUniqueName="[Datos_conjuntos].[City].[All]" allUniqueName="[Datos_conjuntos].[City].[All]" dimensionUniqueName="[Datos_conjuntos]" displayFolder="" count="2" memberValueDatatype="130" unbalanced="0"/>
    <cacheHierarchy uniqueName="[Datos_conjuntos].[State]" caption="State" attribute="1" defaultMemberUniqueName="[Datos_conjuntos].[State].[All]" allUniqueName="[Datos_conjuntos].[State].[All]" dimensionUniqueName="[Datos_conjuntos]" displayFolder="" count="2" memberValueDatatype="130" unbalanced="0"/>
    <cacheHierarchy uniqueName="[Datos_conjuntos].[Postal Code]" caption="Postal Code" attribute="1" defaultMemberUniqueName="[Datos_conjuntos].[Postal Code].[All]" allUniqueName="[Datos_conjuntos].[Postal Code].[All]" dimensionUniqueName="[Datos_conjuntos]" displayFolder="" count="2" memberValueDatatype="20" unbalanced="0"/>
    <cacheHierarchy uniqueName="[Datos_conjuntos].[Model Year]" caption="Model Year" attribute="1" defaultMemberUniqueName="[Datos_conjuntos].[Model Year].[All]" allUniqueName="[Datos_conjuntos].[Model Year].[All]" dimensionUniqueName="[Datos_conjuntos]" displayFolder="" count="2" memberValueDatatype="130" unbalanced="0"/>
    <cacheHierarchy uniqueName="[Datos_conjuntos].[Make]" caption="Make" attribute="1" defaultMemberUniqueName="[Datos_conjuntos].[Make].[All]" allUniqueName="[Datos_conjuntos].[Make].[All]" dimensionUniqueName="[Datos_conjuntos]" displayFolder="" count="2" memberValueDatatype="130" unbalanced="0"/>
    <cacheHierarchy uniqueName="[Datos_conjuntos].[Model]" caption="Model" attribute="1" defaultMemberUniqueName="[Datos_conjuntos].[Model].[All]" allUniqueName="[Datos_conjuntos].[Model].[All]" dimensionUniqueName="[Datos_conjuntos]" displayFolder="" count="2" memberValueDatatype="130" unbalanced="0"/>
    <cacheHierarchy uniqueName="[Datos_conjuntos].[Electric Vehicle Type]" caption="Electric Vehicle Type" attribute="1" defaultMemberUniqueName="[Datos_conjuntos].[Electric Vehicle Type].[All]" allUniqueName="[Datos_conjuntos].[Electric Vehicle Type].[All]" dimensionUniqueName="[Datos_conjuntos]" displayFolder="" count="2" memberValueDatatype="130" unbalanced="0">
      <fieldsUsage count="2">
        <fieldUsage x="-1"/>
        <fieldUsage x="0"/>
      </fieldsUsage>
    </cacheHierarchy>
    <cacheHierarchy uniqueName="[Datos_conjuntos].[Clean Alternative Fuel Vehicle (CAFV) Eligibility]" caption="Clean Alternative Fuel Vehicle (CAFV) Eligibility" attribute="1" defaultMemberUniqueName="[Datos_conjuntos].[Clean Alternative Fuel Vehicle (CAFV) Eligibility].[All]" allUniqueName="[Datos_conjuntos].[Clean Alternative Fuel Vehicle (CAFV) Eligibility].[All]" dimensionUniqueName="[Datos_conjuntos]" displayFolder="" count="2" memberValueDatatype="130" unbalanced="0"/>
    <cacheHierarchy uniqueName="[Datos_conjuntos].[Electric Range]" caption="Electric Range" attribute="1" defaultMemberUniqueName="[Datos_conjuntos].[Electric Range].[All]" allUniqueName="[Datos_conjuntos].[Electric Range].[All]" dimensionUniqueName="[Datos_conjuntos]" displayFolder="" count="2" memberValueDatatype="130" unbalanced="0"/>
    <cacheHierarchy uniqueName="[Datos_conjuntos].[Base MSRP]" caption="Base MSRP" attribute="1" defaultMemberUniqueName="[Datos_conjuntos].[Base MSRP].[All]" allUniqueName="[Datos_conjuntos].[Base MSRP].[All]" dimensionUniqueName="[Datos_conjuntos]" displayFolder="" count="2" memberValueDatatype="130" unbalanced="0"/>
    <cacheHierarchy uniqueName="[Datos_conjuntos].[Legislative District]" caption="Legislative District" attribute="1" defaultMemberUniqueName="[Datos_conjuntos].[Legislative District].[All]" allUniqueName="[Datos_conjuntos].[Legislative District].[All]" dimensionUniqueName="[Datos_conjuntos]" displayFolder="" count="2" memberValueDatatype="130" unbalanced="0"/>
    <cacheHierarchy uniqueName="[Datos_conjuntos].[DOL Vehicle ID]" caption="DOL Vehicle ID" attribute="1" defaultMemberUniqueName="[Datos_conjuntos].[DOL Vehicle ID].[All]" allUniqueName="[Datos_conjuntos].[DOL Vehicle ID].[All]" dimensionUniqueName="[Datos_conjuntos]" displayFolder="" count="2" memberValueDatatype="20" unbalanced="0"/>
    <cacheHierarchy uniqueName="[Datos_conjuntos].[Vehicle Location]" caption="Vehicle Location" attribute="1" defaultMemberUniqueName="[Datos_conjuntos].[Vehicle Location].[All]" allUniqueName="[Datos_conjuntos].[Vehicle Location].[All]" dimensionUniqueName="[Datos_conjuntos]" displayFolder="" count="2" memberValueDatatype="130" unbalanced="0"/>
    <cacheHierarchy uniqueName="[Datos_conjuntos].[Electric Utility]" caption="Electric Utility" attribute="1" defaultMemberUniqueName="[Datos_conjuntos].[Electric Utility].[All]" allUniqueName="[Datos_conjuntos].[Electric Utility].[All]" dimensionUniqueName="[Datos_conjuntos]" displayFolder="" count="2" memberValueDatatype="130" unbalanced="0"/>
    <cacheHierarchy uniqueName="[Datos_conjuntos].[2020 Census Tract]" caption="2020 Census Tract" attribute="1" defaultMemberUniqueName="[Datos_conjuntos].[2020 Census Tract].[All]" allUniqueName="[Datos_conjuntos].[2020 Census Tract].[All]" dimensionUniqueName="[Datos_conjuntos]" displayFolder="" count="2" memberValueDatatype="130" unbalanced="0"/>
    <cacheHierarchy uniqueName="[Measures].[__XL_Count Datos_conjuntos]" caption="__XL_Count Datos_conjuntos" measure="1" displayFolder="" measureGroup="Datos_conjuntos" count="0" hidden="1"/>
    <cacheHierarchy uniqueName="[Measures].[__No measures defined]" caption="__No measures defined" measure="1" displayFolder="" count="0" hidden="1"/>
    <cacheHierarchy uniqueName="[Measures].[Recuento de VIN (1-10)]" caption="Recuento de VIN (1-10)" measure="1" displayFolder="" measureGroup="Datos_conjunto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VIN (1-10)]" caption="Recuento distinto de VIN (1-10)" measure="1" displayFolder="" measureGroup="Datos_conjun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Datos_conjuntos" uniqueName="[Datos_conjuntos]" caption="Datos_conjuntos"/>
    <dimension measure="1" name="Measures" uniqueName="[Measures]" caption="Measures"/>
  </dimensions>
  <measureGroups count="1">
    <measureGroup name="Datos_conjuntos" caption="Datos_conjunto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 Rodríguez" refreshedDate="45965.574202314812" backgroundQuery="1" createdVersion="8" refreshedVersion="8" minRefreshableVersion="3" recordCount="0" supportSubquery="1" supportAdvancedDrill="1" xr:uid="{1F226D79-639D-4301-BFBE-EFC14492099D}">
  <cacheSource type="external" connectionId="1"/>
  <cacheFields count="1">
    <cacheField name="[Measures].[Recuento distinto de VIN (1-10)]" caption="Recuento distinto de VIN (1-10)" numFmtId="0" hierarchy="20" level="32767"/>
  </cacheFields>
  <cacheHierarchies count="21">
    <cacheHierarchy uniqueName="[Datos_conjuntos].[VIN (1-10)]" caption="VIN (1-10)" attribute="1" defaultMemberUniqueName="[Datos_conjuntos].[VIN (1-10)].[All]" allUniqueName="[Datos_conjuntos].[VIN (1-10)].[All]" dimensionUniqueName="[Datos_conjuntos]" displayFolder="" count="0" memberValueDatatype="130" unbalanced="0"/>
    <cacheHierarchy uniqueName="[Datos_conjuntos].[County]" caption="County" attribute="1" defaultMemberUniqueName="[Datos_conjuntos].[County].[All]" allUniqueName="[Datos_conjuntos].[County].[All]" dimensionUniqueName="[Datos_conjuntos]" displayFolder="" count="0" memberValueDatatype="130" unbalanced="0"/>
    <cacheHierarchy uniqueName="[Datos_conjuntos].[City]" caption="City" attribute="1" defaultMemberUniqueName="[Datos_conjuntos].[City].[All]" allUniqueName="[Datos_conjuntos].[City].[All]" dimensionUniqueName="[Datos_conjuntos]" displayFolder="" count="0" memberValueDatatype="130" unbalanced="0"/>
    <cacheHierarchy uniqueName="[Datos_conjuntos].[State]" caption="State" attribute="1" defaultMemberUniqueName="[Datos_conjuntos].[State].[All]" allUniqueName="[Datos_conjuntos].[State].[All]" dimensionUniqueName="[Datos_conjuntos]" displayFolder="" count="0" memberValueDatatype="130" unbalanced="0"/>
    <cacheHierarchy uniqueName="[Datos_conjuntos].[Postal Code]" caption="Postal Code" attribute="1" defaultMemberUniqueName="[Datos_conjuntos].[Postal Code].[All]" allUniqueName="[Datos_conjuntos].[Postal Code].[All]" dimensionUniqueName="[Datos_conjuntos]" displayFolder="" count="0" memberValueDatatype="20" unbalanced="0"/>
    <cacheHierarchy uniqueName="[Datos_conjuntos].[Model Year]" caption="Model Year" attribute="1" defaultMemberUniqueName="[Datos_conjuntos].[Model Year].[All]" allUniqueName="[Datos_conjuntos].[Model Year].[All]" dimensionUniqueName="[Datos_conjuntos]" displayFolder="" count="0" memberValueDatatype="130" unbalanced="0"/>
    <cacheHierarchy uniqueName="[Datos_conjuntos].[Make]" caption="Make" attribute="1" defaultMemberUniqueName="[Datos_conjuntos].[Make].[All]" allUniqueName="[Datos_conjuntos].[Make].[All]" dimensionUniqueName="[Datos_conjuntos]" displayFolder="" count="0" memberValueDatatype="130" unbalanced="0"/>
    <cacheHierarchy uniqueName="[Datos_conjuntos].[Model]" caption="Model" attribute="1" defaultMemberUniqueName="[Datos_conjuntos].[Model].[All]" allUniqueName="[Datos_conjuntos].[Model].[All]" dimensionUniqueName="[Datos_conjuntos]" displayFolder="" count="0" memberValueDatatype="130" unbalanced="0"/>
    <cacheHierarchy uniqueName="[Datos_conjuntos].[Electric Vehicle Type]" caption="Electric Vehicle Type" attribute="1" defaultMemberUniqueName="[Datos_conjuntos].[Electric Vehicle Type].[All]" allUniqueName="[Datos_conjuntos].[Electric Vehicle Type].[All]" dimensionUniqueName="[Datos_conjuntos]" displayFolder="" count="2" memberValueDatatype="130" unbalanced="0"/>
    <cacheHierarchy uniqueName="[Datos_conjuntos].[Clean Alternative Fuel Vehicle (CAFV) Eligibility]" caption="Clean Alternative Fuel Vehicle (CAFV) Eligibility" attribute="1" defaultMemberUniqueName="[Datos_conjuntos].[Clean Alternative Fuel Vehicle (CAFV) Eligibility].[All]" allUniqueName="[Datos_conjuntos].[Clean Alternative Fuel Vehicle (CAFV) Eligibility].[All]" dimensionUniqueName="[Datos_conjuntos]" displayFolder="" count="0" memberValueDatatype="130" unbalanced="0"/>
    <cacheHierarchy uniqueName="[Datos_conjuntos].[Electric Range]" caption="Electric Range" attribute="1" defaultMemberUniqueName="[Datos_conjuntos].[Electric Range].[All]" allUniqueName="[Datos_conjuntos].[Electric Range].[All]" dimensionUniqueName="[Datos_conjuntos]" displayFolder="" count="0" memberValueDatatype="130" unbalanced="0"/>
    <cacheHierarchy uniqueName="[Datos_conjuntos].[Base MSRP]" caption="Base MSRP" attribute="1" defaultMemberUniqueName="[Datos_conjuntos].[Base MSRP].[All]" allUniqueName="[Datos_conjuntos].[Base MSRP].[All]" dimensionUniqueName="[Datos_conjuntos]" displayFolder="" count="0" memberValueDatatype="130" unbalanced="0"/>
    <cacheHierarchy uniqueName="[Datos_conjuntos].[Legislative District]" caption="Legislative District" attribute="1" defaultMemberUniqueName="[Datos_conjuntos].[Legislative District].[All]" allUniqueName="[Datos_conjuntos].[Legislative District].[All]" dimensionUniqueName="[Datos_conjuntos]" displayFolder="" count="0" memberValueDatatype="130" unbalanced="0"/>
    <cacheHierarchy uniqueName="[Datos_conjuntos].[DOL Vehicle ID]" caption="DOL Vehicle ID" attribute="1" defaultMemberUniqueName="[Datos_conjuntos].[DOL Vehicle ID].[All]" allUniqueName="[Datos_conjuntos].[DOL Vehicle ID].[All]" dimensionUniqueName="[Datos_conjuntos]" displayFolder="" count="0" memberValueDatatype="20" unbalanced="0"/>
    <cacheHierarchy uniqueName="[Datos_conjuntos].[Vehicle Location]" caption="Vehicle Location" attribute="1" defaultMemberUniqueName="[Datos_conjuntos].[Vehicle Location].[All]" allUniqueName="[Datos_conjuntos].[Vehicle Location].[All]" dimensionUniqueName="[Datos_conjuntos]" displayFolder="" count="0" memberValueDatatype="130" unbalanced="0"/>
    <cacheHierarchy uniqueName="[Datos_conjuntos].[Electric Utility]" caption="Electric Utility" attribute="1" defaultMemberUniqueName="[Datos_conjuntos].[Electric Utility].[All]" allUniqueName="[Datos_conjuntos].[Electric Utility].[All]" dimensionUniqueName="[Datos_conjuntos]" displayFolder="" count="0" memberValueDatatype="130" unbalanced="0"/>
    <cacheHierarchy uniqueName="[Datos_conjuntos].[2020 Census Tract]" caption="2020 Census Tract" attribute="1" defaultMemberUniqueName="[Datos_conjuntos].[2020 Census Tract].[All]" allUniqueName="[Datos_conjuntos].[2020 Census Tract].[All]" dimensionUniqueName="[Datos_conjuntos]" displayFolder="" count="0" memberValueDatatype="130" unbalanced="0"/>
    <cacheHierarchy uniqueName="[Measures].[__XL_Count Datos_conjuntos]" caption="__XL_Count Datos_conjuntos" measure="1" displayFolder="" measureGroup="Datos_conjuntos" count="0" hidden="1"/>
    <cacheHierarchy uniqueName="[Measures].[__No measures defined]" caption="__No measures defined" measure="1" displayFolder="" count="0" hidden="1"/>
    <cacheHierarchy uniqueName="[Measures].[Recuento de VIN (1-10)]" caption="Recuento de VIN (1-10)" measure="1" displayFolder="" measureGroup="Datos_conjunto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VIN (1-10)]" caption="Recuento distinto de VIN (1-10)" measure="1" displayFolder="" measureGroup="Datos_conjunt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Datos_conjuntos" uniqueName="[Datos_conjuntos]" caption="Datos_conjuntos"/>
    <dimension measure="1" name="Measures" uniqueName="[Measures]" caption="Measures"/>
  </dimensions>
  <measureGroups count="1">
    <measureGroup name="Datos_conjuntos" caption="Datos_conjunto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5">
  <r>
    <x v="0"/>
    <x v="0"/>
    <s v="Poulsbo"/>
    <s v="WA"/>
    <n v="98370"/>
    <x v="0"/>
    <x v="0"/>
    <s v="WRANGLER"/>
    <x v="0"/>
    <s v="Not eligible due to low battery range"/>
    <s v="21"/>
    <s v="0"/>
    <s v="23"/>
    <n v="228896741"/>
    <s v="POINT (-122.64681 47.73689)"/>
    <x v="0"/>
    <s v="53035091100"/>
  </r>
  <r>
    <x v="1"/>
    <x v="1"/>
    <s v="Issaquah"/>
    <s v="WA"/>
    <n v="98027"/>
    <x v="0"/>
    <x v="0"/>
    <s v="WRANGLER"/>
    <x v="0"/>
    <s v="Not eligible due to low battery range"/>
    <s v="21"/>
    <s v="0"/>
    <s v="5"/>
    <n v="227324478"/>
    <s v="POINT (-122.03439 47.5301)"/>
    <x v="1"/>
    <s v="53033032104"/>
  </r>
  <r>
    <x v="2"/>
    <x v="2"/>
    <s v="Arlington"/>
    <s v="WA"/>
    <n v="98223"/>
    <x v="1"/>
    <x v="0"/>
    <s v="WRANGLER"/>
    <x v="0"/>
    <s v="Not eligible due to low battery range"/>
    <s v="25"/>
    <s v="0"/>
    <s v="39"/>
    <n v="207435581"/>
    <s v="POINT (-122.1264 48.19471)"/>
    <x v="0"/>
    <s v="53061053505"/>
  </r>
  <r>
    <x v="3"/>
    <x v="3"/>
    <s v="Zillah"/>
    <s v="WA"/>
    <n v="98953"/>
    <x v="1"/>
    <x v="0"/>
    <s v="WRANGLER"/>
    <x v="0"/>
    <s v="Not eligible due to low battery range"/>
    <s v="25"/>
    <s v="0"/>
    <s v="15"/>
    <n v="213616364"/>
    <s v="POINT (-120.26226 46.40199)"/>
    <x v="2"/>
    <s v="53077002202"/>
  </r>
  <r>
    <x v="4"/>
    <x v="4"/>
    <s v="Camas"/>
    <s v="WA"/>
    <n v="98607"/>
    <x v="2"/>
    <x v="0"/>
    <s v="WRANGLER"/>
    <x v="0"/>
    <s v="Not eligible due to low battery range"/>
    <s v="21"/>
    <s v="0"/>
    <s v="18"/>
    <n v="211139862"/>
    <s v="POINT (-122.40199 45.58694)"/>
    <x v="3"/>
    <s v="53011040605"/>
  </r>
  <r>
    <x v="5"/>
    <x v="4"/>
    <s v="Vancouver"/>
    <s v="WA"/>
    <n v="98682"/>
    <x v="0"/>
    <x v="0"/>
    <s v="WRANGLER"/>
    <x v="0"/>
    <s v="Not eligible due to low battery range"/>
    <s v="21"/>
    <s v="0"/>
    <s v="17"/>
    <n v="277862868"/>
    <s v="POINT (-122.55149 45.69345)"/>
    <x v="3"/>
    <s v="53011040714"/>
  </r>
  <r>
    <x v="6"/>
    <x v="1"/>
    <s v="Auburn"/>
    <s v="WA"/>
    <n v="98002"/>
    <x v="1"/>
    <x v="0"/>
    <s v="WRANGLER"/>
    <x v="0"/>
    <s v="Not eligible due to low battery range"/>
    <s v="25"/>
    <s v="0"/>
    <s v="47"/>
    <n v="277131536"/>
    <s v="POINT (-122.22347 47.30762)"/>
    <x v="1"/>
    <s v="53033030504"/>
  </r>
  <r>
    <x v="7"/>
    <x v="2"/>
    <s v="Lynnwood"/>
    <s v="WA"/>
    <n v="98036"/>
    <x v="0"/>
    <x v="0"/>
    <s v="WRANGLER"/>
    <x v="0"/>
    <s v="Not eligible due to low battery range"/>
    <s v="21"/>
    <s v="0"/>
    <s v="32"/>
    <n v="223474261"/>
    <s v="POINT (-122.29245 47.82557)"/>
    <x v="0"/>
    <s v="53061051702"/>
  </r>
  <r>
    <x v="8"/>
    <x v="4"/>
    <s v="La Center"/>
    <s v="WA"/>
    <n v="98629"/>
    <x v="0"/>
    <x v="0"/>
    <s v="WRANGLER"/>
    <x v="0"/>
    <s v="Not eligible due to low battery range"/>
    <s v="21"/>
    <s v="0"/>
    <s v="20"/>
    <n v="236286123"/>
    <s v="POINT (-122.67248 45.86156)"/>
    <x v="3"/>
    <s v="53011040201"/>
  </r>
  <r>
    <x v="9"/>
    <x v="1"/>
    <s v="Seattle"/>
    <s v="WA"/>
    <n v="98177"/>
    <x v="0"/>
    <x v="0"/>
    <s v="WRANGLER"/>
    <x v="0"/>
    <s v="Not eligible due to low battery range"/>
    <s v="21"/>
    <s v="0"/>
    <s v="36"/>
    <n v="279267138"/>
    <s v="POINT (-122.36498 47.72238)"/>
    <x v="4"/>
    <s v="53033001600"/>
  </r>
  <r>
    <x v="10"/>
    <x v="2"/>
    <s v="Bothell"/>
    <s v="WA"/>
    <n v="98012"/>
    <x v="2"/>
    <x v="0"/>
    <s v="WRANGLER"/>
    <x v="0"/>
    <s v="Not eligible due to low battery range"/>
    <s v="22"/>
    <s v="0"/>
    <s v="21"/>
    <n v="280653922"/>
    <s v="POINT (-122.21061 47.83448)"/>
    <x v="0"/>
    <s v="53061051927"/>
  </r>
  <r>
    <x v="11"/>
    <x v="5"/>
    <s v="Langley"/>
    <s v="WA"/>
    <n v="98260"/>
    <x v="1"/>
    <x v="0"/>
    <s v="WRANGLER"/>
    <x v="0"/>
    <s v="Not eligible due to low battery range"/>
    <s v="21"/>
    <s v="0"/>
    <s v="10"/>
    <n v="231209506"/>
    <s v="POINT (-122.40618 48.0399)"/>
    <x v="0"/>
    <s v="53029972000"/>
  </r>
  <r>
    <x v="12"/>
    <x v="0"/>
    <s v="Port Orchard"/>
    <s v="WA"/>
    <n v="98366"/>
    <x v="0"/>
    <x v="0"/>
    <s v="WRANGLER"/>
    <x v="0"/>
    <s v="Not eligible due to low battery range"/>
    <s v="21"/>
    <s v="0"/>
    <s v="26"/>
    <n v="224488743"/>
    <s v="POINT (-122.63847 47.54103)"/>
    <x v="0"/>
    <s v="53035092300"/>
  </r>
  <r>
    <x v="13"/>
    <x v="5"/>
    <s v="Camano Island"/>
    <s v="WA"/>
    <n v="98282"/>
    <x v="0"/>
    <x v="0"/>
    <s v="WRANGLER"/>
    <x v="0"/>
    <s v="Not eligible due to low battery range"/>
    <s v="21"/>
    <s v="0"/>
    <s v="10"/>
    <n v="258841376"/>
    <s v="POINT (-122.40049 48.23986)"/>
    <x v="5"/>
    <s v="53029971700"/>
  </r>
  <r>
    <x v="14"/>
    <x v="6"/>
    <s v="Lake Tapps"/>
    <s v="WA"/>
    <n v="98391"/>
    <x v="0"/>
    <x v="0"/>
    <s v="WRANGLER"/>
    <x v="0"/>
    <s v="Not eligible due to low battery range"/>
    <s v="21"/>
    <s v="0"/>
    <s v="31"/>
    <n v="221355004"/>
    <s v="POINT (-122.17144 47.19175)"/>
    <x v="1"/>
    <s v="53053070315"/>
  </r>
  <r>
    <x v="15"/>
    <x v="2"/>
    <s v="Snohomish"/>
    <s v="WA"/>
    <n v="98290"/>
    <x v="0"/>
    <x v="0"/>
    <s v="WRANGLER"/>
    <x v="0"/>
    <s v="Not eligible due to low battery range"/>
    <s v="21"/>
    <s v="0"/>
    <s v="44"/>
    <n v="252346566"/>
    <s v="POINT (-122.09305 47.91265)"/>
    <x v="0"/>
    <s v="53061052502"/>
  </r>
  <r>
    <x v="16"/>
    <x v="2"/>
    <s v="Stanwood"/>
    <s v="WA"/>
    <n v="98292"/>
    <x v="3"/>
    <x v="0"/>
    <s v="WRANGLER"/>
    <x v="0"/>
    <s v="Not eligible due to low battery range"/>
    <s v="21"/>
    <s v="0"/>
    <s v="10"/>
    <n v="272212475"/>
    <s v="POINT (-122.37265 48.24159)"/>
    <x v="5"/>
    <s v="53061053301"/>
  </r>
  <r>
    <x v="17"/>
    <x v="5"/>
    <s v="Oak Harbor"/>
    <s v="WA"/>
    <n v="98277"/>
    <x v="3"/>
    <x v="0"/>
    <s v="WRANGLER"/>
    <x v="0"/>
    <s v="Not eligible due to low battery range"/>
    <s v="21"/>
    <s v="0"/>
    <s v="10"/>
    <n v="274699652"/>
    <s v="POINT (-122.64682 48.29077)"/>
    <x v="0"/>
    <s v="53029970500"/>
  </r>
  <r>
    <x v="18"/>
    <x v="2"/>
    <s v="Lake Stevens"/>
    <s v="WA"/>
    <n v="98258"/>
    <x v="4"/>
    <x v="0"/>
    <s v="WRANGLER"/>
    <x v="0"/>
    <s v="Not eligible due to low battery range"/>
    <s v="21"/>
    <s v="0"/>
    <s v="44"/>
    <n v="285984863"/>
    <s v="POINT (-122.06402 48.01497)"/>
    <x v="0"/>
    <s v="53061052604"/>
  </r>
  <r>
    <x v="19"/>
    <x v="1"/>
    <s v="Enumclaw"/>
    <s v="WA"/>
    <n v="98022"/>
    <x v="3"/>
    <x v="0"/>
    <s v="WRANGLER"/>
    <x v="0"/>
    <s v="Not eligible due to low battery range"/>
    <s v="21"/>
    <s v="0"/>
    <s v="31"/>
    <n v="276389886"/>
    <s v="POINT (-121.99136 47.20433)"/>
    <x v="1"/>
    <s v="53033031400"/>
  </r>
  <r>
    <x v="19"/>
    <x v="0"/>
    <s v="Port Orchard"/>
    <s v="WA"/>
    <n v="98366"/>
    <x v="3"/>
    <x v="0"/>
    <s v="WRANGLER"/>
    <x v="0"/>
    <s v="Not eligible due to low battery range"/>
    <s v="21"/>
    <s v="0"/>
    <s v="26"/>
    <n v="272699633"/>
    <s v="POINT (-122.63847 47.54103)"/>
    <x v="0"/>
    <s v="53035092701"/>
  </r>
  <r>
    <x v="20"/>
    <x v="1"/>
    <s v="Renton"/>
    <s v="WA"/>
    <n v="98058"/>
    <x v="3"/>
    <x v="0"/>
    <s v="WRANGLER"/>
    <x v="0"/>
    <s v="Not eligible due to low battery range"/>
    <s v="21"/>
    <s v="0"/>
    <s v="11"/>
    <n v="257802366"/>
    <s v="POINT (-122.08747 47.4466)"/>
    <x v="1"/>
    <s v="53033025803"/>
  </r>
  <r>
    <x v="21"/>
    <x v="5"/>
    <s v="Oak Harbor"/>
    <s v="WA"/>
    <n v="98278"/>
    <x v="3"/>
    <x v="0"/>
    <s v="WRANGLER"/>
    <x v="0"/>
    <s v="Not eligible due to low battery range"/>
    <s v="21"/>
    <s v="0"/>
    <s v="10"/>
    <n v="273292540"/>
    <s v="POINT (-122.67154 48.33858)"/>
    <x v="0"/>
    <s v="53029970200"/>
  </r>
  <r>
    <x v="21"/>
    <x v="1"/>
    <s v="Bellevue"/>
    <s v="WA"/>
    <n v="98004"/>
    <x v="3"/>
    <x v="0"/>
    <s v="WRANGLER"/>
    <x v="0"/>
    <s v="Not eligible due to low battery range"/>
    <s v="21"/>
    <s v="0"/>
    <s v="48"/>
    <n v="257630243"/>
    <s v="POINT (-122.1872 47.61001)"/>
    <x v="1"/>
    <s v="53033024001"/>
  </r>
  <r>
    <x v="22"/>
    <x v="7"/>
    <s v="Olympia"/>
    <s v="WA"/>
    <n v="98501"/>
    <x v="3"/>
    <x v="0"/>
    <s v="WRANGLER"/>
    <x v="0"/>
    <s v="Not eligible due to low battery range"/>
    <s v="21"/>
    <s v="0"/>
    <s v="22"/>
    <n v="263014804"/>
    <s v="POINT (-122.89165 47.03954)"/>
    <x v="0"/>
    <s v="53067010400"/>
  </r>
  <r>
    <x v="23"/>
    <x v="8"/>
    <s v="Centralia"/>
    <s v="WA"/>
    <n v="98531"/>
    <x v="3"/>
    <x v="0"/>
    <s v="WRANGLER"/>
    <x v="0"/>
    <s v="Not eligible due to low battery range"/>
    <s v="21"/>
    <s v="0"/>
    <s v="20"/>
    <n v="265763200"/>
    <s v="POINT (-122.95266 46.72895)"/>
    <x v="6"/>
    <s v="53041970700"/>
  </r>
  <r>
    <x v="24"/>
    <x v="9"/>
    <s v="Newport"/>
    <s v="WA"/>
    <n v="99156"/>
    <x v="3"/>
    <x v="0"/>
    <s v="WRANGLER"/>
    <x v="0"/>
    <s v="Not eligible due to low battery range"/>
    <s v="21"/>
    <s v="0"/>
    <s v="7"/>
    <n v="280428592"/>
    <s v="POINT (-117.04398 48.18285)"/>
    <x v="7"/>
    <s v="53051970500"/>
  </r>
  <r>
    <x v="25"/>
    <x v="1"/>
    <s v="Kirkland"/>
    <s v="WA"/>
    <n v="98034"/>
    <x v="3"/>
    <x v="0"/>
    <s v="WRANGLER"/>
    <x v="0"/>
    <s v="Not eligible due to low battery range"/>
    <s v="21"/>
    <s v="0"/>
    <s v="1"/>
    <n v="275423669"/>
    <s v="POINT (-122.22901 47.72201)"/>
    <x v="1"/>
    <s v="53033022203"/>
  </r>
  <r>
    <x v="26"/>
    <x v="8"/>
    <s v="Centralia"/>
    <s v="WA"/>
    <n v="98531"/>
    <x v="3"/>
    <x v="0"/>
    <s v="WRANGLER"/>
    <x v="0"/>
    <s v="Not eligible due to low battery range"/>
    <s v="21"/>
    <s v="0"/>
    <s v="20"/>
    <n v="261231883"/>
    <s v="POINT (-122.95266 46.72895)"/>
    <x v="6"/>
    <s v="53041970700"/>
  </r>
  <r>
    <x v="27"/>
    <x v="10"/>
    <s v="Leavenworth"/>
    <s v="WA"/>
    <n v="98826"/>
    <x v="3"/>
    <x v="0"/>
    <s v="WRANGLER"/>
    <x v="0"/>
    <s v="Not eligible due to low battery range"/>
    <s v="21"/>
    <s v="0"/>
    <s v="12"/>
    <n v="265861018"/>
    <s v="POINT (-120.65754 47.5982)"/>
    <x v="8"/>
    <s v="53007960201"/>
  </r>
  <r>
    <x v="28"/>
    <x v="8"/>
    <s v="Centralia"/>
    <s v="WA"/>
    <n v="98531"/>
    <x v="3"/>
    <x v="0"/>
    <s v="GRAND CHEROKEE"/>
    <x v="0"/>
    <s v="Not eligible due to low battery range"/>
    <s v="25"/>
    <s v="0"/>
    <s v="20"/>
    <n v="260491304"/>
    <s v="POINT (-122.95266 46.72895)"/>
    <x v="6"/>
    <s v="53041970700"/>
  </r>
  <r>
    <x v="29"/>
    <x v="4"/>
    <s v="Camas"/>
    <s v="WA"/>
    <n v="98607"/>
    <x v="0"/>
    <x v="0"/>
    <s v="GRAND CHEROKEE"/>
    <x v="0"/>
    <s v="Not eligible due to low battery range"/>
    <s v="25"/>
    <s v="0"/>
    <s v="18"/>
    <n v="264697121"/>
    <s v="POINT (-122.40199 45.58694)"/>
    <x v="3"/>
    <s v="53011041400"/>
  </r>
  <r>
    <x v="30"/>
    <x v="1"/>
    <s v="Federal Way"/>
    <s v="WA"/>
    <n v="98023"/>
    <x v="3"/>
    <x v="0"/>
    <s v="GRAND CHEROKEE"/>
    <x v="0"/>
    <s v="Not eligible due to low battery range"/>
    <s v="25"/>
    <s v="0"/>
    <s v="30"/>
    <n v="274799206"/>
    <s v="POINT (-122.34059 47.32478)"/>
    <x v="1"/>
    <s v="53033030304"/>
  </r>
  <r>
    <x v="31"/>
    <x v="4"/>
    <s v="Vancouver"/>
    <s v="WA"/>
    <n v="98662"/>
    <x v="3"/>
    <x v="0"/>
    <s v="GRAND CHEROKEE"/>
    <x v="0"/>
    <s v="Not eligible due to low battery range"/>
    <s v="25"/>
    <s v="0"/>
    <s v="49"/>
    <n v="284000748"/>
    <s v="POINT (-122.57722 45.64251)"/>
    <x v="3"/>
    <s v="53011041113"/>
  </r>
  <r>
    <x v="32"/>
    <x v="1"/>
    <s v="Bellevue"/>
    <s v="WA"/>
    <n v="98004"/>
    <x v="0"/>
    <x v="0"/>
    <s v="GRAND CHEROKEE"/>
    <x v="0"/>
    <s v="Not eligible due to low battery range"/>
    <s v="25"/>
    <s v="0"/>
    <s v="48"/>
    <n v="236240000"/>
    <s v="POINT (-122.1872 47.61001)"/>
    <x v="1"/>
    <s v="53033023701"/>
  </r>
  <r>
    <x v="33"/>
    <x v="1"/>
    <s v="Woodinville"/>
    <s v="WA"/>
    <n v="98072"/>
    <x v="0"/>
    <x v="0"/>
    <s v="GRAND CHEROKEE"/>
    <x v="0"/>
    <s v="Not eligible due to low battery range"/>
    <s v="25"/>
    <s v="0"/>
    <s v="45"/>
    <n v="263158843"/>
    <s v="POINT (-122.15545 47.75448)"/>
    <x v="1"/>
    <s v="53033032307"/>
  </r>
  <r>
    <x v="34"/>
    <x v="0"/>
    <s v="Poulsbo"/>
    <s v="WA"/>
    <n v="98370"/>
    <x v="0"/>
    <x v="0"/>
    <s v="GRAND CHEROKEE"/>
    <x v="0"/>
    <s v="Not eligible due to low battery range"/>
    <s v="25"/>
    <s v="0"/>
    <s v="23"/>
    <n v="277080163"/>
    <s v="POINT (-122.64681 47.73689)"/>
    <x v="0"/>
    <s v="53035090501"/>
  </r>
  <r>
    <x v="35"/>
    <x v="1"/>
    <s v="Kirkland"/>
    <s v="WA"/>
    <n v="98033"/>
    <x v="2"/>
    <x v="0"/>
    <s v="GRAND CHEROKEE"/>
    <x v="0"/>
    <s v="Not eligible due to low battery range"/>
    <s v="25"/>
    <s v="0"/>
    <s v="48"/>
    <n v="223885098"/>
    <s v="POINT (-122.2066 47.67887)"/>
    <x v="1"/>
    <s v="53033022603"/>
  </r>
  <r>
    <x v="36"/>
    <x v="11"/>
    <s v="Mount Vernon"/>
    <s v="WA"/>
    <n v="98274"/>
    <x v="5"/>
    <x v="1"/>
    <s v="FOCUS"/>
    <x v="1"/>
    <s v="Clean Alternative Fuel Vehicle Eligible"/>
    <s v="76"/>
    <s v="0"/>
    <s v="10"/>
    <n v="122100898"/>
    <s v="POINT (-122.32355 48.41566)"/>
    <x v="0"/>
    <s v="53057952403"/>
  </r>
  <r>
    <x v="37"/>
    <x v="0"/>
    <s v="Bremerton"/>
    <s v="WA"/>
    <n v="98311"/>
    <x v="6"/>
    <x v="1"/>
    <s v="C-MAX"/>
    <x v="0"/>
    <s v="Not eligible due to low battery range"/>
    <s v="19"/>
    <s v="0"/>
    <s v="23"/>
    <n v="229024484"/>
    <s v="POINT (-122.60915 47.62631)"/>
    <x v="0"/>
    <s v="53035091500"/>
  </r>
  <r>
    <x v="38"/>
    <x v="7"/>
    <s v="Olympia"/>
    <s v="WA"/>
    <n v="98501"/>
    <x v="5"/>
    <x v="1"/>
    <s v="C-MAX"/>
    <x v="0"/>
    <s v="Not eligible due to low battery range"/>
    <s v="19"/>
    <s v="0"/>
    <s v="22"/>
    <n v="349756963"/>
    <s v="POINT (-122.89165 47.03954)"/>
    <x v="0"/>
    <s v="53067011200"/>
  </r>
  <r>
    <x v="39"/>
    <x v="1"/>
    <s v="Kirkland"/>
    <s v="WA"/>
    <n v="98033"/>
    <x v="7"/>
    <x v="1"/>
    <s v="C-MAX"/>
    <x v="0"/>
    <s v="Not eligible due to low battery range"/>
    <s v="19"/>
    <s v="0"/>
    <s v="45"/>
    <n v="104404499"/>
    <s v="POINT (-122.2066 47.67887)"/>
    <x v="1"/>
    <s v="53033022603"/>
  </r>
  <r>
    <x v="40"/>
    <x v="7"/>
    <s v="Rochester"/>
    <s v="WA"/>
    <n v="98579"/>
    <x v="8"/>
    <x v="1"/>
    <s v="C-MAX"/>
    <x v="0"/>
    <s v="Not eligible due to low battery range"/>
    <s v="19"/>
    <s v="0"/>
    <s v="20"/>
    <n v="168462437"/>
    <s v="POINT (-123.08743 46.82175)"/>
    <x v="0"/>
    <s v="53067012730"/>
  </r>
  <r>
    <x v="41"/>
    <x v="0"/>
    <s v="Bainbridge Island"/>
    <s v="WA"/>
    <n v="98110"/>
    <x v="6"/>
    <x v="1"/>
    <s v="C-MAX"/>
    <x v="0"/>
    <s v="Not eligible due to low battery range"/>
    <s v="19"/>
    <s v="0"/>
    <s v="23"/>
    <n v="187472813"/>
    <s v="POINT (-122.521 47.62732)"/>
    <x v="0"/>
    <s v="53035090800"/>
  </r>
  <r>
    <x v="42"/>
    <x v="1"/>
    <s v="Seattle"/>
    <s v="WA"/>
    <n v="98121"/>
    <x v="7"/>
    <x v="1"/>
    <s v="C-MAX"/>
    <x v="0"/>
    <s v="Not eligible due to low battery range"/>
    <s v="19"/>
    <s v="0"/>
    <s v="36"/>
    <n v="103030266"/>
    <s v="POINT (-122.34468 47.61578)"/>
    <x v="4"/>
    <s v="53033007202"/>
  </r>
  <r>
    <x v="43"/>
    <x v="12"/>
    <s v="Kettle Falls"/>
    <s v="WA"/>
    <n v="99141"/>
    <x v="7"/>
    <x v="1"/>
    <s v="C-MAX"/>
    <x v="0"/>
    <s v="Not eligible due to low battery range"/>
    <s v="19"/>
    <s v="0"/>
    <s v="7"/>
    <n v="277940981"/>
    <s v="POINT (-118.06211 48.61053)"/>
    <x v="9"/>
    <s v="53065950102"/>
  </r>
  <r>
    <x v="44"/>
    <x v="2"/>
    <s v="Bothell"/>
    <s v="WA"/>
    <n v="98021"/>
    <x v="7"/>
    <x v="1"/>
    <s v="C-MAX"/>
    <x v="0"/>
    <s v="Not eligible due to low battery range"/>
    <s v="19"/>
    <s v="0"/>
    <s v="1"/>
    <n v="165951201"/>
    <s v="POINT (-122.18384 47.8031)"/>
    <x v="0"/>
    <s v="53061051937"/>
  </r>
  <r>
    <x v="45"/>
    <x v="7"/>
    <s v="Tumwater"/>
    <s v="WA"/>
    <n v="98501"/>
    <x v="7"/>
    <x v="1"/>
    <s v="C-MAX"/>
    <x v="0"/>
    <s v="Not eligible due to low battery range"/>
    <s v="19"/>
    <s v="0"/>
    <s v="22"/>
    <n v="161059524"/>
    <s v="POINT (-122.89165 47.03954)"/>
    <x v="0"/>
    <s v="53067010802"/>
  </r>
  <r>
    <x v="46"/>
    <x v="4"/>
    <s v="Vancouver"/>
    <s v="WA"/>
    <n v="98682"/>
    <x v="8"/>
    <x v="1"/>
    <s v="C-MAX"/>
    <x v="0"/>
    <s v="Not eligible due to low battery range"/>
    <s v="19"/>
    <s v="0"/>
    <s v="17"/>
    <n v="126069121"/>
    <s v="POINT (-122.55149 45.69345)"/>
    <x v="3"/>
    <s v="53011041330"/>
  </r>
  <r>
    <x v="47"/>
    <x v="7"/>
    <s v="Olympia"/>
    <s v="WA"/>
    <n v="98512"/>
    <x v="5"/>
    <x v="1"/>
    <s v="C-MAX"/>
    <x v="0"/>
    <s v="Not eligible due to low battery range"/>
    <s v="19"/>
    <s v="0"/>
    <s v="35"/>
    <n v="124114602"/>
    <s v="POINT (-122.90787 46.9461)"/>
    <x v="0"/>
    <s v="53067011000"/>
  </r>
  <r>
    <x v="48"/>
    <x v="0"/>
    <s v="Port Orchard"/>
    <s v="WA"/>
    <n v="98367"/>
    <x v="6"/>
    <x v="1"/>
    <s v="C-MAX"/>
    <x v="0"/>
    <s v="Not eligible due to low battery range"/>
    <s v="19"/>
    <s v="0"/>
    <s v="26"/>
    <n v="218301205"/>
    <s v="POINT (-122.70348 47.52028)"/>
    <x v="0"/>
    <s v="53035092902"/>
  </r>
  <r>
    <x v="49"/>
    <x v="13"/>
    <s v="Moses Lake"/>
    <s v="WA"/>
    <n v="98837"/>
    <x v="5"/>
    <x v="1"/>
    <s v="C-MAX"/>
    <x v="0"/>
    <s v="Not eligible due to low battery range"/>
    <s v="19"/>
    <s v="0"/>
    <s v="13"/>
    <n v="267218262"/>
    <s v="POINT (-119.2771 47.13196)"/>
    <x v="10"/>
    <s v="53025011002"/>
  </r>
  <r>
    <x v="49"/>
    <x v="2"/>
    <s v="Edmonds"/>
    <s v="WA"/>
    <n v="98020"/>
    <x v="5"/>
    <x v="1"/>
    <s v="C-MAX"/>
    <x v="0"/>
    <s v="Not eligible due to low battery range"/>
    <s v="19"/>
    <s v="0"/>
    <s v="21"/>
    <n v="150675850"/>
    <s v="POINT (-122.37689 47.81116)"/>
    <x v="0"/>
    <s v="53061050502"/>
  </r>
  <r>
    <x v="50"/>
    <x v="2"/>
    <s v="Marysville"/>
    <s v="WA"/>
    <n v="98270"/>
    <x v="9"/>
    <x v="1"/>
    <s v="C-MAX"/>
    <x v="0"/>
    <s v="Not eligible due to low battery range"/>
    <s v="20"/>
    <s v="0"/>
    <s v="38"/>
    <n v="167422167"/>
    <s v="POINT (-122.1769 48.06114)"/>
    <x v="0"/>
    <s v="53061052810"/>
  </r>
  <r>
    <x v="51"/>
    <x v="1"/>
    <s v="Seattle"/>
    <s v="WA"/>
    <n v="98125"/>
    <x v="9"/>
    <x v="1"/>
    <s v="C-MAX"/>
    <x v="0"/>
    <s v="Not eligible due to low battery range"/>
    <s v="20"/>
    <s v="0"/>
    <s v="46"/>
    <n v="350448402"/>
    <s v="POINT (-122.30253 47.72656)"/>
    <x v="4"/>
    <s v="53033000800"/>
  </r>
  <r>
    <x v="52"/>
    <x v="4"/>
    <s v="Washougal"/>
    <s v="WA"/>
    <n v="98671"/>
    <x v="0"/>
    <x v="1"/>
    <s v="ESCAPE"/>
    <x v="0"/>
    <s v="Clean Alternative Fuel Vehicle Eligible"/>
    <s v="37"/>
    <s v="0"/>
    <s v="18"/>
    <n v="261062665"/>
    <s v="POINT (-122.35341 45.57923)"/>
    <x v="3"/>
    <s v="53011040510"/>
  </r>
  <r>
    <x v="53"/>
    <x v="2"/>
    <s v="Snohomish"/>
    <s v="WA"/>
    <n v="98290"/>
    <x v="3"/>
    <x v="1"/>
    <s v="ESCAPE"/>
    <x v="0"/>
    <s v="Clean Alternative Fuel Vehicle Eligible"/>
    <s v="37"/>
    <s v="0"/>
    <s v="44"/>
    <n v="278308453"/>
    <s v="POINT (-122.09305 47.91265)"/>
    <x v="0"/>
    <s v="53061052401"/>
  </r>
  <r>
    <x v="54"/>
    <x v="1"/>
    <s v="Shoreline"/>
    <s v="WA"/>
    <n v="98133"/>
    <x v="1"/>
    <x v="1"/>
    <s v="ESCAPE"/>
    <x v="0"/>
    <s v="Clean Alternative Fuel Vehicle Eligible"/>
    <s v="38"/>
    <s v="0"/>
    <s v="32"/>
    <n v="179197574"/>
    <s v="POINT (-122.35029 47.71871)"/>
    <x v="4"/>
    <s v="53033020700"/>
  </r>
  <r>
    <x v="55"/>
    <x v="2"/>
    <s v="Snohomish"/>
    <s v="WA"/>
    <n v="98296"/>
    <x v="2"/>
    <x v="1"/>
    <s v="ESCAPE"/>
    <x v="0"/>
    <s v="Clean Alternative Fuel Vehicle Eligible"/>
    <s v="38"/>
    <s v="0"/>
    <s v="1"/>
    <n v="207145459"/>
    <s v="POINT (-122.1389 47.87115)"/>
    <x v="0"/>
    <s v="53061052108"/>
  </r>
  <r>
    <x v="56"/>
    <x v="4"/>
    <s v="Vancouver"/>
    <s v="WA"/>
    <n v="98685"/>
    <x v="0"/>
    <x v="1"/>
    <s v="F-150"/>
    <x v="1"/>
    <s v="Eligibility unknown as battery range has not been researched"/>
    <s v="0"/>
    <s v="0"/>
    <s v="49"/>
    <n v="262862652"/>
    <s v="POINT (-122.70303 45.70954)"/>
    <x v="3"/>
    <s v="53011040904"/>
  </r>
  <r>
    <x v="57"/>
    <x v="5"/>
    <s v="Camano Island"/>
    <s v="WA"/>
    <n v="98282"/>
    <x v="0"/>
    <x v="1"/>
    <s v="F-150"/>
    <x v="1"/>
    <s v="Eligibility unknown as battery range has not been researched"/>
    <s v="0"/>
    <s v="0"/>
    <s v="10"/>
    <n v="262427553"/>
    <s v="POINT (-122.40049 48.23986)"/>
    <x v="5"/>
    <s v="53029971700"/>
  </r>
  <r>
    <x v="58"/>
    <x v="5"/>
    <s v="Coupeville"/>
    <s v="WA"/>
    <n v="98239"/>
    <x v="2"/>
    <x v="1"/>
    <s v="F-150"/>
    <x v="1"/>
    <s v="Eligibility unknown as battery range has not been researched"/>
    <s v="0"/>
    <s v="0"/>
    <s v="10"/>
    <n v="229864743"/>
    <s v="POINT (-122.68558 48.21857)"/>
    <x v="0"/>
    <s v="53029971301"/>
  </r>
  <r>
    <x v="59"/>
    <x v="6"/>
    <s v="Tacoma"/>
    <s v="WA"/>
    <n v="98422"/>
    <x v="0"/>
    <x v="1"/>
    <s v="F-150"/>
    <x v="1"/>
    <s v="Eligibility unknown as battery range has not been researched"/>
    <s v="0"/>
    <s v="0"/>
    <s v="27"/>
    <n v="273523512"/>
    <s v="POINT (-122.39471 47.28159)"/>
    <x v="11"/>
    <s v="53053940001"/>
  </r>
  <r>
    <x v="60"/>
    <x v="14"/>
    <s v="Walla Walla"/>
    <s v="WA"/>
    <n v="99362"/>
    <x v="4"/>
    <x v="1"/>
    <s v="F-150"/>
    <x v="1"/>
    <s v="Eligibility unknown as battery range has not been researched"/>
    <s v="0"/>
    <s v="0"/>
    <s v="16"/>
    <n v="284062390"/>
    <s v="POINT (-118.34261 46.07068)"/>
    <x v="2"/>
    <s v="53071920801"/>
  </r>
  <r>
    <x v="61"/>
    <x v="1"/>
    <s v="Burien"/>
    <s v="WA"/>
    <n v="98166"/>
    <x v="3"/>
    <x v="1"/>
    <s v="F-150"/>
    <x v="1"/>
    <s v="Eligibility unknown as battery range has not been researched"/>
    <s v="0"/>
    <s v="0"/>
    <s v="34"/>
    <n v="282308918"/>
    <s v="POINT (-122.34134 47.46593)"/>
    <x v="1"/>
    <s v="53033027902"/>
  </r>
  <r>
    <x v="62"/>
    <x v="3"/>
    <s v="Yakima"/>
    <s v="WA"/>
    <n v="98903"/>
    <x v="3"/>
    <x v="1"/>
    <s v="F-150"/>
    <x v="1"/>
    <s v="Eligibility unknown as battery range has not been researched"/>
    <s v="0"/>
    <s v="0"/>
    <s v="14"/>
    <n v="276125244"/>
    <s v="POINT (-120.47777 46.55666)"/>
    <x v="2"/>
    <s v="53077002803"/>
  </r>
  <r>
    <x v="63"/>
    <x v="6"/>
    <s v="Tacoma"/>
    <s v="WA"/>
    <n v="98421"/>
    <x v="0"/>
    <x v="1"/>
    <s v="TRANSIT"/>
    <x v="1"/>
    <s v="Eligibility unknown as battery range has not been researched"/>
    <s v="0"/>
    <s v="0"/>
    <s v="27"/>
    <n v="273723642"/>
    <s v="POINT (-122.40527 47.2556)"/>
    <x v="11"/>
    <s v="53053060200"/>
  </r>
  <r>
    <x v="64"/>
    <x v="15"/>
    <s v="Spokane"/>
    <s v="WA"/>
    <n v="99208"/>
    <x v="0"/>
    <x v="1"/>
    <s v="TRANSIT"/>
    <x v="1"/>
    <s v="Eligibility unknown as battery range has not been researched"/>
    <s v="0"/>
    <s v="0"/>
    <s v="6"/>
    <n v="241030653"/>
    <s v="POINT (-117.45005 47.7333)"/>
    <x v="12"/>
    <s v="53063010901"/>
  </r>
  <r>
    <x v="65"/>
    <x v="7"/>
    <s v="Olympia"/>
    <s v="WA"/>
    <n v="98502"/>
    <x v="0"/>
    <x v="1"/>
    <s v="F-150"/>
    <x v="1"/>
    <s v="Eligibility unknown as battery range has not been researched"/>
    <s v="0"/>
    <s v="0"/>
    <s v="22"/>
    <n v="262181069"/>
    <s v="POINT (-122.92333 47.03779)"/>
    <x v="0"/>
    <s v="53067010600"/>
  </r>
  <r>
    <x v="66"/>
    <x v="1"/>
    <s v="Bellevue"/>
    <s v="WA"/>
    <n v="98004"/>
    <x v="2"/>
    <x v="1"/>
    <s v="F-150"/>
    <x v="1"/>
    <s v="Eligibility unknown as battery range has not been researched"/>
    <s v="0"/>
    <s v="0"/>
    <s v="48"/>
    <n v="221521352"/>
    <s v="POINT (-122.1872 47.61001)"/>
    <x v="1"/>
    <s v="53033024001"/>
  </r>
  <r>
    <x v="67"/>
    <x v="1"/>
    <s v="Federal Way"/>
    <s v="WA"/>
    <n v="98023"/>
    <x v="0"/>
    <x v="1"/>
    <s v="F-150"/>
    <x v="1"/>
    <s v="Eligibility unknown as battery range has not been researched"/>
    <s v="0"/>
    <s v="0"/>
    <s v="30"/>
    <n v="263268596"/>
    <s v="POINT (-122.34059 47.32478)"/>
    <x v="1"/>
    <s v="53033030310"/>
  </r>
  <r>
    <x v="68"/>
    <x v="0"/>
    <s v="Poulsbo"/>
    <s v="WA"/>
    <n v="98370"/>
    <x v="0"/>
    <x v="1"/>
    <s v="F-150"/>
    <x v="1"/>
    <s v="Eligibility unknown as battery range has not been researched"/>
    <s v="0"/>
    <s v="0"/>
    <s v="23"/>
    <n v="228167446"/>
    <s v="POINT (-122.64681 47.73689)"/>
    <x v="0"/>
    <s v="53035090502"/>
  </r>
  <r>
    <x v="69"/>
    <x v="2"/>
    <s v="Bothell"/>
    <s v="WA"/>
    <n v="98012"/>
    <x v="3"/>
    <x v="1"/>
    <s v="F-150"/>
    <x v="1"/>
    <s v="Eligibility unknown as battery range has not been researched"/>
    <s v="0"/>
    <s v="0"/>
    <s v="1"/>
    <n v="269899283"/>
    <s v="POINT (-122.21061 47.83448)"/>
    <x v="0"/>
    <s v="53061051922"/>
  </r>
  <r>
    <x v="70"/>
    <x v="10"/>
    <s v="Wenatchee"/>
    <s v="WA"/>
    <n v="98801"/>
    <x v="9"/>
    <x v="2"/>
    <s v="BOLT EV"/>
    <x v="1"/>
    <s v="Clean Alternative Fuel Vehicle Eligible"/>
    <s v="238"/>
    <s v="0"/>
    <s v="12"/>
    <n v="278951410"/>
    <s v="POINT (-120.30521 47.41493)"/>
    <x v="8"/>
    <s v="53007961301"/>
  </r>
  <r>
    <x v="70"/>
    <x v="4"/>
    <s v="Camas"/>
    <s v="WA"/>
    <n v="98607"/>
    <x v="9"/>
    <x v="2"/>
    <s v="BOLT EV"/>
    <x v="1"/>
    <s v="Clean Alternative Fuel Vehicle Eligible"/>
    <s v="238"/>
    <s v="0"/>
    <s v="18"/>
    <n v="261338024"/>
    <s v="POINT (-122.40199 45.58694)"/>
    <x v="13"/>
    <s v="53011041500"/>
  </r>
  <r>
    <x v="71"/>
    <x v="7"/>
    <s v="Yelm"/>
    <s v="WA"/>
    <n v="98597"/>
    <x v="0"/>
    <x v="2"/>
    <s v="BOLT EV"/>
    <x v="1"/>
    <s v="Eligibility unknown as battery range has not been researched"/>
    <s v="0"/>
    <s v="0"/>
    <s v="2"/>
    <n v="280680746"/>
    <s v="POINT (-122.60735 46.94239)"/>
    <x v="0"/>
    <s v="53067012422"/>
  </r>
  <r>
    <x v="72"/>
    <x v="7"/>
    <s v="Olympia"/>
    <s v="WA"/>
    <n v="98501"/>
    <x v="2"/>
    <x v="2"/>
    <s v="BOLT EV"/>
    <x v="1"/>
    <s v="Eligibility unknown as battery range has not been researched"/>
    <s v="0"/>
    <s v="0"/>
    <s v="22"/>
    <n v="213574294"/>
    <s v="POINT (-122.89165 47.03954)"/>
    <x v="0"/>
    <s v="53067010100"/>
  </r>
  <r>
    <x v="72"/>
    <x v="16"/>
    <s v="Shelton"/>
    <s v="WA"/>
    <n v="98584"/>
    <x v="2"/>
    <x v="2"/>
    <s v="BOLT EV"/>
    <x v="1"/>
    <s v="Eligibility unknown as battery range has not been researched"/>
    <s v="0"/>
    <s v="0"/>
    <s v="35"/>
    <n v="275407093"/>
    <s v="POINT (-123.10565 47.21248)"/>
    <x v="14"/>
    <s v="53045961000"/>
  </r>
  <r>
    <x v="73"/>
    <x v="2"/>
    <s v="Lake Stevens"/>
    <s v="WA"/>
    <n v="98258"/>
    <x v="9"/>
    <x v="2"/>
    <s v="BOLT EV"/>
    <x v="1"/>
    <s v="Clean Alternative Fuel Vehicle Eligible"/>
    <s v="238"/>
    <s v="0"/>
    <s v="44"/>
    <n v="255194453"/>
    <s v="POINT (-122.06402 48.01497)"/>
    <x v="0"/>
    <s v="53061052604"/>
  </r>
  <r>
    <x v="74"/>
    <x v="1"/>
    <s v="Issaquah"/>
    <s v="WA"/>
    <n v="98027"/>
    <x v="9"/>
    <x v="2"/>
    <s v="BOLT EV"/>
    <x v="1"/>
    <s v="Clean Alternative Fuel Vehicle Eligible"/>
    <s v="238"/>
    <s v="0"/>
    <s v="5"/>
    <n v="255322833"/>
    <s v="POINT (-122.03439 47.5301)"/>
    <x v="1"/>
    <s v="53033032102"/>
  </r>
  <r>
    <x v="75"/>
    <x v="2"/>
    <s v="Edmonds"/>
    <s v="WA"/>
    <n v="98020"/>
    <x v="10"/>
    <x v="2"/>
    <s v="BOLT EV"/>
    <x v="1"/>
    <s v="Clean Alternative Fuel Vehicle Eligible"/>
    <s v="238"/>
    <s v="0"/>
    <s v="21"/>
    <n v="277522752"/>
    <s v="POINT (-122.37689 47.81116)"/>
    <x v="0"/>
    <s v="53061050501"/>
  </r>
  <r>
    <x v="76"/>
    <x v="0"/>
    <s v="Kingston"/>
    <s v="WA"/>
    <n v="98346"/>
    <x v="0"/>
    <x v="2"/>
    <s v="BOLT EV"/>
    <x v="1"/>
    <s v="Eligibility unknown as battery range has not been researched"/>
    <s v="0"/>
    <s v="0"/>
    <s v="23"/>
    <n v="266558155"/>
    <s v="POINT (-122.4977 47.79802)"/>
    <x v="0"/>
    <s v="53035090102"/>
  </r>
  <r>
    <x v="77"/>
    <x v="1"/>
    <s v="Kirkland"/>
    <s v="WA"/>
    <n v="98033"/>
    <x v="9"/>
    <x v="2"/>
    <s v="BOLT EV"/>
    <x v="1"/>
    <s v="Clean Alternative Fuel Vehicle Eligible"/>
    <s v="238"/>
    <s v="0"/>
    <s v="45"/>
    <n v="255850605"/>
    <s v="POINT (-122.2066 47.67887)"/>
    <x v="1"/>
    <s v="53033022006"/>
  </r>
  <r>
    <x v="78"/>
    <x v="1"/>
    <s v="Seattle"/>
    <s v="WA"/>
    <n v="98199"/>
    <x v="10"/>
    <x v="2"/>
    <s v="BOLT EV"/>
    <x v="1"/>
    <s v="Clean Alternative Fuel Vehicle Eligible"/>
    <s v="238"/>
    <s v="0"/>
    <s v="36"/>
    <n v="237722985"/>
    <s v="POINT (-122.40092 47.65908)"/>
    <x v="4"/>
    <s v="53033005700"/>
  </r>
  <r>
    <x v="79"/>
    <x v="2"/>
    <s v="Everett"/>
    <s v="WA"/>
    <n v="98208"/>
    <x v="9"/>
    <x v="2"/>
    <s v="BOLT EV"/>
    <x v="1"/>
    <s v="Clean Alternative Fuel Vehicle Eligible"/>
    <s v="238"/>
    <s v="0"/>
    <s v="44"/>
    <n v="321043404"/>
    <s v="POINT (-122.18637 47.89251)"/>
    <x v="0"/>
    <s v="53061052119"/>
  </r>
  <r>
    <x v="80"/>
    <x v="5"/>
    <s v="Clinton"/>
    <s v="WA"/>
    <n v="98236"/>
    <x v="9"/>
    <x v="2"/>
    <s v="BOLT EV"/>
    <x v="1"/>
    <s v="Clean Alternative Fuel Vehicle Eligible"/>
    <s v="238"/>
    <s v="0"/>
    <s v="10"/>
    <n v="273835145"/>
    <s v="POINT (-122.35803 47.9796)"/>
    <x v="0"/>
    <s v="53029972100"/>
  </r>
  <r>
    <x v="81"/>
    <x v="15"/>
    <s v="Spokane"/>
    <s v="WA"/>
    <n v="99203"/>
    <x v="10"/>
    <x v="2"/>
    <s v="BOLT EV"/>
    <x v="1"/>
    <s v="Clean Alternative Fuel Vehicle Eligible"/>
    <s v="238"/>
    <s v="0"/>
    <s v="3"/>
    <n v="8804120"/>
    <s v="POINT (-117.39322 47.63374)"/>
    <x v="15"/>
    <s v="53063004100"/>
  </r>
  <r>
    <x v="82"/>
    <x v="1"/>
    <s v="Tukwila"/>
    <s v="WA"/>
    <n v="98168"/>
    <x v="0"/>
    <x v="2"/>
    <s v="BOLT EV"/>
    <x v="1"/>
    <s v="Eligibility unknown as battery range has not been researched"/>
    <s v="0"/>
    <s v="0"/>
    <s v="11"/>
    <n v="244080315"/>
    <s v="POINT (-122.3317 47.50314)"/>
    <x v="4"/>
    <s v="53033027200"/>
  </r>
  <r>
    <x v="83"/>
    <x v="1"/>
    <s v="Mercer Island"/>
    <s v="WA"/>
    <n v="98040"/>
    <x v="11"/>
    <x v="2"/>
    <s v="BOLT EV"/>
    <x v="1"/>
    <s v="Clean Alternative Fuel Vehicle Eligible"/>
    <s v="259"/>
    <s v="0"/>
    <s v="41"/>
    <n v="142049015"/>
    <s v="POINT (-122.21238 47.57816)"/>
    <x v="1"/>
    <s v="53033024400"/>
  </r>
  <r>
    <x v="84"/>
    <x v="11"/>
    <s v="Bow"/>
    <s v="WA"/>
    <n v="98232"/>
    <x v="12"/>
    <x v="2"/>
    <s v="BOLT EV"/>
    <x v="1"/>
    <s v="Clean Alternative Fuel Vehicle Eligible"/>
    <s v="238"/>
    <s v="0"/>
    <s v="40"/>
    <n v="280739917"/>
    <s v="POINT (-122.397 48.56045)"/>
    <x v="0"/>
    <s v="53057950802"/>
  </r>
  <r>
    <x v="85"/>
    <x v="1"/>
    <s v="Kirkland"/>
    <s v="WA"/>
    <n v="98034"/>
    <x v="11"/>
    <x v="2"/>
    <s v="BOLT EV"/>
    <x v="1"/>
    <s v="Clean Alternative Fuel Vehicle Eligible"/>
    <s v="259"/>
    <s v="0"/>
    <s v="1"/>
    <n v="259444125"/>
    <s v="POINT (-122.22901 47.72201)"/>
    <x v="1"/>
    <s v="53033022203"/>
  </r>
  <r>
    <x v="85"/>
    <x v="1"/>
    <s v="Seattle"/>
    <s v="WA"/>
    <n v="98199"/>
    <x v="11"/>
    <x v="2"/>
    <s v="BOLT EV"/>
    <x v="1"/>
    <s v="Clean Alternative Fuel Vehicle Eligible"/>
    <s v="259"/>
    <s v="0"/>
    <s v="36"/>
    <n v="106231233"/>
    <s v="POINT (-122.40092 47.65908)"/>
    <x v="4"/>
    <s v="53033005600"/>
  </r>
  <r>
    <x v="86"/>
    <x v="4"/>
    <s v="Vancouver"/>
    <s v="WA"/>
    <n v="98663"/>
    <x v="0"/>
    <x v="2"/>
    <s v="BOLT EUV"/>
    <x v="1"/>
    <s v="Eligibility unknown as battery range has not been researched"/>
    <s v="0"/>
    <s v="0"/>
    <s v="49"/>
    <n v="271227841"/>
    <s v="POINT (-122.64695 45.65675)"/>
    <x v="3"/>
    <s v="53011042500"/>
  </r>
  <r>
    <x v="87"/>
    <x v="4"/>
    <s v="Vancouver"/>
    <s v="WA"/>
    <n v="98685"/>
    <x v="11"/>
    <x v="2"/>
    <s v="BOLT EV"/>
    <x v="1"/>
    <s v="Clean Alternative Fuel Vehicle Eligible"/>
    <s v="259"/>
    <s v="0"/>
    <s v="18"/>
    <n v="253161149"/>
    <s v="POINT (-122.70303 45.70954)"/>
    <x v="3"/>
    <s v="53011040908"/>
  </r>
  <r>
    <x v="88"/>
    <x v="3"/>
    <s v="Yakima"/>
    <s v="WA"/>
    <n v="98902"/>
    <x v="11"/>
    <x v="2"/>
    <s v="BOLT EV"/>
    <x v="1"/>
    <s v="Clean Alternative Fuel Vehicle Eligible"/>
    <s v="259"/>
    <s v="0"/>
    <s v="15"/>
    <n v="262454412"/>
    <s v="POINT (-120.51904 46.59783)"/>
    <x v="2"/>
    <s v="53077001202"/>
  </r>
  <r>
    <x v="89"/>
    <x v="7"/>
    <s v="Tumwater"/>
    <s v="WA"/>
    <n v="98512"/>
    <x v="12"/>
    <x v="2"/>
    <s v="BOLT EV"/>
    <x v="1"/>
    <s v="Clean Alternative Fuel Vehicle Eligible"/>
    <s v="238"/>
    <s v="0"/>
    <s v="22"/>
    <n v="4253749"/>
    <s v="POINT (-122.90787 46.9461)"/>
    <x v="0"/>
    <s v="53067010910"/>
  </r>
  <r>
    <x v="90"/>
    <x v="11"/>
    <s v="La Conner"/>
    <s v="WA"/>
    <n v="98257"/>
    <x v="1"/>
    <x v="2"/>
    <s v="BOLT EV"/>
    <x v="1"/>
    <s v="Eligibility unknown as battery range has not been researched"/>
    <s v="0"/>
    <s v="0"/>
    <s v="10"/>
    <n v="154451293"/>
    <s v="POINT (-122.49724 48.38874)"/>
    <x v="0"/>
    <s v="53057940801"/>
  </r>
  <r>
    <x v="91"/>
    <x v="1"/>
    <s v="Vashon"/>
    <s v="WA"/>
    <n v="98070"/>
    <x v="2"/>
    <x v="2"/>
    <s v="BOLT EUV"/>
    <x v="1"/>
    <s v="Eligibility unknown as battery range has not been researched"/>
    <s v="0"/>
    <s v="0"/>
    <s v="34"/>
    <n v="273655679"/>
    <s v="POINT (-122.4573 47.44929)"/>
    <x v="1"/>
    <s v="53033027701"/>
  </r>
  <r>
    <x v="92"/>
    <x v="1"/>
    <s v="Seattle"/>
    <s v="WA"/>
    <n v="98125"/>
    <x v="1"/>
    <x v="2"/>
    <s v="BOLT EV"/>
    <x v="1"/>
    <s v="Eligibility unknown as battery range has not been researched"/>
    <s v="0"/>
    <s v="0"/>
    <s v="46"/>
    <n v="281963601"/>
    <s v="POINT (-122.30253 47.72656)"/>
    <x v="4"/>
    <s v="53033000900"/>
  </r>
  <r>
    <x v="93"/>
    <x v="1"/>
    <s v="Seattle"/>
    <s v="WA"/>
    <n v="98109"/>
    <x v="2"/>
    <x v="2"/>
    <s v="BOLT EUV"/>
    <x v="1"/>
    <s v="Eligibility unknown as battery range has not been researched"/>
    <s v="0"/>
    <s v="0"/>
    <s v="43"/>
    <n v="221066345"/>
    <s v="POINT (-122.35022 47.63824)"/>
    <x v="4"/>
    <s v="53033007301"/>
  </r>
  <r>
    <x v="94"/>
    <x v="1"/>
    <s v="Seattle"/>
    <s v="WA"/>
    <n v="98126"/>
    <x v="0"/>
    <x v="2"/>
    <s v="BOLT EUV"/>
    <x v="1"/>
    <s v="Eligibility unknown as battery range has not been researched"/>
    <s v="0"/>
    <s v="0"/>
    <s v="34"/>
    <n v="244302698"/>
    <s v="POINT (-122.36893 47.54701)"/>
    <x v="4"/>
    <s v="53033011500"/>
  </r>
  <r>
    <x v="95"/>
    <x v="17"/>
    <s v="Eastsound"/>
    <s v="WA"/>
    <n v="98245"/>
    <x v="11"/>
    <x v="2"/>
    <s v="BOLT EV"/>
    <x v="1"/>
    <s v="Clean Alternative Fuel Vehicle Eligible"/>
    <s v="259"/>
    <s v="0"/>
    <s v="40"/>
    <n v="270707062"/>
    <s v="POINT (-122.91109 48.69389)"/>
    <x v="16"/>
    <s v="53055960103"/>
  </r>
  <r>
    <x v="95"/>
    <x v="1"/>
    <s v="Bellevue"/>
    <s v="WA"/>
    <n v="98005"/>
    <x v="11"/>
    <x v="2"/>
    <s v="BOLT EV"/>
    <x v="1"/>
    <s v="Clean Alternative Fuel Vehicle Eligible"/>
    <s v="259"/>
    <s v="0"/>
    <s v="48"/>
    <n v="133030117"/>
    <s v="POINT (-122.1621 47.64441)"/>
    <x v="1"/>
    <s v="53033023601"/>
  </r>
  <r>
    <x v="96"/>
    <x v="1"/>
    <s v="Sammamish"/>
    <s v="WA"/>
    <n v="98075"/>
    <x v="11"/>
    <x v="2"/>
    <s v="BOLT EV"/>
    <x v="1"/>
    <s v="Clean Alternative Fuel Vehicle Eligible"/>
    <s v="259"/>
    <s v="0"/>
    <s v="41"/>
    <n v="272901499"/>
    <s v="POINT (-122.03539 47.61344)"/>
    <x v="1"/>
    <s v="53033032207"/>
  </r>
  <r>
    <x v="97"/>
    <x v="2"/>
    <s v="Bothell"/>
    <s v="WA"/>
    <n v="98021"/>
    <x v="0"/>
    <x v="2"/>
    <s v="BOLT EUV"/>
    <x v="1"/>
    <s v="Eligibility unknown as battery range has not been researched"/>
    <s v="0"/>
    <s v="0"/>
    <s v="1"/>
    <n v="271633183"/>
    <s v="POINT (-122.18384 47.8031)"/>
    <x v="0"/>
    <s v="53061051937"/>
  </r>
  <r>
    <x v="97"/>
    <x v="1"/>
    <s v="Seattle"/>
    <s v="WA"/>
    <n v="98105"/>
    <x v="0"/>
    <x v="2"/>
    <s v="BOLT EUV"/>
    <x v="1"/>
    <s v="Eligibility unknown as battery range has not been researched"/>
    <s v="0"/>
    <s v="0"/>
    <s v="43"/>
    <n v="264879975"/>
    <s v="POINT (-122.31307 47.66127)"/>
    <x v="4"/>
    <s v="53033004500"/>
  </r>
  <r>
    <x v="98"/>
    <x v="1"/>
    <s v="Federal Way"/>
    <s v="WA"/>
    <n v="98003"/>
    <x v="12"/>
    <x v="2"/>
    <s v="BOLT EV"/>
    <x v="1"/>
    <s v="Clean Alternative Fuel Vehicle Eligible"/>
    <s v="238"/>
    <s v="0"/>
    <s v="30"/>
    <n v="283290472"/>
    <s v="POINT (-122.3303 47.30151)"/>
    <x v="1"/>
    <s v="53033030304"/>
  </r>
  <r>
    <x v="99"/>
    <x v="2"/>
    <s v="Lake Stevens"/>
    <s v="WA"/>
    <n v="98258"/>
    <x v="11"/>
    <x v="2"/>
    <s v="BOLT EV"/>
    <x v="1"/>
    <s v="Clean Alternative Fuel Vehicle Eligible"/>
    <s v="259"/>
    <s v="0"/>
    <s v="44"/>
    <n v="276571907"/>
    <s v="POINT (-122.06402 48.01497)"/>
    <x v="0"/>
    <s v="53061052605"/>
  </r>
  <r>
    <x v="100"/>
    <x v="4"/>
    <s v="Vancouver"/>
    <s v="WA"/>
    <n v="98663"/>
    <x v="12"/>
    <x v="2"/>
    <s v="BOLT EV"/>
    <x v="1"/>
    <s v="Clean Alternative Fuel Vehicle Eligible"/>
    <s v="238"/>
    <s v="0"/>
    <s v="49"/>
    <n v="276841806"/>
    <s v="POINT (-122.64695 45.65675)"/>
    <x v="3"/>
    <s v="53011041003"/>
  </r>
  <r>
    <x v="101"/>
    <x v="1"/>
    <s v="North Bend"/>
    <s v="WA"/>
    <n v="98045"/>
    <x v="1"/>
    <x v="2"/>
    <s v="BOLT EV"/>
    <x v="1"/>
    <s v="Eligibility unknown as battery range has not been researched"/>
    <s v="0"/>
    <s v="0"/>
    <s v="5"/>
    <n v="167290910"/>
    <s v="POINT (-121.7831 47.49348)"/>
    <x v="17"/>
    <s v="53033032800"/>
  </r>
  <r>
    <x v="102"/>
    <x v="17"/>
    <s v="Friday Harbor"/>
    <s v="WA"/>
    <n v="98250"/>
    <x v="12"/>
    <x v="2"/>
    <s v="BOLT EV"/>
    <x v="1"/>
    <s v="Clean Alternative Fuel Vehicle Eligible"/>
    <s v="238"/>
    <s v="0"/>
    <s v="40"/>
    <n v="304864052"/>
    <s v="POINT (-123.01648 48.53448)"/>
    <x v="16"/>
    <s v="53055960302"/>
  </r>
  <r>
    <x v="103"/>
    <x v="0"/>
    <s v="Bainbridge Island"/>
    <s v="WA"/>
    <n v="98110"/>
    <x v="11"/>
    <x v="2"/>
    <s v="BOLT EV"/>
    <x v="1"/>
    <s v="Clean Alternative Fuel Vehicle Eligible"/>
    <s v="259"/>
    <s v="0"/>
    <s v="23"/>
    <n v="284117018"/>
    <s v="POINT (-122.521 47.62732)"/>
    <x v="0"/>
    <s v="53035091002"/>
  </r>
  <r>
    <x v="103"/>
    <x v="1"/>
    <s v="Auburn"/>
    <s v="WA"/>
    <n v="98001"/>
    <x v="11"/>
    <x v="2"/>
    <s v="BOLT EV"/>
    <x v="1"/>
    <s v="Clean Alternative Fuel Vehicle Eligible"/>
    <s v="259"/>
    <s v="0"/>
    <s v="30"/>
    <n v="277629915"/>
    <s v="POINT (-122.23035 47.3074)"/>
    <x v="1"/>
    <s v="53033029805"/>
  </r>
  <r>
    <x v="104"/>
    <x v="6"/>
    <s v="Lakewood"/>
    <s v="WA"/>
    <n v="98498"/>
    <x v="11"/>
    <x v="2"/>
    <s v="BOLT EV"/>
    <x v="1"/>
    <s v="Clean Alternative Fuel Vehicle Eligible"/>
    <s v="259"/>
    <s v="0"/>
    <s v="28"/>
    <n v="141902162"/>
    <s v="POINT (-122.54764 47.17669)"/>
    <x v="1"/>
    <s v="53053072108"/>
  </r>
  <r>
    <x v="104"/>
    <x v="18"/>
    <s v="Twisp"/>
    <s v="WA"/>
    <n v="98856"/>
    <x v="11"/>
    <x v="2"/>
    <s v="BOLT EV"/>
    <x v="1"/>
    <s v="Clean Alternative Fuel Vehicle Eligible"/>
    <s v="259"/>
    <s v="0"/>
    <s v="12"/>
    <n v="156623295"/>
    <s v="POINT (-120.1231 48.3652)"/>
    <x v="18"/>
    <s v="53047971000"/>
  </r>
  <r>
    <x v="105"/>
    <x v="7"/>
    <s v="Olympia"/>
    <s v="WA"/>
    <n v="98506"/>
    <x v="11"/>
    <x v="2"/>
    <s v="BOLT EV"/>
    <x v="1"/>
    <s v="Clean Alternative Fuel Vehicle Eligible"/>
    <s v="259"/>
    <s v="0"/>
    <s v="22"/>
    <n v="257481843"/>
    <s v="POINT (-122.87741 47.05997)"/>
    <x v="0"/>
    <s v="53067010300"/>
  </r>
  <r>
    <x v="106"/>
    <x v="1"/>
    <s v="Kirkland"/>
    <s v="WA"/>
    <n v="98034"/>
    <x v="2"/>
    <x v="2"/>
    <s v="BOLT EUV"/>
    <x v="1"/>
    <s v="Eligibility unknown as battery range has not been researched"/>
    <s v="0"/>
    <s v="0"/>
    <s v="1"/>
    <n v="170486585"/>
    <s v="POINT (-122.22901 47.72201)"/>
    <x v="1"/>
    <s v="53033022204"/>
  </r>
  <r>
    <x v="107"/>
    <x v="1"/>
    <s v="Snoqualmie"/>
    <s v="WA"/>
    <n v="98065"/>
    <x v="12"/>
    <x v="2"/>
    <s v="BOLT EV"/>
    <x v="1"/>
    <s v="Clean Alternative Fuel Vehicle Eligible"/>
    <s v="238"/>
    <s v="0"/>
    <s v="5"/>
    <n v="9058647"/>
    <s v="POINT (-121.82432 47.52716)"/>
    <x v="1"/>
    <s v="53033032604"/>
  </r>
  <r>
    <x v="108"/>
    <x v="2"/>
    <s v="Lynnwood"/>
    <s v="WA"/>
    <n v="98087"/>
    <x v="12"/>
    <x v="2"/>
    <s v="BOLT EV"/>
    <x v="1"/>
    <s v="Clean Alternative Fuel Vehicle Eligible"/>
    <s v="238"/>
    <s v="0"/>
    <s v="21"/>
    <n v="252740295"/>
    <s v="POINT (-122.27981 47.85727)"/>
    <x v="0"/>
    <s v="53061042004"/>
  </r>
  <r>
    <x v="109"/>
    <x v="11"/>
    <s v="Anacortes"/>
    <s v="WA"/>
    <n v="98221"/>
    <x v="2"/>
    <x v="2"/>
    <s v="BOLT EUV"/>
    <x v="1"/>
    <s v="Eligibility unknown as battery range has not been researched"/>
    <s v="0"/>
    <s v="0"/>
    <s v="40"/>
    <n v="204925129"/>
    <s v="POINT (-122.61216 48.51749)"/>
    <x v="0"/>
    <s v="53057940403"/>
  </r>
  <r>
    <x v="110"/>
    <x v="1"/>
    <s v="Bothell"/>
    <s v="WA"/>
    <n v="98011"/>
    <x v="0"/>
    <x v="2"/>
    <s v="BOLT EUV"/>
    <x v="1"/>
    <s v="Eligibility unknown as battery range has not been researched"/>
    <s v="0"/>
    <s v="0"/>
    <s v="1"/>
    <n v="244060435"/>
    <s v="POINT (-122.20563 47.76144)"/>
    <x v="1"/>
    <s v="53033021804"/>
  </r>
  <r>
    <x v="111"/>
    <x v="19"/>
    <s v="Port Hadlock"/>
    <s v="WA"/>
    <n v="98339"/>
    <x v="6"/>
    <x v="2"/>
    <s v="VOLT"/>
    <x v="0"/>
    <s v="Clean Alternative Fuel Vehicle Eligible"/>
    <s v="38"/>
    <s v="0"/>
    <s v="24"/>
    <n v="115139713"/>
    <s v="POINT (-122.75878 48.03591)"/>
    <x v="19"/>
    <s v="53031950302"/>
  </r>
  <r>
    <x v="112"/>
    <x v="0"/>
    <s v="Kingston"/>
    <s v="WA"/>
    <n v="98346"/>
    <x v="10"/>
    <x v="2"/>
    <s v="VOLT"/>
    <x v="0"/>
    <s v="Clean Alternative Fuel Vehicle Eligible"/>
    <s v="53"/>
    <s v="0"/>
    <s v="23"/>
    <n v="170370063"/>
    <s v="POINT (-122.4977 47.79802)"/>
    <x v="0"/>
    <s v="53035090101"/>
  </r>
  <r>
    <x v="113"/>
    <x v="1"/>
    <s v="Des Moines"/>
    <s v="WA"/>
    <n v="98198"/>
    <x v="9"/>
    <x v="2"/>
    <s v="VOLT"/>
    <x v="0"/>
    <s v="Clean Alternative Fuel Vehicle Eligible"/>
    <s v="53"/>
    <s v="0"/>
    <s v="30"/>
    <n v="349287991"/>
    <s v="POINT (-122.3219 47.40173)"/>
    <x v="1"/>
    <s v="53033030003"/>
  </r>
  <r>
    <x v="114"/>
    <x v="2"/>
    <s v="Bothell"/>
    <s v="WA"/>
    <n v="98012"/>
    <x v="9"/>
    <x v="2"/>
    <s v="VOLT"/>
    <x v="0"/>
    <s v="Clean Alternative Fuel Vehicle Eligible"/>
    <s v="53"/>
    <s v="0"/>
    <s v="44"/>
    <n v="222383332"/>
    <s v="POINT (-122.21061 47.83448)"/>
    <x v="0"/>
    <s v="53061052007"/>
  </r>
  <r>
    <x v="115"/>
    <x v="1"/>
    <s v="Seattle"/>
    <s v="WA"/>
    <n v="98118"/>
    <x v="8"/>
    <x v="2"/>
    <s v="VOLT"/>
    <x v="0"/>
    <s v="Clean Alternative Fuel Vehicle Eligible"/>
    <s v="38"/>
    <s v="0"/>
    <s v="11"/>
    <n v="232773887"/>
    <s v="POINT (-122.2668 47.55115)"/>
    <x v="4"/>
    <s v="53033011700"/>
  </r>
  <r>
    <x v="116"/>
    <x v="15"/>
    <s v="Spokane"/>
    <s v="WA"/>
    <n v="99207"/>
    <x v="8"/>
    <x v="2"/>
    <s v="VOLT"/>
    <x v="0"/>
    <s v="Clean Alternative Fuel Vehicle Eligible"/>
    <s v="38"/>
    <s v="0"/>
    <s v="3"/>
    <n v="8592419"/>
    <s v="POINT (-117.3973 47.67573)"/>
    <x v="12"/>
    <s v="53063001400"/>
  </r>
  <r>
    <x v="117"/>
    <x v="6"/>
    <s v="Tacoma"/>
    <s v="WA"/>
    <n v="98422"/>
    <x v="10"/>
    <x v="2"/>
    <s v="VOLT"/>
    <x v="0"/>
    <s v="Clean Alternative Fuel Vehicle Eligible"/>
    <s v="53"/>
    <s v="0"/>
    <s v="27"/>
    <n v="341416617"/>
    <s v="POINT (-122.39471 47.28159)"/>
    <x v="11"/>
    <s v="53053940002"/>
  </r>
  <r>
    <x v="118"/>
    <x v="2"/>
    <s v="Edmonds"/>
    <s v="WA"/>
    <n v="98020"/>
    <x v="10"/>
    <x v="2"/>
    <s v="VOLT"/>
    <x v="0"/>
    <s v="Clean Alternative Fuel Vehicle Eligible"/>
    <s v="53"/>
    <s v="0"/>
    <s v="21"/>
    <n v="348460101"/>
    <s v="POINT (-122.37689 47.81116)"/>
    <x v="0"/>
    <s v="53061050403"/>
  </r>
  <r>
    <x v="119"/>
    <x v="0"/>
    <s v="Poulsbo"/>
    <s v="WA"/>
    <n v="98370"/>
    <x v="9"/>
    <x v="2"/>
    <s v="VOLT"/>
    <x v="0"/>
    <s v="Clean Alternative Fuel Vehicle Eligible"/>
    <s v="53"/>
    <s v="0"/>
    <s v="23"/>
    <n v="349972640"/>
    <s v="POINT (-122.64681 47.73689)"/>
    <x v="0"/>
    <s v="53035091100"/>
  </r>
  <r>
    <x v="120"/>
    <x v="1"/>
    <s v="Bellevue"/>
    <s v="WA"/>
    <n v="98004"/>
    <x v="10"/>
    <x v="2"/>
    <s v="VOLT"/>
    <x v="0"/>
    <s v="Clean Alternative Fuel Vehicle Eligible"/>
    <s v="53"/>
    <s v="0"/>
    <s v="41"/>
    <n v="474454438"/>
    <s v="POINT (-122.1872 47.61001)"/>
    <x v="1"/>
    <s v="53033023807"/>
  </r>
  <r>
    <x v="121"/>
    <x v="0"/>
    <s v="Port Orchard"/>
    <s v="WA"/>
    <n v="98366"/>
    <x v="10"/>
    <x v="2"/>
    <s v="VOLT"/>
    <x v="0"/>
    <s v="Clean Alternative Fuel Vehicle Eligible"/>
    <s v="53"/>
    <s v="0"/>
    <s v="26"/>
    <n v="478393009"/>
    <s v="POINT (-122.63847 47.54103)"/>
    <x v="0"/>
    <s v="53035092200"/>
  </r>
  <r>
    <x v="121"/>
    <x v="1"/>
    <s v="Bellevue"/>
    <s v="WA"/>
    <n v="98008"/>
    <x v="10"/>
    <x v="2"/>
    <s v="VOLT"/>
    <x v="0"/>
    <s v="Clean Alternative Fuel Vehicle Eligible"/>
    <s v="53"/>
    <s v="0"/>
    <s v="48"/>
    <n v="475731315"/>
    <s v="POINT (-122.11867 47.63131)"/>
    <x v="1"/>
    <s v="53033023000"/>
  </r>
  <r>
    <x v="122"/>
    <x v="1"/>
    <s v="Auburn"/>
    <s v="WA"/>
    <n v="98092"/>
    <x v="10"/>
    <x v="2"/>
    <s v="VOLT"/>
    <x v="0"/>
    <s v="Clean Alternative Fuel Vehicle Eligible"/>
    <s v="53"/>
    <s v="0"/>
    <s v="31"/>
    <n v="8792388"/>
    <s v="POINT (-122.18497 47.28825)"/>
    <x v="1"/>
    <s v="53033031204"/>
  </r>
  <r>
    <x v="123"/>
    <x v="1"/>
    <s v="Burien"/>
    <s v="WA"/>
    <n v="98146"/>
    <x v="7"/>
    <x v="2"/>
    <s v="VOLT"/>
    <x v="0"/>
    <s v="Clean Alternative Fuel Vehicle Eligible"/>
    <s v="38"/>
    <s v="0"/>
    <s v="34"/>
    <n v="278798887"/>
    <s v="POINT (-122.36178 47.49408)"/>
    <x v="4"/>
    <s v="53033026700"/>
  </r>
  <r>
    <x v="124"/>
    <x v="15"/>
    <s v="Spokane"/>
    <s v="WA"/>
    <n v="99203"/>
    <x v="8"/>
    <x v="2"/>
    <s v="VOLT"/>
    <x v="0"/>
    <s v="Clean Alternative Fuel Vehicle Eligible"/>
    <s v="38"/>
    <s v="0"/>
    <s v="6"/>
    <n v="476713898"/>
    <s v="POINT (-117.39322 47.63374)"/>
    <x v="15"/>
    <s v="53063004200"/>
  </r>
  <r>
    <x v="125"/>
    <x v="14"/>
    <s v="College Place"/>
    <s v="WA"/>
    <n v="99324"/>
    <x v="9"/>
    <x v="2"/>
    <s v="VOLT"/>
    <x v="0"/>
    <s v="Clean Alternative Fuel Vehicle Eligible"/>
    <s v="53"/>
    <s v="0"/>
    <s v="16"/>
    <n v="122251678"/>
    <s v="POINT (-118.38864 46.03456)"/>
    <x v="2"/>
    <s v="53071920301"/>
  </r>
  <r>
    <x v="125"/>
    <x v="20"/>
    <s v="Sequim"/>
    <s v="WA"/>
    <n v="98382"/>
    <x v="9"/>
    <x v="2"/>
    <s v="VOLT"/>
    <x v="0"/>
    <s v="Clean Alternative Fuel Vehicle Eligible"/>
    <s v="53"/>
    <s v="0"/>
    <s v="24"/>
    <n v="131312338"/>
    <s v="POINT (-123.10367 48.07965)"/>
    <x v="20"/>
    <s v="53009002002"/>
  </r>
  <r>
    <x v="126"/>
    <x v="7"/>
    <s v="Olympia"/>
    <s v="WA"/>
    <n v="98501"/>
    <x v="5"/>
    <x v="2"/>
    <s v="VOLT"/>
    <x v="0"/>
    <s v="Clean Alternative Fuel Vehicle Eligible"/>
    <s v="53"/>
    <s v="0"/>
    <s v="22"/>
    <n v="211891319"/>
    <s v="POINT (-122.89165 47.03954)"/>
    <x v="0"/>
    <s v="53067010400"/>
  </r>
  <r>
    <x v="127"/>
    <x v="1"/>
    <s v="Seattle"/>
    <s v="WA"/>
    <n v="98122"/>
    <x v="9"/>
    <x v="2"/>
    <s v="VOLT"/>
    <x v="0"/>
    <s v="Clean Alternative Fuel Vehicle Eligible"/>
    <s v="53"/>
    <s v="0"/>
    <s v="37"/>
    <n v="145431394"/>
    <s v="POINT (-122.31009 47.60803)"/>
    <x v="4"/>
    <s v="53033007700"/>
  </r>
  <r>
    <x v="128"/>
    <x v="0"/>
    <s v="Silverdale"/>
    <s v="WA"/>
    <n v="98383"/>
    <x v="9"/>
    <x v="2"/>
    <s v="VOLT"/>
    <x v="0"/>
    <s v="Clean Alternative Fuel Vehicle Eligible"/>
    <s v="53"/>
    <s v="0"/>
    <s v="23"/>
    <n v="101042105"/>
    <s v="POINT (-122.69275 47.65171)"/>
    <x v="0"/>
    <s v="53035091205"/>
  </r>
  <r>
    <x v="129"/>
    <x v="4"/>
    <s v="Vancouver"/>
    <s v="WA"/>
    <n v="98663"/>
    <x v="9"/>
    <x v="2"/>
    <s v="VOLT"/>
    <x v="0"/>
    <s v="Clean Alternative Fuel Vehicle Eligible"/>
    <s v="53"/>
    <s v="0"/>
    <s v="49"/>
    <n v="215939965"/>
    <s v="POINT (-122.64695 45.65675)"/>
    <x v="3"/>
    <s v="53011042500"/>
  </r>
  <r>
    <x v="130"/>
    <x v="7"/>
    <s v="Lacey"/>
    <s v="WA"/>
    <n v="98503"/>
    <x v="9"/>
    <x v="2"/>
    <s v="VOLT"/>
    <x v="0"/>
    <s v="Clean Alternative Fuel Vehicle Eligible"/>
    <s v="53"/>
    <s v="0"/>
    <s v="22"/>
    <n v="247322806"/>
    <s v="POINT (-122.82324 47.04437)"/>
    <x v="0"/>
    <s v="53067011300"/>
  </r>
  <r>
    <x v="131"/>
    <x v="7"/>
    <s v="Olympia"/>
    <s v="WA"/>
    <n v="98502"/>
    <x v="7"/>
    <x v="2"/>
    <s v="VOLT"/>
    <x v="0"/>
    <s v="Clean Alternative Fuel Vehicle Eligible"/>
    <s v="38"/>
    <s v="0"/>
    <s v="35"/>
    <n v="213517713"/>
    <s v="POINT (-122.92333 47.03779)"/>
    <x v="0"/>
    <s v="53067011902"/>
  </r>
  <r>
    <x v="132"/>
    <x v="21"/>
    <s v="White Salmon"/>
    <s v="WA"/>
    <n v="98672"/>
    <x v="13"/>
    <x v="2"/>
    <s v="VOLT"/>
    <x v="0"/>
    <s v="Clean Alternative Fuel Vehicle Eligible"/>
    <s v="35"/>
    <s v="0"/>
    <s v="14"/>
    <n v="186998444"/>
    <s v="POINT (-121.48704 45.72776)"/>
    <x v="21"/>
    <s v="53039950301"/>
  </r>
  <r>
    <x v="133"/>
    <x v="4"/>
    <s v="Vancouver"/>
    <s v="WA"/>
    <n v="98685"/>
    <x v="13"/>
    <x v="2"/>
    <s v="VOLT"/>
    <x v="0"/>
    <s v="Clean Alternative Fuel Vehicle Eligible"/>
    <s v="35"/>
    <s v="0"/>
    <s v="49"/>
    <n v="152283134"/>
    <s v="POINT (-122.70303 45.70954)"/>
    <x v="3"/>
    <s v="53011040904"/>
  </r>
  <r>
    <x v="134"/>
    <x v="4"/>
    <s v="Washougal"/>
    <s v="WA"/>
    <n v="98671"/>
    <x v="7"/>
    <x v="2"/>
    <s v="VOLT"/>
    <x v="0"/>
    <s v="Clean Alternative Fuel Vehicle Eligible"/>
    <s v="38"/>
    <s v="0"/>
    <s v="14"/>
    <n v="474792216"/>
    <s v="POINT (-122.35341 45.57923)"/>
    <x v="3"/>
    <s v="53011040510"/>
  </r>
  <r>
    <x v="135"/>
    <x v="6"/>
    <s v="Spanaway"/>
    <s v="WA"/>
    <n v="98387"/>
    <x v="13"/>
    <x v="2"/>
    <s v="VOLT"/>
    <x v="0"/>
    <s v="Clean Alternative Fuel Vehicle Eligible"/>
    <s v="35"/>
    <s v="0"/>
    <s v="29"/>
    <n v="250480023"/>
    <s v="POINT (-122.41046 47.06512)"/>
    <x v="22"/>
    <s v="53053071403"/>
  </r>
  <r>
    <x v="136"/>
    <x v="1"/>
    <s v="Renton"/>
    <s v="WA"/>
    <n v="98059"/>
    <x v="9"/>
    <x v="2"/>
    <s v="VOLT"/>
    <x v="0"/>
    <s v="Clean Alternative Fuel Vehicle Eligible"/>
    <s v="53"/>
    <s v="0"/>
    <s v="5"/>
    <n v="349075366"/>
    <s v="POINT (-122.16335 47.53505)"/>
    <x v="1"/>
    <s v="53033025602"/>
  </r>
  <r>
    <x v="137"/>
    <x v="0"/>
    <s v="Olalla"/>
    <s v="WA"/>
    <n v="98359"/>
    <x v="9"/>
    <x v="2"/>
    <s v="VOLT"/>
    <x v="0"/>
    <s v="Clean Alternative Fuel Vehicle Eligible"/>
    <s v="53"/>
    <s v="0"/>
    <s v="26"/>
    <n v="110202333"/>
    <s v="POINT (-122.54729 47.42602)"/>
    <x v="0"/>
    <s v="53035092802"/>
  </r>
  <r>
    <x v="137"/>
    <x v="1"/>
    <s v="Renton"/>
    <s v="WA"/>
    <n v="98056"/>
    <x v="9"/>
    <x v="2"/>
    <s v="VOLT"/>
    <x v="0"/>
    <s v="Clean Alternative Fuel Vehicle Eligible"/>
    <s v="53"/>
    <s v="0"/>
    <s v="11"/>
    <n v="317791344"/>
    <s v="POINT (-122.2044 47.52136)"/>
    <x v="1"/>
    <s v="53033025401"/>
  </r>
  <r>
    <x v="138"/>
    <x v="3"/>
    <s v="Yakima"/>
    <s v="WA"/>
    <n v="98908"/>
    <x v="13"/>
    <x v="2"/>
    <s v="VOLT"/>
    <x v="0"/>
    <s v="Clean Alternative Fuel Vehicle Eligible"/>
    <s v="35"/>
    <s v="0"/>
    <s v="15"/>
    <n v="477578370"/>
    <s v="POINT (-120.60199 46.59817)"/>
    <x v="2"/>
    <s v="53077003002"/>
  </r>
  <r>
    <x v="139"/>
    <x v="15"/>
    <s v="Spokane"/>
    <s v="WA"/>
    <n v="99208"/>
    <x v="4"/>
    <x v="3"/>
    <s v="HUMMER EV PICKUP"/>
    <x v="1"/>
    <s v="Eligibility unknown as battery range has not been researched"/>
    <s v="0"/>
    <s v="0"/>
    <s v="6"/>
    <n v="272341170"/>
    <s v="POINT (-117.45005 47.7333)"/>
    <x v="12"/>
    <s v="53063000800"/>
  </r>
  <r>
    <x v="140"/>
    <x v="1"/>
    <s v="Bothell"/>
    <s v="WA"/>
    <n v="98011"/>
    <x v="3"/>
    <x v="4"/>
    <s v="LYRIQ"/>
    <x v="1"/>
    <s v="Eligibility unknown as battery range has not been researched"/>
    <s v="0"/>
    <s v="0"/>
    <s v="1"/>
    <n v="267963706"/>
    <s v="POINT (-122.20563 47.76144)"/>
    <x v="1"/>
    <s v="53033021804"/>
  </r>
  <r>
    <x v="141"/>
    <x v="1"/>
    <s v="Bellevue"/>
    <s v="WA"/>
    <n v="98004"/>
    <x v="3"/>
    <x v="4"/>
    <s v="LYRIQ"/>
    <x v="1"/>
    <s v="Eligibility unknown as battery range has not been researched"/>
    <s v="0"/>
    <s v="0"/>
    <s v="48"/>
    <n v="275677559"/>
    <s v="POINT (-122.1872 47.61001)"/>
    <x v="1"/>
    <s v="53033024002"/>
  </r>
  <r>
    <x v="142"/>
    <x v="4"/>
    <s v="Vancouver"/>
    <s v="WA"/>
    <n v="98662"/>
    <x v="3"/>
    <x v="4"/>
    <s v="LYRIQ"/>
    <x v="1"/>
    <s v="Eligibility unknown as battery range has not been researched"/>
    <s v="0"/>
    <s v="0"/>
    <s v="49"/>
    <n v="274241544"/>
    <s v="POINT (-122.57722 45.64251)"/>
    <x v="3"/>
    <s v="53011041203"/>
  </r>
  <r>
    <x v="143"/>
    <x v="1"/>
    <s v="Seattle"/>
    <s v="WA"/>
    <n v="98125"/>
    <x v="8"/>
    <x v="5"/>
    <s v="LEAF"/>
    <x v="1"/>
    <s v="Clean Alternative Fuel Vehicle Eligible"/>
    <s v="84"/>
    <s v="0"/>
    <s v="46"/>
    <n v="184963586"/>
    <s v="POINT (-122.30253 47.72656)"/>
    <x v="4"/>
    <s v="53033000700"/>
  </r>
  <r>
    <x v="144"/>
    <x v="1"/>
    <s v="Shoreline"/>
    <s v="WA"/>
    <n v="98155"/>
    <x v="7"/>
    <x v="5"/>
    <s v="LEAF"/>
    <x v="1"/>
    <s v="Clean Alternative Fuel Vehicle Eligible"/>
    <s v="75"/>
    <s v="0"/>
    <s v="32"/>
    <n v="221188747"/>
    <s v="POINT (-122.3175 47.75781)"/>
    <x v="4"/>
    <s v="53033020500"/>
  </r>
  <r>
    <x v="144"/>
    <x v="13"/>
    <s v="Moses Lake"/>
    <s v="WA"/>
    <n v="98837"/>
    <x v="7"/>
    <x v="5"/>
    <s v="LEAF"/>
    <x v="1"/>
    <s v="Clean Alternative Fuel Vehicle Eligible"/>
    <s v="75"/>
    <s v="0"/>
    <s v="13"/>
    <n v="180438030"/>
    <s v="POINT (-119.2771 47.13196)"/>
    <x v="10"/>
    <s v="53025011001"/>
  </r>
  <r>
    <x v="145"/>
    <x v="1"/>
    <s v="Newcastle"/>
    <s v="WA"/>
    <n v="98059"/>
    <x v="6"/>
    <x v="5"/>
    <s v="LEAF"/>
    <x v="1"/>
    <s v="Clean Alternative Fuel Vehicle Eligible"/>
    <s v="84"/>
    <s v="0"/>
    <s v="41"/>
    <n v="130630342"/>
    <s v="POINT (-122.16335 47.53505)"/>
    <x v="1"/>
    <s v="53033025005"/>
  </r>
  <r>
    <x v="145"/>
    <x v="1"/>
    <s v="Seattle"/>
    <s v="WA"/>
    <n v="98117"/>
    <x v="6"/>
    <x v="5"/>
    <s v="LEAF"/>
    <x v="1"/>
    <s v="Clean Alternative Fuel Vehicle Eligible"/>
    <s v="84"/>
    <s v="0"/>
    <s v="36"/>
    <n v="109252251"/>
    <s v="POINT (-122.38418 47.70044)"/>
    <x v="4"/>
    <s v="53033003202"/>
  </r>
  <r>
    <x v="146"/>
    <x v="10"/>
    <s v="Leavenworth"/>
    <s v="WA"/>
    <n v="98826"/>
    <x v="8"/>
    <x v="5"/>
    <s v="LEAF"/>
    <x v="1"/>
    <s v="Clean Alternative Fuel Vehicle Eligible"/>
    <s v="84"/>
    <s v="0"/>
    <s v="12"/>
    <n v="194767415"/>
    <s v="POINT (-120.65754 47.5982)"/>
    <x v="8"/>
    <s v="53007960201"/>
  </r>
  <r>
    <x v="146"/>
    <x v="11"/>
    <s v="Bow"/>
    <s v="WA"/>
    <n v="98232"/>
    <x v="8"/>
    <x v="5"/>
    <s v="LEAF"/>
    <x v="1"/>
    <s v="Clean Alternative Fuel Vehicle Eligible"/>
    <s v="84"/>
    <s v="0"/>
    <s v="40"/>
    <n v="230680355"/>
    <s v="POINT (-122.397 48.56045)"/>
    <x v="0"/>
    <s v="53057951900"/>
  </r>
  <r>
    <x v="147"/>
    <x v="1"/>
    <s v="Seattle"/>
    <s v="WA"/>
    <n v="98103"/>
    <x v="7"/>
    <x v="5"/>
    <s v="LEAF"/>
    <x v="1"/>
    <s v="Clean Alternative Fuel Vehicle Eligible"/>
    <s v="75"/>
    <s v="0"/>
    <s v="43"/>
    <n v="200768102"/>
    <s v="POINT (-122.35436 47.67596)"/>
    <x v="4"/>
    <s v="53033004800"/>
  </r>
  <r>
    <x v="147"/>
    <x v="1"/>
    <s v="Seattle"/>
    <s v="WA"/>
    <n v="98109"/>
    <x v="7"/>
    <x v="5"/>
    <s v="LEAF"/>
    <x v="1"/>
    <s v="Clean Alternative Fuel Vehicle Eligible"/>
    <s v="75"/>
    <s v="0"/>
    <s v="36"/>
    <n v="195639034"/>
    <s v="POINT (-122.35022 47.63824)"/>
    <x v="4"/>
    <s v="53033007101"/>
  </r>
  <r>
    <x v="148"/>
    <x v="0"/>
    <s v="Bainbridge Island"/>
    <s v="WA"/>
    <n v="98110"/>
    <x v="6"/>
    <x v="5"/>
    <s v="LEAF"/>
    <x v="1"/>
    <s v="Clean Alternative Fuel Vehicle Eligible"/>
    <s v="84"/>
    <s v="0"/>
    <s v="23"/>
    <n v="250505321"/>
    <s v="POINT (-122.521 47.62732)"/>
    <x v="0"/>
    <s v="53035091001"/>
  </r>
  <r>
    <x v="149"/>
    <x v="1"/>
    <s v="Bothell"/>
    <s v="WA"/>
    <n v="98011"/>
    <x v="8"/>
    <x v="5"/>
    <s v="LEAF"/>
    <x v="1"/>
    <s v="Clean Alternative Fuel Vehicle Eligible"/>
    <s v="84"/>
    <s v="0"/>
    <s v="1"/>
    <n v="242422946"/>
    <s v="POINT (-122.20563 47.76144)"/>
    <x v="1"/>
    <s v="53033021803"/>
  </r>
  <r>
    <x v="149"/>
    <x v="6"/>
    <s v="Gig Harbor"/>
    <s v="WA"/>
    <n v="98329"/>
    <x v="8"/>
    <x v="5"/>
    <s v="LEAF"/>
    <x v="1"/>
    <s v="Clean Alternative Fuel Vehicle Eligible"/>
    <s v="84"/>
    <s v="0"/>
    <s v="26"/>
    <n v="157062706"/>
    <s v="POINT (-122.6658 47.38336)"/>
    <x v="11"/>
    <s v="53053072503"/>
  </r>
  <r>
    <x v="150"/>
    <x v="0"/>
    <s v="Port Orchard"/>
    <s v="WA"/>
    <n v="98366"/>
    <x v="6"/>
    <x v="5"/>
    <s v="LEAF"/>
    <x v="1"/>
    <s v="Clean Alternative Fuel Vehicle Eligible"/>
    <s v="84"/>
    <s v="0"/>
    <s v="26"/>
    <n v="348062459"/>
    <s v="POINT (-122.63847 47.54103)"/>
    <x v="0"/>
    <s v="53035092801"/>
  </r>
  <r>
    <x v="151"/>
    <x v="2"/>
    <s v="Edmonds"/>
    <s v="WA"/>
    <n v="98026"/>
    <x v="8"/>
    <x v="5"/>
    <s v="LEAF"/>
    <x v="1"/>
    <s v="Clean Alternative Fuel Vehicle Eligible"/>
    <s v="84"/>
    <s v="0"/>
    <s v="32"/>
    <n v="194417912"/>
    <s v="POINT (-122.31768 47.87166)"/>
    <x v="0"/>
    <s v="53061050900"/>
  </r>
  <r>
    <x v="152"/>
    <x v="1"/>
    <s v="Bellevue"/>
    <s v="WA"/>
    <n v="98008"/>
    <x v="5"/>
    <x v="5"/>
    <s v="LEAF"/>
    <x v="1"/>
    <s v="Clean Alternative Fuel Vehicle Eligible"/>
    <s v="84"/>
    <s v="0"/>
    <s v="48"/>
    <n v="222131192"/>
    <s v="POINT (-122.11867 47.63131)"/>
    <x v="1"/>
    <s v="53033023202"/>
  </r>
  <r>
    <x v="152"/>
    <x v="1"/>
    <s v="Bellevue"/>
    <s v="WA"/>
    <n v="98004"/>
    <x v="5"/>
    <x v="5"/>
    <s v="LEAF"/>
    <x v="1"/>
    <s v="Clean Alternative Fuel Vehicle Eligible"/>
    <s v="84"/>
    <s v="0"/>
    <s v="48"/>
    <n v="101852334"/>
    <s v="POINT (-122.1872 47.61001)"/>
    <x v="1"/>
    <s v="53033023701"/>
  </r>
  <r>
    <x v="153"/>
    <x v="11"/>
    <s v="Sedro-Woolley"/>
    <s v="WA"/>
    <n v="98284"/>
    <x v="7"/>
    <x v="5"/>
    <s v="LEAF"/>
    <x v="1"/>
    <s v="Clean Alternative Fuel Vehicle Eligible"/>
    <s v="75"/>
    <s v="0"/>
    <s v="39"/>
    <n v="209514833"/>
    <s v="POINT (-122.23857 48.50858)"/>
    <x v="0"/>
    <s v="53057951600"/>
  </r>
  <r>
    <x v="153"/>
    <x v="2"/>
    <s v="Lynnwood"/>
    <s v="WA"/>
    <n v="98036"/>
    <x v="7"/>
    <x v="5"/>
    <s v="LEAF"/>
    <x v="1"/>
    <s v="Clean Alternative Fuel Vehicle Eligible"/>
    <s v="75"/>
    <s v="0"/>
    <s v="1"/>
    <n v="214431171"/>
    <s v="POINT (-122.29245 47.82557)"/>
    <x v="0"/>
    <s v="53061051929"/>
  </r>
  <r>
    <x v="153"/>
    <x v="1"/>
    <s v="Kirkland"/>
    <s v="WA"/>
    <n v="98034"/>
    <x v="7"/>
    <x v="5"/>
    <s v="LEAF"/>
    <x v="1"/>
    <s v="Clean Alternative Fuel Vehicle Eligible"/>
    <s v="75"/>
    <s v="0"/>
    <s v="45"/>
    <n v="121522803"/>
    <s v="POINT (-122.22901 47.72201)"/>
    <x v="1"/>
    <s v="53033022005"/>
  </r>
  <r>
    <x v="153"/>
    <x v="1"/>
    <s v="Seattle"/>
    <s v="WA"/>
    <n v="98119"/>
    <x v="7"/>
    <x v="5"/>
    <s v="LEAF"/>
    <x v="1"/>
    <s v="Clean Alternative Fuel Vehicle Eligible"/>
    <s v="75"/>
    <s v="0"/>
    <s v="36"/>
    <n v="237061968"/>
    <s v="POINT (-122.3684 47.64586)"/>
    <x v="4"/>
    <s v="53033005901"/>
  </r>
  <r>
    <x v="154"/>
    <x v="4"/>
    <s v="Vancouver"/>
    <s v="WA"/>
    <n v="98685"/>
    <x v="8"/>
    <x v="5"/>
    <s v="LEAF"/>
    <x v="1"/>
    <s v="Clean Alternative Fuel Vehicle Eligible"/>
    <s v="84"/>
    <s v="0"/>
    <s v="18"/>
    <n v="237587409"/>
    <s v="POINT (-122.70303 45.70954)"/>
    <x v="3"/>
    <s v="53011040904"/>
  </r>
  <r>
    <x v="155"/>
    <x v="2"/>
    <s v="Everett"/>
    <s v="WA"/>
    <n v="98208"/>
    <x v="7"/>
    <x v="5"/>
    <s v="LEAF"/>
    <x v="1"/>
    <s v="Clean Alternative Fuel Vehicle Eligible"/>
    <s v="75"/>
    <s v="0"/>
    <s v="21"/>
    <n v="139526880"/>
    <s v="POINT (-122.18637 47.89251)"/>
    <x v="0"/>
    <s v="53061041813"/>
  </r>
  <r>
    <x v="155"/>
    <x v="2"/>
    <s v="Everett"/>
    <s v="WA"/>
    <n v="98208"/>
    <x v="7"/>
    <x v="5"/>
    <s v="LEAF"/>
    <x v="1"/>
    <s v="Clean Alternative Fuel Vehicle Eligible"/>
    <s v="75"/>
    <s v="0"/>
    <s v="21"/>
    <n v="150353780"/>
    <s v="POINT (-122.18637 47.89251)"/>
    <x v="0"/>
    <s v="53061041701"/>
  </r>
  <r>
    <x v="156"/>
    <x v="7"/>
    <s v="Olympia"/>
    <s v="WA"/>
    <n v="98513"/>
    <x v="6"/>
    <x v="5"/>
    <s v="LEAF"/>
    <x v="1"/>
    <s v="Clean Alternative Fuel Vehicle Eligible"/>
    <s v="84"/>
    <s v="0"/>
    <s v="2"/>
    <n v="223651074"/>
    <s v="POINT (-122.81754 46.98876)"/>
    <x v="0"/>
    <s v="53067012332"/>
  </r>
  <r>
    <x v="157"/>
    <x v="2"/>
    <s v="Lynnwood"/>
    <s v="WA"/>
    <n v="98087"/>
    <x v="8"/>
    <x v="5"/>
    <s v="LEAF"/>
    <x v="1"/>
    <s v="Clean Alternative Fuel Vehicle Eligible"/>
    <s v="84"/>
    <s v="0"/>
    <s v="21"/>
    <n v="177857186"/>
    <s v="POINT (-122.27981 47.85727)"/>
    <x v="0"/>
    <s v="53061051804"/>
  </r>
  <r>
    <x v="157"/>
    <x v="7"/>
    <s v="Olympia"/>
    <s v="WA"/>
    <n v="98513"/>
    <x v="8"/>
    <x v="5"/>
    <s v="LEAF"/>
    <x v="1"/>
    <s v="Clean Alternative Fuel Vehicle Eligible"/>
    <s v="84"/>
    <s v="0"/>
    <s v="20"/>
    <n v="179420412"/>
    <s v="POINT (-122.81754 46.98876)"/>
    <x v="0"/>
    <s v="53067012420"/>
  </r>
  <r>
    <x v="158"/>
    <x v="1"/>
    <s v="Snoqualmie"/>
    <s v="WA"/>
    <n v="98065"/>
    <x v="7"/>
    <x v="5"/>
    <s v="LEAF"/>
    <x v="1"/>
    <s v="Clean Alternative Fuel Vehicle Eligible"/>
    <s v="75"/>
    <s v="0"/>
    <s v="5"/>
    <n v="111718736"/>
    <s v="POINT (-121.82432 47.52716)"/>
    <x v="1"/>
    <s v="53033032605"/>
  </r>
  <r>
    <x v="159"/>
    <x v="0"/>
    <s v="Seabeck"/>
    <s v="WA"/>
    <n v="98380"/>
    <x v="6"/>
    <x v="5"/>
    <s v="LEAF"/>
    <x v="1"/>
    <s v="Clean Alternative Fuel Vehicle Eligible"/>
    <s v="84"/>
    <s v="0"/>
    <s v="35"/>
    <n v="219579748"/>
    <s v="POINT (-122.81585 47.64509)"/>
    <x v="0"/>
    <s v="53035091301"/>
  </r>
  <r>
    <x v="160"/>
    <x v="1"/>
    <s v="Redmond"/>
    <s v="WA"/>
    <n v="98052"/>
    <x v="8"/>
    <x v="5"/>
    <s v="LEAF"/>
    <x v="1"/>
    <s v="Clean Alternative Fuel Vehicle Eligible"/>
    <s v="84"/>
    <s v="0"/>
    <s v="48"/>
    <n v="324161575"/>
    <s v="POINT (-122.13158 47.67858)"/>
    <x v="1"/>
    <s v="53033032331"/>
  </r>
  <r>
    <x v="161"/>
    <x v="1"/>
    <s v="Renton"/>
    <s v="WA"/>
    <n v="98059"/>
    <x v="5"/>
    <x v="5"/>
    <s v="LEAF"/>
    <x v="1"/>
    <s v="Clean Alternative Fuel Vehicle Eligible"/>
    <s v="84"/>
    <s v="0"/>
    <s v="11"/>
    <n v="6389491"/>
    <s v="POINT (-122.16335 47.53505)"/>
    <x v="1"/>
    <s v="53033025602"/>
  </r>
  <r>
    <x v="161"/>
    <x v="6"/>
    <s v="South Hill"/>
    <s v="WA"/>
    <n v="98373"/>
    <x v="5"/>
    <x v="5"/>
    <s v="LEAF"/>
    <x v="1"/>
    <s v="Clean Alternative Fuel Vehicle Eligible"/>
    <s v="84"/>
    <s v="0"/>
    <s v="25"/>
    <n v="259569481"/>
    <s v="POINT (-122.2988 47.13795)"/>
    <x v="22"/>
    <s v="53053071310"/>
  </r>
  <r>
    <x v="162"/>
    <x v="1"/>
    <s v="Seattle"/>
    <s v="WA"/>
    <n v="98118"/>
    <x v="7"/>
    <x v="5"/>
    <s v="LEAF"/>
    <x v="1"/>
    <s v="Clean Alternative Fuel Vehicle Eligible"/>
    <s v="75"/>
    <s v="0"/>
    <s v="37"/>
    <n v="218785311"/>
    <s v="POINT (-122.2668 47.55115)"/>
    <x v="4"/>
    <s v="53033010301"/>
  </r>
  <r>
    <x v="163"/>
    <x v="7"/>
    <s v="Yelm"/>
    <s v="WA"/>
    <n v="98597"/>
    <x v="6"/>
    <x v="5"/>
    <s v="LEAF"/>
    <x v="1"/>
    <s v="Clean Alternative Fuel Vehicle Eligible"/>
    <s v="84"/>
    <s v="0"/>
    <s v="2"/>
    <n v="247914271"/>
    <s v="POINT (-122.60735 46.94239)"/>
    <x v="0"/>
    <s v="53067012412"/>
  </r>
  <r>
    <x v="163"/>
    <x v="1"/>
    <s v="Seattle"/>
    <s v="WA"/>
    <n v="98199"/>
    <x v="6"/>
    <x v="5"/>
    <s v="LEAF"/>
    <x v="1"/>
    <s v="Clean Alternative Fuel Vehicle Eligible"/>
    <s v="84"/>
    <s v="0"/>
    <s v="36"/>
    <n v="116102241"/>
    <s v="POINT (-122.40092 47.65908)"/>
    <x v="4"/>
    <s v="53033005600"/>
  </r>
  <r>
    <x v="164"/>
    <x v="1"/>
    <s v="Seattle"/>
    <s v="WA"/>
    <n v="98117"/>
    <x v="8"/>
    <x v="5"/>
    <s v="LEAF"/>
    <x v="1"/>
    <s v="Clean Alternative Fuel Vehicle Eligible"/>
    <s v="84"/>
    <s v="0"/>
    <s v="36"/>
    <n v="217549685"/>
    <s v="POINT (-122.38418 47.70044)"/>
    <x v="4"/>
    <s v="53033001500"/>
  </r>
  <r>
    <x v="164"/>
    <x v="4"/>
    <s v="Vancouver"/>
    <s v="WA"/>
    <n v="98682"/>
    <x v="8"/>
    <x v="5"/>
    <s v="LEAF"/>
    <x v="1"/>
    <s v="Clean Alternative Fuel Vehicle Eligible"/>
    <s v="84"/>
    <s v="0"/>
    <s v="17"/>
    <n v="475968825"/>
    <s v="POINT (-122.55149 45.69345)"/>
    <x v="3"/>
    <s v="53011041332"/>
  </r>
  <r>
    <x v="165"/>
    <x v="1"/>
    <s v="Redmond"/>
    <s v="WA"/>
    <n v="98052"/>
    <x v="7"/>
    <x v="5"/>
    <s v="LEAF"/>
    <x v="1"/>
    <s v="Clean Alternative Fuel Vehicle Eligible"/>
    <s v="75"/>
    <s v="0"/>
    <s v="48"/>
    <n v="102666784"/>
    <s v="POINT (-122.13158 47.67858)"/>
    <x v="1"/>
    <s v="53033022902"/>
  </r>
  <r>
    <x v="165"/>
    <x v="1"/>
    <s v="Seattle"/>
    <s v="WA"/>
    <n v="98103"/>
    <x v="7"/>
    <x v="5"/>
    <s v="LEAF"/>
    <x v="1"/>
    <s v="Clean Alternative Fuel Vehicle Eligible"/>
    <s v="75"/>
    <s v="0"/>
    <s v="36"/>
    <n v="247848863"/>
    <s v="POINT (-122.35436 47.67596)"/>
    <x v="4"/>
    <s v="53033001300"/>
  </r>
  <r>
    <x v="166"/>
    <x v="5"/>
    <s v="Clinton"/>
    <s v="WA"/>
    <n v="98236"/>
    <x v="8"/>
    <x v="5"/>
    <s v="LEAF"/>
    <x v="1"/>
    <s v="Clean Alternative Fuel Vehicle Eligible"/>
    <s v="84"/>
    <s v="0"/>
    <s v="10"/>
    <n v="233366031"/>
    <s v="POINT (-122.35803 47.9796)"/>
    <x v="0"/>
    <s v="53029972000"/>
  </r>
  <r>
    <x v="167"/>
    <x v="22"/>
    <s v="Bellingham"/>
    <s v="WA"/>
    <n v="98226"/>
    <x v="7"/>
    <x v="5"/>
    <s v="LEAF"/>
    <x v="1"/>
    <s v="Clean Alternative Fuel Vehicle Eligible"/>
    <s v="75"/>
    <s v="0"/>
    <s v="42"/>
    <n v="181303377"/>
    <s v="POINT (-122.49756 48.7999)"/>
    <x v="23"/>
    <s v="53073000803"/>
  </r>
  <r>
    <x v="168"/>
    <x v="2"/>
    <s v="Edmonds"/>
    <s v="WA"/>
    <n v="98020"/>
    <x v="8"/>
    <x v="5"/>
    <s v="LEAF"/>
    <x v="1"/>
    <s v="Clean Alternative Fuel Vehicle Eligible"/>
    <s v="84"/>
    <s v="0"/>
    <s v="21"/>
    <n v="109514527"/>
    <s v="POINT (-122.37689 47.81116)"/>
    <x v="0"/>
    <s v="53061050403"/>
  </r>
  <r>
    <x v="169"/>
    <x v="3"/>
    <s v="Yakima"/>
    <s v="WA"/>
    <n v="98902"/>
    <x v="6"/>
    <x v="5"/>
    <s v="LEAF"/>
    <x v="1"/>
    <s v="Clean Alternative Fuel Vehicle Eligible"/>
    <s v="84"/>
    <s v="0"/>
    <s v="14"/>
    <n v="183646774"/>
    <s v="POINT (-120.51904 46.59783)"/>
    <x v="2"/>
    <s v="53077000800"/>
  </r>
  <r>
    <x v="169"/>
    <x v="1"/>
    <s v="Seattle"/>
    <s v="WA"/>
    <n v="98125"/>
    <x v="6"/>
    <x v="5"/>
    <s v="LEAF"/>
    <x v="1"/>
    <s v="Clean Alternative Fuel Vehicle Eligible"/>
    <s v="84"/>
    <s v="0"/>
    <s v="46"/>
    <n v="238599497"/>
    <s v="POINT (-122.30253 47.72656)"/>
    <x v="4"/>
    <s v="53033001000"/>
  </r>
  <r>
    <x v="170"/>
    <x v="0"/>
    <s v="Bainbridge Island"/>
    <s v="WA"/>
    <n v="98110"/>
    <x v="8"/>
    <x v="5"/>
    <s v="LEAF"/>
    <x v="1"/>
    <s v="Clean Alternative Fuel Vehicle Eligible"/>
    <s v="84"/>
    <s v="0"/>
    <s v="23"/>
    <n v="148940172"/>
    <s v="POINT (-122.521 47.62732)"/>
    <x v="0"/>
    <s v="53035091002"/>
  </r>
  <r>
    <x v="171"/>
    <x v="1"/>
    <s v="Bothell"/>
    <s v="WA"/>
    <n v="98011"/>
    <x v="4"/>
    <x v="5"/>
    <s v="LEAF"/>
    <x v="1"/>
    <s v="Eligibility unknown as battery range has not been researched"/>
    <s v="0"/>
    <s v="0"/>
    <s v="1"/>
    <n v="282750436"/>
    <s v="POINT (-122.20563 47.76144)"/>
    <x v="1"/>
    <s v="53033021905"/>
  </r>
  <r>
    <x v="172"/>
    <x v="1"/>
    <s v="Bellevue"/>
    <s v="WA"/>
    <n v="98004"/>
    <x v="3"/>
    <x v="5"/>
    <s v="LEAF"/>
    <x v="1"/>
    <s v="Eligibility unknown as battery range has not been researched"/>
    <s v="0"/>
    <s v="0"/>
    <s v="48"/>
    <n v="268785149"/>
    <s v="POINT (-122.1872 47.61001)"/>
    <x v="1"/>
    <s v="53033023701"/>
  </r>
  <r>
    <x v="173"/>
    <x v="4"/>
    <s v="Vancouver"/>
    <s v="WA"/>
    <n v="98664"/>
    <x v="4"/>
    <x v="5"/>
    <s v="LEAF"/>
    <x v="1"/>
    <s v="Eligibility unknown as battery range has not been researched"/>
    <s v="0"/>
    <s v="0"/>
    <s v="49"/>
    <n v="272347512"/>
    <s v="POINT (-122.59219 45.62158)"/>
    <x v="3"/>
    <s v="53011041208"/>
  </r>
  <r>
    <x v="174"/>
    <x v="7"/>
    <s v="Tumwater"/>
    <s v="WA"/>
    <n v="98512"/>
    <x v="0"/>
    <x v="5"/>
    <s v="LEAF"/>
    <x v="1"/>
    <s v="Eligibility unknown as battery range has not been researched"/>
    <s v="0"/>
    <s v="0"/>
    <s v="22"/>
    <n v="274112023"/>
    <s v="POINT (-122.90787 46.9461)"/>
    <x v="0"/>
    <s v="53067010920"/>
  </r>
  <r>
    <x v="175"/>
    <x v="1"/>
    <s v="Maple Valley"/>
    <s v="WA"/>
    <n v="98038"/>
    <x v="4"/>
    <x v="5"/>
    <s v="LEAF"/>
    <x v="1"/>
    <s v="Eligibility unknown as battery range has not been researched"/>
    <s v="0"/>
    <s v="0"/>
    <s v="5"/>
    <n v="272171133"/>
    <s v="POINT (-122.04526 47.39394)"/>
    <x v="1"/>
    <s v="53033032008"/>
  </r>
  <r>
    <x v="176"/>
    <x v="1"/>
    <s v="Shoreline"/>
    <s v="WA"/>
    <n v="98133"/>
    <x v="10"/>
    <x v="5"/>
    <s v="LEAF"/>
    <x v="1"/>
    <s v="Clean Alternative Fuel Vehicle Eligible"/>
    <s v="151"/>
    <s v="0"/>
    <s v="32"/>
    <n v="289064191"/>
    <s v="POINT (-122.35029 47.71871)"/>
    <x v="4"/>
    <s v="53033021000"/>
  </r>
  <r>
    <x v="176"/>
    <x v="1"/>
    <s v="Sammamish"/>
    <s v="WA"/>
    <n v="98075"/>
    <x v="10"/>
    <x v="5"/>
    <s v="LEAF"/>
    <x v="1"/>
    <s v="Clean Alternative Fuel Vehicle Eligible"/>
    <s v="151"/>
    <s v="0"/>
    <s v="41"/>
    <n v="253041505"/>
    <s v="POINT (-122.03539 47.61344)"/>
    <x v="1"/>
    <s v="53033032215"/>
  </r>
  <r>
    <x v="177"/>
    <x v="7"/>
    <s v="Olympia"/>
    <s v="WA"/>
    <n v="98501"/>
    <x v="12"/>
    <x v="5"/>
    <s v="LEAF"/>
    <x v="1"/>
    <s v="Clean Alternative Fuel Vehicle Eligible"/>
    <s v="150"/>
    <s v="0"/>
    <s v="22"/>
    <n v="347436820"/>
    <s v="POINT (-122.89165 47.03954)"/>
    <x v="0"/>
    <s v="53067011721"/>
  </r>
  <r>
    <x v="178"/>
    <x v="1"/>
    <s v="Seattle"/>
    <s v="WA"/>
    <n v="98133"/>
    <x v="10"/>
    <x v="5"/>
    <s v="LEAF"/>
    <x v="1"/>
    <s v="Clean Alternative Fuel Vehicle Eligible"/>
    <s v="151"/>
    <s v="0"/>
    <s v="46"/>
    <n v="238473847"/>
    <s v="POINT (-122.35029 47.71871)"/>
    <x v="4"/>
    <s v="53033000602"/>
  </r>
  <r>
    <x v="178"/>
    <x v="1"/>
    <s v="Bellevue"/>
    <s v="WA"/>
    <n v="98004"/>
    <x v="10"/>
    <x v="5"/>
    <s v="LEAF"/>
    <x v="1"/>
    <s v="Clean Alternative Fuel Vehicle Eligible"/>
    <s v="151"/>
    <s v="0"/>
    <s v="48"/>
    <n v="297491435"/>
    <s v="POINT (-122.1872 47.61001)"/>
    <x v="1"/>
    <s v="53033023701"/>
  </r>
  <r>
    <x v="179"/>
    <x v="1"/>
    <s v="Redmond"/>
    <s v="WA"/>
    <n v="98052"/>
    <x v="10"/>
    <x v="5"/>
    <s v="LEAF"/>
    <x v="1"/>
    <s v="Clean Alternative Fuel Vehicle Eligible"/>
    <s v="151"/>
    <s v="0"/>
    <s v="48"/>
    <n v="475849916"/>
    <s v="POINT (-122.13158 47.67858)"/>
    <x v="1"/>
    <s v="53033022803"/>
  </r>
  <r>
    <x v="179"/>
    <x v="1"/>
    <s v="Seattle"/>
    <s v="WA"/>
    <n v="98118"/>
    <x v="10"/>
    <x v="5"/>
    <s v="LEAF"/>
    <x v="1"/>
    <s v="Clean Alternative Fuel Vehicle Eligible"/>
    <s v="151"/>
    <s v="0"/>
    <s v="37"/>
    <n v="272316411"/>
    <s v="POINT (-122.2668 47.55115)"/>
    <x v="4"/>
    <s v="53033011801"/>
  </r>
  <r>
    <x v="179"/>
    <x v="1"/>
    <s v="Burien"/>
    <s v="WA"/>
    <n v="98146"/>
    <x v="10"/>
    <x v="5"/>
    <s v="LEAF"/>
    <x v="1"/>
    <s v="Clean Alternative Fuel Vehicle Eligible"/>
    <s v="151"/>
    <s v="0"/>
    <s v="34"/>
    <n v="254315729"/>
    <s v="POINT (-122.36178 47.49408)"/>
    <x v="4"/>
    <s v="53033026802"/>
  </r>
  <r>
    <x v="179"/>
    <x v="1"/>
    <s v="Kirkland"/>
    <s v="WA"/>
    <n v="98034"/>
    <x v="10"/>
    <x v="5"/>
    <s v="LEAF"/>
    <x v="1"/>
    <s v="Clean Alternative Fuel Vehicle Eligible"/>
    <s v="151"/>
    <s v="0"/>
    <s v="45"/>
    <n v="207440383"/>
    <s v="POINT (-122.22901 47.72201)"/>
    <x v="1"/>
    <s v="53033021903"/>
  </r>
  <r>
    <x v="180"/>
    <x v="1"/>
    <s v="Seattle"/>
    <s v="WA"/>
    <n v="98199"/>
    <x v="12"/>
    <x v="5"/>
    <s v="LEAF"/>
    <x v="1"/>
    <s v="Clean Alternative Fuel Vehicle Eligible"/>
    <s v="150"/>
    <s v="0"/>
    <s v="36"/>
    <n v="3623322"/>
    <s v="POINT (-122.40092 47.65908)"/>
    <x v="4"/>
    <s v="53033005600"/>
  </r>
  <r>
    <x v="181"/>
    <x v="0"/>
    <s v="Suquamish"/>
    <s v="WA"/>
    <n v="98392"/>
    <x v="10"/>
    <x v="5"/>
    <s v="LEAF"/>
    <x v="1"/>
    <s v="Clean Alternative Fuel Vehicle Eligible"/>
    <s v="151"/>
    <s v="0"/>
    <s v="23"/>
    <n v="218882212"/>
    <s v="POINT (-122.55242 47.73162)"/>
    <x v="0"/>
    <s v="53035940100"/>
  </r>
  <r>
    <x v="181"/>
    <x v="15"/>
    <s v="Spokane"/>
    <s v="WA"/>
    <n v="99205"/>
    <x v="10"/>
    <x v="5"/>
    <s v="LEAF"/>
    <x v="1"/>
    <s v="Clean Alternative Fuel Vehicle Eligible"/>
    <s v="151"/>
    <s v="0"/>
    <s v="3"/>
    <n v="350331950"/>
    <s v="POINT (-117.45674 47.69963)"/>
    <x v="15"/>
    <s v="53063001000"/>
  </r>
  <r>
    <x v="182"/>
    <x v="1"/>
    <s v="Kirkland"/>
    <s v="WA"/>
    <n v="98034"/>
    <x v="12"/>
    <x v="5"/>
    <s v="LEAF"/>
    <x v="1"/>
    <s v="Clean Alternative Fuel Vehicle Eligible"/>
    <s v="150"/>
    <s v="0"/>
    <s v="45"/>
    <n v="325236173"/>
    <s v="POINT (-122.22901 47.72201)"/>
    <x v="1"/>
    <s v="53033021904"/>
  </r>
  <r>
    <x v="182"/>
    <x v="2"/>
    <s v="Lake Stevens"/>
    <s v="WA"/>
    <n v="98258"/>
    <x v="12"/>
    <x v="5"/>
    <s v="LEAF"/>
    <x v="1"/>
    <s v="Clean Alternative Fuel Vehicle Eligible"/>
    <s v="150"/>
    <s v="0"/>
    <s v="39"/>
    <n v="102802024"/>
    <s v="POINT (-122.06402 48.01497)"/>
    <x v="0"/>
    <s v="53061053505"/>
  </r>
  <r>
    <x v="183"/>
    <x v="1"/>
    <s v="Seattle"/>
    <s v="WA"/>
    <n v="98112"/>
    <x v="11"/>
    <x v="5"/>
    <s v="LEAF"/>
    <x v="1"/>
    <s v="Clean Alternative Fuel Vehicle Eligible"/>
    <s v="149"/>
    <s v="0"/>
    <s v="43"/>
    <n v="150113869"/>
    <s v="POINT (-122.30207 47.64085)"/>
    <x v="4"/>
    <s v="53033006100"/>
  </r>
  <r>
    <x v="184"/>
    <x v="1"/>
    <s v="Kirkland"/>
    <s v="WA"/>
    <n v="98034"/>
    <x v="12"/>
    <x v="5"/>
    <s v="LEAF"/>
    <x v="1"/>
    <s v="Clean Alternative Fuel Vehicle Eligible"/>
    <s v="150"/>
    <s v="0"/>
    <s v="1"/>
    <n v="272522295"/>
    <s v="POINT (-122.22901 47.72201)"/>
    <x v="1"/>
    <s v="53033022300"/>
  </r>
  <r>
    <x v="184"/>
    <x v="1"/>
    <s v="Federal Way"/>
    <s v="WA"/>
    <n v="98023"/>
    <x v="12"/>
    <x v="5"/>
    <s v="LEAF"/>
    <x v="1"/>
    <s v="Clean Alternative Fuel Vehicle Eligible"/>
    <s v="150"/>
    <s v="0"/>
    <s v="30"/>
    <n v="199239358"/>
    <s v="POINT (-122.34059 47.32478)"/>
    <x v="1"/>
    <s v="53033030305"/>
  </r>
  <r>
    <x v="185"/>
    <x v="1"/>
    <s v="Issaquah"/>
    <s v="WA"/>
    <n v="98027"/>
    <x v="11"/>
    <x v="5"/>
    <s v="LEAF"/>
    <x v="1"/>
    <s v="Clean Alternative Fuel Vehicle Eligible"/>
    <s v="149"/>
    <s v="0"/>
    <s v="41"/>
    <n v="122134015"/>
    <s v="POINT (-122.03439 47.5301)"/>
    <x v="1"/>
    <s v="53033023404"/>
  </r>
  <r>
    <x v="185"/>
    <x v="0"/>
    <s v="Bremerton"/>
    <s v="WA"/>
    <n v="98310"/>
    <x v="11"/>
    <x v="5"/>
    <s v="LEAF"/>
    <x v="1"/>
    <s v="Clean Alternative Fuel Vehicle Eligible"/>
    <s v="149"/>
    <s v="0"/>
    <s v="23"/>
    <n v="127191921"/>
    <s v="POINT (-122.61273 47.57428)"/>
    <x v="0"/>
    <s v="53035080400"/>
  </r>
  <r>
    <x v="186"/>
    <x v="7"/>
    <s v="Olympia"/>
    <s v="WA"/>
    <n v="98516"/>
    <x v="10"/>
    <x v="5"/>
    <s v="LEAF"/>
    <x v="1"/>
    <s v="Clean Alternative Fuel Vehicle Eligible"/>
    <s v="151"/>
    <s v="0"/>
    <s v="22"/>
    <n v="103390374"/>
    <s v="POINT (-122.78158 47.05335)"/>
    <x v="0"/>
    <s v="53067012221"/>
  </r>
  <r>
    <x v="187"/>
    <x v="2"/>
    <s v="Edmonds"/>
    <s v="WA"/>
    <n v="98026"/>
    <x v="12"/>
    <x v="5"/>
    <s v="LEAF"/>
    <x v="1"/>
    <s v="Clean Alternative Fuel Vehicle Eligible"/>
    <s v="150"/>
    <s v="0"/>
    <s v="32"/>
    <n v="478448624"/>
    <s v="POINT (-122.31768 47.87166)"/>
    <x v="0"/>
    <s v="53061050900"/>
  </r>
  <r>
    <x v="187"/>
    <x v="6"/>
    <s v="Bonney Lake"/>
    <s v="WA"/>
    <n v="98391"/>
    <x v="12"/>
    <x v="5"/>
    <s v="LEAF"/>
    <x v="1"/>
    <s v="Clean Alternative Fuel Vehicle Eligible"/>
    <s v="150"/>
    <s v="0"/>
    <s v="31"/>
    <n v="477820577"/>
    <s v="POINT (-122.17144 47.19175)"/>
    <x v="1"/>
    <s v="53053070309"/>
  </r>
  <r>
    <x v="188"/>
    <x v="1"/>
    <s v="Kirkland"/>
    <s v="WA"/>
    <n v="98034"/>
    <x v="12"/>
    <x v="5"/>
    <s v="LEAF"/>
    <x v="1"/>
    <s v="Clean Alternative Fuel Vehicle Eligible"/>
    <s v="150"/>
    <s v="0"/>
    <s v="45"/>
    <n v="112401474"/>
    <s v="POINT (-122.22901 47.72201)"/>
    <x v="1"/>
    <s v="53033022005"/>
  </r>
  <r>
    <x v="189"/>
    <x v="1"/>
    <s v="Bellevue"/>
    <s v="WA"/>
    <n v="98007"/>
    <x v="10"/>
    <x v="5"/>
    <s v="LEAF"/>
    <x v="1"/>
    <s v="Clean Alternative Fuel Vehicle Eligible"/>
    <s v="151"/>
    <s v="0"/>
    <s v="48"/>
    <n v="474494793"/>
    <s v="POINT (-122.12056 47.61334)"/>
    <x v="1"/>
    <s v="53033023603"/>
  </r>
  <r>
    <x v="190"/>
    <x v="0"/>
    <s v="Bainbridge Island"/>
    <s v="WA"/>
    <n v="98110"/>
    <x v="2"/>
    <x v="5"/>
    <s v="LEAF"/>
    <x v="1"/>
    <s v="Eligibility unknown as battery range has not been researched"/>
    <s v="0"/>
    <s v="0"/>
    <s v="23"/>
    <n v="264442510"/>
    <s v="POINT (-122.521 47.62732)"/>
    <x v="0"/>
    <s v="53035091002"/>
  </r>
  <r>
    <x v="191"/>
    <x v="1"/>
    <s v="North Bend"/>
    <s v="WA"/>
    <n v="98045"/>
    <x v="2"/>
    <x v="5"/>
    <s v="LEAF"/>
    <x v="1"/>
    <s v="Eligibility unknown as battery range has not been researched"/>
    <s v="0"/>
    <s v="0"/>
    <s v="5"/>
    <n v="181471524"/>
    <s v="POINT (-121.7831 47.49348)"/>
    <x v="1"/>
    <s v="53033032705"/>
  </r>
  <r>
    <x v="191"/>
    <x v="1"/>
    <s v="Auburn"/>
    <s v="WA"/>
    <n v="98001"/>
    <x v="2"/>
    <x v="5"/>
    <s v="LEAF"/>
    <x v="1"/>
    <s v="Eligibility unknown as battery range has not been researched"/>
    <s v="0"/>
    <s v="0"/>
    <s v="47"/>
    <n v="186838732"/>
    <s v="POINT (-122.23035 47.3074)"/>
    <x v="1"/>
    <s v="53033029902"/>
  </r>
  <r>
    <x v="192"/>
    <x v="4"/>
    <s v="Vancouver"/>
    <s v="WA"/>
    <n v="98661"/>
    <x v="1"/>
    <x v="5"/>
    <s v="LEAF"/>
    <x v="1"/>
    <s v="Eligibility unknown as battery range has not been researched"/>
    <s v="0"/>
    <s v="0"/>
    <s v="49"/>
    <n v="172371062"/>
    <s v="POINT (-122.62934 45.63201)"/>
    <x v="3"/>
    <s v="53011041600"/>
  </r>
  <r>
    <x v="193"/>
    <x v="2"/>
    <s v="Edmonds"/>
    <s v="WA"/>
    <n v="98026"/>
    <x v="2"/>
    <x v="5"/>
    <s v="LEAF"/>
    <x v="1"/>
    <s v="Eligibility unknown as battery range has not been researched"/>
    <s v="0"/>
    <s v="0"/>
    <s v="21"/>
    <n v="198761090"/>
    <s v="POINT (-122.31768 47.87166)"/>
    <x v="0"/>
    <s v="53061051601"/>
  </r>
  <r>
    <x v="194"/>
    <x v="7"/>
    <s v="Olympia"/>
    <s v="WA"/>
    <n v="98501"/>
    <x v="2"/>
    <x v="5"/>
    <s v="LEAF"/>
    <x v="1"/>
    <s v="Eligibility unknown as battery range has not been researched"/>
    <s v="0"/>
    <s v="0"/>
    <s v="22"/>
    <n v="205689459"/>
    <s v="POINT (-122.89165 47.03954)"/>
    <x v="0"/>
    <s v="53067010100"/>
  </r>
  <r>
    <x v="195"/>
    <x v="10"/>
    <s v="Wenatchee"/>
    <s v="WA"/>
    <n v="98801"/>
    <x v="9"/>
    <x v="5"/>
    <s v="LEAF"/>
    <x v="1"/>
    <s v="Clean Alternative Fuel Vehicle Eligible"/>
    <s v="107"/>
    <s v="0"/>
    <s v="12"/>
    <n v="6395616"/>
    <s v="POINT (-120.30521 47.41493)"/>
    <x v="8"/>
    <s v="53007961304"/>
  </r>
  <r>
    <x v="195"/>
    <x v="11"/>
    <s v="Anacortes"/>
    <s v="WA"/>
    <n v="98221"/>
    <x v="9"/>
    <x v="5"/>
    <s v="LEAF"/>
    <x v="1"/>
    <s v="Clean Alternative Fuel Vehicle Eligible"/>
    <s v="107"/>
    <s v="0"/>
    <s v="40"/>
    <n v="268294967"/>
    <s v="POINT (-122.61216 48.51749)"/>
    <x v="0"/>
    <s v="53057940500"/>
  </r>
  <r>
    <x v="196"/>
    <x v="11"/>
    <s v="Concrete"/>
    <s v="WA"/>
    <n v="98237"/>
    <x v="5"/>
    <x v="5"/>
    <s v="LEAF"/>
    <x v="1"/>
    <s v="Clean Alternative Fuel Vehicle Eligible"/>
    <s v="84"/>
    <s v="0"/>
    <s v="39"/>
    <n v="155491024"/>
    <s v="POINT (-121.7515 48.53892)"/>
    <x v="0"/>
    <s v="53057951102"/>
  </r>
  <r>
    <x v="196"/>
    <x v="15"/>
    <s v="Spokane"/>
    <s v="WA"/>
    <n v="99223"/>
    <x v="5"/>
    <x v="5"/>
    <s v="LEAF"/>
    <x v="1"/>
    <s v="Clean Alternative Fuel Vehicle Eligible"/>
    <s v="84"/>
    <s v="0"/>
    <s v="6"/>
    <n v="225137258"/>
    <s v="POINT (-117.36043 47.63396)"/>
    <x v="12"/>
    <s v="53063013401"/>
  </r>
  <r>
    <x v="196"/>
    <x v="5"/>
    <s v="Freeland"/>
    <s v="WA"/>
    <n v="98249"/>
    <x v="5"/>
    <x v="5"/>
    <s v="LEAF"/>
    <x v="1"/>
    <s v="Clean Alternative Fuel Vehicle Eligible"/>
    <s v="84"/>
    <s v="0"/>
    <s v="10"/>
    <n v="101164325"/>
    <s v="POINT (-122.52664 48.00956)"/>
    <x v="0"/>
    <s v="53029971900"/>
  </r>
  <r>
    <x v="197"/>
    <x v="1"/>
    <s v="Seattle"/>
    <s v="WA"/>
    <n v="98112"/>
    <x v="9"/>
    <x v="5"/>
    <s v="LEAF"/>
    <x v="1"/>
    <s v="Clean Alternative Fuel Vehicle Eligible"/>
    <s v="107"/>
    <s v="0"/>
    <s v="43"/>
    <n v="208910733"/>
    <s v="POINT (-122.30207 47.64085)"/>
    <x v="4"/>
    <s v="53033006400"/>
  </r>
  <r>
    <x v="198"/>
    <x v="1"/>
    <s v="Seattle"/>
    <s v="WA"/>
    <n v="98199"/>
    <x v="5"/>
    <x v="5"/>
    <s v="LEAF"/>
    <x v="1"/>
    <s v="Clean Alternative Fuel Vehicle Eligible"/>
    <s v="84"/>
    <s v="0"/>
    <s v="36"/>
    <n v="3615475"/>
    <s v="POINT (-122.40092 47.65908)"/>
    <x v="4"/>
    <s v="53033005700"/>
  </r>
  <r>
    <x v="198"/>
    <x v="1"/>
    <s v="Sammamish"/>
    <s v="WA"/>
    <n v="98074"/>
    <x v="5"/>
    <x v="5"/>
    <s v="LEAF"/>
    <x v="1"/>
    <s v="Clean Alternative Fuel Vehicle Eligible"/>
    <s v="84"/>
    <s v="0"/>
    <s v="45"/>
    <n v="119455920"/>
    <s v="POINT (-122.02054 47.60326)"/>
    <x v="1"/>
    <s v="53033032217"/>
  </r>
  <r>
    <x v="199"/>
    <x v="2"/>
    <s v="Mukilteo"/>
    <s v="WA"/>
    <n v="98275"/>
    <x v="9"/>
    <x v="5"/>
    <s v="LEAF"/>
    <x v="1"/>
    <s v="Clean Alternative Fuel Vehicle Eligible"/>
    <s v="107"/>
    <s v="0"/>
    <s v="21"/>
    <n v="336474694"/>
    <s v="POINT (-122.29196 47.89908)"/>
    <x v="0"/>
    <s v="53061042001"/>
  </r>
  <r>
    <x v="200"/>
    <x v="0"/>
    <s v="Bainbridge Island"/>
    <s v="WA"/>
    <n v="98110"/>
    <x v="9"/>
    <x v="5"/>
    <s v="LEAF"/>
    <x v="1"/>
    <s v="Clean Alternative Fuel Vehicle Eligible"/>
    <s v="107"/>
    <s v="0"/>
    <s v="23"/>
    <n v="298302084"/>
    <s v="POINT (-122.521 47.62732)"/>
    <x v="0"/>
    <s v="53035090902"/>
  </r>
  <r>
    <x v="201"/>
    <x v="7"/>
    <s v="Olympia"/>
    <s v="WA"/>
    <n v="98512"/>
    <x v="9"/>
    <x v="5"/>
    <s v="LEAF"/>
    <x v="1"/>
    <s v="Clean Alternative Fuel Vehicle Eligible"/>
    <s v="107"/>
    <s v="0"/>
    <s v="35"/>
    <n v="261303234"/>
    <s v="POINT (-122.90787 46.9461)"/>
    <x v="0"/>
    <s v="53067011901"/>
  </r>
  <r>
    <x v="201"/>
    <x v="1"/>
    <s v="Bellevue"/>
    <s v="WA"/>
    <n v="98008"/>
    <x v="9"/>
    <x v="5"/>
    <s v="LEAF"/>
    <x v="1"/>
    <s v="Clean Alternative Fuel Vehicle Eligible"/>
    <s v="107"/>
    <s v="0"/>
    <s v="48"/>
    <n v="255748909"/>
    <s v="POINT (-122.11867 47.63131)"/>
    <x v="1"/>
    <s v="53033023300"/>
  </r>
  <r>
    <x v="202"/>
    <x v="0"/>
    <s v="Port Orchard"/>
    <s v="WA"/>
    <n v="98366"/>
    <x v="5"/>
    <x v="5"/>
    <s v="LEAF"/>
    <x v="1"/>
    <s v="Clean Alternative Fuel Vehicle Eligible"/>
    <s v="84"/>
    <s v="0"/>
    <s v="26"/>
    <n v="121314525"/>
    <s v="POINT (-122.63847 47.54103)"/>
    <x v="0"/>
    <s v="53035092704"/>
  </r>
  <r>
    <x v="203"/>
    <x v="1"/>
    <s v="Issaquah"/>
    <s v="WA"/>
    <n v="98029"/>
    <x v="9"/>
    <x v="5"/>
    <s v="LEAF"/>
    <x v="1"/>
    <s v="Clean Alternative Fuel Vehicle Eligible"/>
    <s v="107"/>
    <s v="0"/>
    <s v="5"/>
    <n v="349586436"/>
    <s v="POINT (-122.00292 47.54748)"/>
    <x v="1"/>
    <s v="53033032220"/>
  </r>
  <r>
    <x v="204"/>
    <x v="1"/>
    <s v="Seattle"/>
    <s v="WA"/>
    <n v="98177"/>
    <x v="2"/>
    <x v="5"/>
    <s v="LEAF"/>
    <x v="1"/>
    <s v="Eligibility unknown as battery range has not been researched"/>
    <s v="0"/>
    <s v="0"/>
    <s v="32"/>
    <n v="194355157"/>
    <s v="POINT (-122.36498 47.72238)"/>
    <x v="4"/>
    <s v="53033000500"/>
  </r>
  <r>
    <x v="205"/>
    <x v="4"/>
    <s v="Ridgefield"/>
    <s v="WA"/>
    <n v="98642"/>
    <x v="2"/>
    <x v="5"/>
    <s v="LEAF"/>
    <x v="1"/>
    <s v="Eligibility unknown as battery range has not been researched"/>
    <s v="0"/>
    <s v="0"/>
    <s v="18"/>
    <n v="183435990"/>
    <s v="POINT (-122.74595 45.81539)"/>
    <x v="3"/>
    <s v="53011040905"/>
  </r>
  <r>
    <x v="206"/>
    <x v="23"/>
    <s v="Richland"/>
    <s v="WA"/>
    <n v="99354"/>
    <x v="2"/>
    <x v="5"/>
    <s v="LEAF"/>
    <x v="1"/>
    <s v="Eligibility unknown as battery range has not been researched"/>
    <s v="0"/>
    <s v="0"/>
    <s v="8"/>
    <n v="195883565"/>
    <s v="POINT (-119.26844 46.31484)"/>
    <x v="24"/>
    <s v="53005010500"/>
  </r>
  <r>
    <x v="207"/>
    <x v="2"/>
    <s v="Bothell"/>
    <s v="WA"/>
    <n v="98012"/>
    <x v="2"/>
    <x v="5"/>
    <s v="LEAF"/>
    <x v="1"/>
    <s v="Eligibility unknown as battery range has not been researched"/>
    <s v="0"/>
    <s v="0"/>
    <s v="1"/>
    <n v="177797238"/>
    <s v="POINT (-122.21061 47.83448)"/>
    <x v="0"/>
    <s v="53061052107"/>
  </r>
  <r>
    <x v="208"/>
    <x v="2"/>
    <s v="Edmonds"/>
    <s v="WA"/>
    <n v="98026"/>
    <x v="12"/>
    <x v="5"/>
    <s v="LEAF"/>
    <x v="1"/>
    <s v="Clean Alternative Fuel Vehicle Eligible"/>
    <s v="150"/>
    <s v="0"/>
    <s v="21"/>
    <n v="108886319"/>
    <s v="POINT (-122.31768 47.87166)"/>
    <x v="0"/>
    <s v="53061042003"/>
  </r>
  <r>
    <x v="208"/>
    <x v="5"/>
    <s v="Freeland"/>
    <s v="WA"/>
    <n v="98249"/>
    <x v="12"/>
    <x v="5"/>
    <s v="LEAF"/>
    <x v="1"/>
    <s v="Clean Alternative Fuel Vehicle Eligible"/>
    <s v="150"/>
    <s v="0"/>
    <s v="10"/>
    <n v="104831933"/>
    <s v="POINT (-122.52664 48.00956)"/>
    <x v="0"/>
    <s v="53029971900"/>
  </r>
  <r>
    <x v="209"/>
    <x v="2"/>
    <s v="Bothell"/>
    <s v="WA"/>
    <n v="98021"/>
    <x v="11"/>
    <x v="5"/>
    <s v="LEAF"/>
    <x v="1"/>
    <s v="Clean Alternative Fuel Vehicle Eligible"/>
    <s v="215"/>
    <s v="0"/>
    <s v="1"/>
    <n v="244703329"/>
    <s v="POINT (-122.18384 47.8031)"/>
    <x v="0"/>
    <s v="53061051937"/>
  </r>
  <r>
    <x v="210"/>
    <x v="2"/>
    <s v="Bothell"/>
    <s v="WA"/>
    <n v="98012"/>
    <x v="11"/>
    <x v="5"/>
    <s v="LEAF"/>
    <x v="1"/>
    <s v="Clean Alternative Fuel Vehicle Eligible"/>
    <s v="215"/>
    <s v="0"/>
    <s v="21"/>
    <n v="133721290"/>
    <s v="POINT (-122.21061 47.83448)"/>
    <x v="0"/>
    <s v="53061051927"/>
  </r>
  <r>
    <x v="211"/>
    <x v="2"/>
    <s v="Mukilteo"/>
    <s v="WA"/>
    <n v="98275"/>
    <x v="11"/>
    <x v="5"/>
    <s v="LEAF"/>
    <x v="1"/>
    <s v="Clean Alternative Fuel Vehicle Eligible"/>
    <s v="215"/>
    <s v="0"/>
    <s v="21"/>
    <n v="128721953"/>
    <s v="POINT (-122.29196 47.89908)"/>
    <x v="0"/>
    <s v="53061042001"/>
  </r>
  <r>
    <x v="212"/>
    <x v="2"/>
    <s v="Lynnwood"/>
    <s v="WA"/>
    <n v="98036"/>
    <x v="12"/>
    <x v="5"/>
    <s v="LEAF"/>
    <x v="1"/>
    <s v="Clean Alternative Fuel Vehicle Eligible"/>
    <s v="150"/>
    <s v="0"/>
    <s v="32"/>
    <n v="478371778"/>
    <s v="POINT (-122.29245 47.82557)"/>
    <x v="0"/>
    <s v="53061051402"/>
  </r>
  <r>
    <x v="213"/>
    <x v="1"/>
    <s v="Seattle"/>
    <s v="WA"/>
    <n v="98105"/>
    <x v="2"/>
    <x v="5"/>
    <s v="LEAF"/>
    <x v="1"/>
    <s v="Eligibility unknown as battery range has not been researched"/>
    <s v="0"/>
    <s v="0"/>
    <s v="46"/>
    <n v="195202899"/>
    <s v="POINT (-122.31307 47.66127)"/>
    <x v="4"/>
    <s v="53033004101"/>
  </r>
  <r>
    <x v="214"/>
    <x v="20"/>
    <s v="Port Angeles"/>
    <s v="WA"/>
    <n v="98362"/>
    <x v="11"/>
    <x v="5"/>
    <s v="LEAF"/>
    <x v="1"/>
    <s v="Clean Alternative Fuel Vehicle Eligible"/>
    <s v="215"/>
    <s v="0"/>
    <s v="24"/>
    <n v="256161034"/>
    <s v="POINT (-123.43112 48.11892)"/>
    <x v="20"/>
    <s v="53009001300"/>
  </r>
  <r>
    <x v="214"/>
    <x v="5"/>
    <s v="Oak Harbor"/>
    <s v="WA"/>
    <n v="98277"/>
    <x v="11"/>
    <x v="5"/>
    <s v="LEAF"/>
    <x v="1"/>
    <s v="Clean Alternative Fuel Vehicle Eligible"/>
    <s v="215"/>
    <s v="0"/>
    <s v="10"/>
    <n v="283289359"/>
    <s v="POINT (-122.64682 48.29077)"/>
    <x v="0"/>
    <s v="53029970800"/>
  </r>
  <r>
    <x v="215"/>
    <x v="1"/>
    <s v="Seattle"/>
    <s v="WA"/>
    <n v="98115"/>
    <x v="2"/>
    <x v="5"/>
    <s v="LEAF"/>
    <x v="1"/>
    <s v="Eligibility unknown as battery range has not been researched"/>
    <s v="0"/>
    <s v="0"/>
    <s v="46"/>
    <n v="186162287"/>
    <s v="POINT (-122.31676 47.68156)"/>
    <x v="4"/>
    <s v="53033002100"/>
  </r>
  <r>
    <x v="216"/>
    <x v="2"/>
    <s v="Everett"/>
    <s v="WA"/>
    <n v="98208"/>
    <x v="4"/>
    <x v="5"/>
    <s v="LEAF"/>
    <x v="1"/>
    <s v="Eligibility unknown as battery range has not been researched"/>
    <s v="0"/>
    <s v="0"/>
    <s v="44"/>
    <n v="277986089"/>
    <s v="POINT (-122.18637 47.89251)"/>
    <x v="0"/>
    <s v="53061041609"/>
  </r>
  <r>
    <x v="217"/>
    <x v="22"/>
    <s v="Bellingham"/>
    <s v="WA"/>
    <n v="98226"/>
    <x v="4"/>
    <x v="5"/>
    <s v="LEAF"/>
    <x v="1"/>
    <s v="Eligibility unknown as battery range has not been researched"/>
    <s v="0"/>
    <s v="0"/>
    <s v="42"/>
    <n v="278022860"/>
    <s v="POINT (-122.49756 48.7999)"/>
    <x v="23"/>
    <s v="53073010702"/>
  </r>
  <r>
    <x v="218"/>
    <x v="7"/>
    <s v="Lacey"/>
    <s v="WA"/>
    <n v="98503"/>
    <x v="0"/>
    <x v="5"/>
    <s v="LEAF"/>
    <x v="1"/>
    <s v="Eligibility unknown as battery range has not been researched"/>
    <s v="0"/>
    <s v="0"/>
    <s v="22"/>
    <n v="231018504"/>
    <s v="POINT (-122.82324 47.04437)"/>
    <x v="0"/>
    <s v="53067011625"/>
  </r>
  <r>
    <x v="218"/>
    <x v="4"/>
    <s v="Battle Ground"/>
    <s v="WA"/>
    <n v="98604"/>
    <x v="0"/>
    <x v="5"/>
    <s v="LEAF"/>
    <x v="1"/>
    <s v="Eligibility unknown as battery range has not been researched"/>
    <s v="0"/>
    <s v="0"/>
    <s v="18"/>
    <n v="238086642"/>
    <s v="POINT (-122.5331 45.78092)"/>
    <x v="3"/>
    <s v="53011040414"/>
  </r>
  <r>
    <x v="219"/>
    <x v="1"/>
    <s v="Bothell"/>
    <s v="WA"/>
    <n v="98011"/>
    <x v="4"/>
    <x v="5"/>
    <s v="LEAF"/>
    <x v="1"/>
    <s v="Eligibility unknown as battery range has not been researched"/>
    <s v="0"/>
    <s v="0"/>
    <s v="1"/>
    <n v="281582626"/>
    <s v="POINT (-122.20563 47.76144)"/>
    <x v="1"/>
    <s v="53033021804"/>
  </r>
  <r>
    <x v="220"/>
    <x v="0"/>
    <s v="Bremerton"/>
    <s v="WA"/>
    <n v="98310"/>
    <x v="4"/>
    <x v="5"/>
    <s v="LEAF"/>
    <x v="1"/>
    <s v="Eligibility unknown as battery range has not been researched"/>
    <s v="0"/>
    <s v="0"/>
    <s v="23"/>
    <n v="276853279"/>
    <s v="POINT (-122.61273 47.57428)"/>
    <x v="0"/>
    <s v="53035080400"/>
  </r>
  <r>
    <x v="221"/>
    <x v="24"/>
    <s v="Elma"/>
    <s v="WA"/>
    <n v="98541"/>
    <x v="0"/>
    <x v="5"/>
    <s v="LEAF"/>
    <x v="1"/>
    <s v="Eligibility unknown as battery range has not been researched"/>
    <s v="0"/>
    <s v="0"/>
    <s v="24"/>
    <n v="264856665"/>
    <s v="POINT (-123.40382 47.00379)"/>
    <x v="25"/>
    <s v="53027000600"/>
  </r>
  <r>
    <x v="222"/>
    <x v="1"/>
    <s v="Renton"/>
    <s v="WA"/>
    <n v="98058"/>
    <x v="3"/>
    <x v="5"/>
    <s v="LEAF"/>
    <x v="1"/>
    <s v="Eligibility unknown as battery range has not been researched"/>
    <s v="0"/>
    <s v="0"/>
    <s v="11"/>
    <n v="267310235"/>
    <s v="POINT (-122.08747 47.4466)"/>
    <x v="1"/>
    <s v="53033031906"/>
  </r>
  <r>
    <x v="223"/>
    <x v="22"/>
    <s v="Bellingham"/>
    <s v="WA"/>
    <n v="98229"/>
    <x v="4"/>
    <x v="5"/>
    <s v="LEAF"/>
    <x v="1"/>
    <s v="Eligibility unknown as battery range has not been researched"/>
    <s v="0"/>
    <s v="0"/>
    <s v="40"/>
    <n v="281500649"/>
    <s v="POINT (-122.45486 48.7449)"/>
    <x v="23"/>
    <s v="53073001202"/>
  </r>
  <r>
    <x v="224"/>
    <x v="1"/>
    <s v="Seattle"/>
    <s v="WA"/>
    <n v="98133"/>
    <x v="3"/>
    <x v="6"/>
    <s v="ID.4"/>
    <x v="1"/>
    <s v="Eligibility unknown as battery range has not been researched"/>
    <s v="0"/>
    <s v="0"/>
    <s v="32"/>
    <n v="268536033"/>
    <s v="POINT (-122.35029 47.71871)"/>
    <x v="4"/>
    <s v="53033000402"/>
  </r>
  <r>
    <x v="225"/>
    <x v="7"/>
    <s v="Lacey"/>
    <s v="WA"/>
    <n v="98503"/>
    <x v="3"/>
    <x v="6"/>
    <s v="ID.4"/>
    <x v="1"/>
    <s v="Eligibility unknown as battery range has not been researched"/>
    <s v="0"/>
    <s v="0"/>
    <s v="22"/>
    <n v="277263192"/>
    <s v="POINT (-122.82324 47.04437)"/>
    <x v="0"/>
    <s v="53067011200"/>
  </r>
  <r>
    <x v="226"/>
    <x v="1"/>
    <s v="Seattle"/>
    <s v="WA"/>
    <n v="98125"/>
    <x v="0"/>
    <x v="6"/>
    <s v="ID.4"/>
    <x v="1"/>
    <s v="Eligibility unknown as battery range has not been researched"/>
    <s v="0"/>
    <s v="0"/>
    <s v="46"/>
    <n v="228601677"/>
    <s v="POINT (-122.30253 47.72656)"/>
    <x v="4"/>
    <s v="53033001202"/>
  </r>
  <r>
    <x v="227"/>
    <x v="23"/>
    <s v="Richland"/>
    <s v="WA"/>
    <n v="99352"/>
    <x v="0"/>
    <x v="6"/>
    <s v="ID.4"/>
    <x v="1"/>
    <s v="Eligibility unknown as battery range has not been researched"/>
    <s v="0"/>
    <s v="0"/>
    <s v="8"/>
    <n v="255346969"/>
    <s v="POINT (-119.27372 46.27391)"/>
    <x v="24"/>
    <s v="53005010817"/>
  </r>
  <r>
    <x v="228"/>
    <x v="12"/>
    <s v="Colville"/>
    <s v="WA"/>
    <n v="99114"/>
    <x v="0"/>
    <x v="6"/>
    <s v="ID.4"/>
    <x v="1"/>
    <s v="Eligibility unknown as battery range has not been researched"/>
    <s v="0"/>
    <s v="0"/>
    <s v="7"/>
    <n v="238310593"/>
    <s v="POINT (-117.90454 48.54657)"/>
    <x v="9"/>
    <s v="53065950600"/>
  </r>
  <r>
    <x v="229"/>
    <x v="1"/>
    <s v="Seattle"/>
    <s v="WA"/>
    <n v="98144"/>
    <x v="0"/>
    <x v="6"/>
    <s v="ID.4"/>
    <x v="1"/>
    <s v="Eligibility unknown as battery range has not been researched"/>
    <s v="0"/>
    <s v="0"/>
    <s v="11"/>
    <n v="227495257"/>
    <s v="POINT (-122.30866 47.57874)"/>
    <x v="4"/>
    <s v="53033010002"/>
  </r>
  <r>
    <x v="229"/>
    <x v="1"/>
    <s v="Seattle"/>
    <s v="WA"/>
    <n v="98107"/>
    <x v="0"/>
    <x v="6"/>
    <s v="ID.4"/>
    <x v="1"/>
    <s v="Eligibility unknown as battery range has not been researched"/>
    <s v="0"/>
    <s v="0"/>
    <s v="43"/>
    <n v="229529002"/>
    <s v="POINT (-122.38591 47.67597)"/>
    <x v="4"/>
    <s v="53033004800"/>
  </r>
  <r>
    <x v="230"/>
    <x v="1"/>
    <s v="Seattle"/>
    <s v="WA"/>
    <n v="98126"/>
    <x v="4"/>
    <x v="6"/>
    <s v="ID.4"/>
    <x v="1"/>
    <s v="Eligibility unknown as battery range has not been researched"/>
    <s v="0"/>
    <s v="0"/>
    <s v="34"/>
    <n v="282881868"/>
    <s v="POINT (-122.36893 47.54701)"/>
    <x v="4"/>
    <s v="53033010701"/>
  </r>
  <r>
    <x v="231"/>
    <x v="25"/>
    <s v="Ellensburg"/>
    <s v="WA"/>
    <n v="98926"/>
    <x v="0"/>
    <x v="6"/>
    <s v="ID.4"/>
    <x v="1"/>
    <s v="Eligibility unknown as battery range has not been researched"/>
    <s v="0"/>
    <s v="0"/>
    <s v="13"/>
    <n v="227158753"/>
    <s v="POINT (-120.54872 46.99703)"/>
    <x v="0"/>
    <s v="53037975202"/>
  </r>
  <r>
    <x v="232"/>
    <x v="2"/>
    <s v="Snohomish"/>
    <s v="WA"/>
    <n v="98290"/>
    <x v="0"/>
    <x v="6"/>
    <s v="ID.4"/>
    <x v="1"/>
    <s v="Eligibility unknown as battery range has not been researched"/>
    <s v="0"/>
    <s v="0"/>
    <s v="39"/>
    <n v="227292726"/>
    <s v="POINT (-122.09305 47.91265)"/>
    <x v="0"/>
    <s v="53061052105"/>
  </r>
  <r>
    <x v="233"/>
    <x v="0"/>
    <s v="Poulsbo"/>
    <s v="WA"/>
    <n v="98370"/>
    <x v="0"/>
    <x v="6"/>
    <s v="ID.4"/>
    <x v="1"/>
    <s v="Eligibility unknown as battery range has not been researched"/>
    <s v="0"/>
    <s v="0"/>
    <s v="23"/>
    <n v="278610685"/>
    <s v="POINT (-122.64681 47.73689)"/>
    <x v="0"/>
    <s v="53035091100"/>
  </r>
  <r>
    <x v="234"/>
    <x v="2"/>
    <s v="Snohomish"/>
    <s v="WA"/>
    <n v="98296"/>
    <x v="0"/>
    <x v="6"/>
    <s v="ID.4"/>
    <x v="1"/>
    <s v="Eligibility unknown as battery range has not been researched"/>
    <s v="0"/>
    <s v="0"/>
    <s v="1"/>
    <n v="227306278"/>
    <s v="POINT (-122.1389 47.87115)"/>
    <x v="0"/>
    <s v="53061052114"/>
  </r>
  <r>
    <x v="235"/>
    <x v="7"/>
    <s v="Rainier"/>
    <s v="WA"/>
    <n v="98576"/>
    <x v="0"/>
    <x v="6"/>
    <s v="ID.4"/>
    <x v="1"/>
    <s v="Eligibility unknown as battery range has not been researched"/>
    <s v="0"/>
    <s v="0"/>
    <s v="2"/>
    <n v="224613721"/>
    <s v="POINT (-122.68993 46.88897)"/>
    <x v="0"/>
    <s v="53067012530"/>
  </r>
  <r>
    <x v="236"/>
    <x v="1"/>
    <s v="Seattle"/>
    <s v="WA"/>
    <n v="98199"/>
    <x v="0"/>
    <x v="6"/>
    <s v="ID.4"/>
    <x v="1"/>
    <s v="Eligibility unknown as battery range has not been researched"/>
    <s v="0"/>
    <s v="0"/>
    <s v="36"/>
    <n v="264697331"/>
    <s v="POINT (-122.40092 47.65908)"/>
    <x v="4"/>
    <s v="53033005801"/>
  </r>
  <r>
    <x v="237"/>
    <x v="1"/>
    <s v="Renton"/>
    <s v="WA"/>
    <n v="98055"/>
    <x v="0"/>
    <x v="6"/>
    <s v="ID.4"/>
    <x v="1"/>
    <s v="Eligibility unknown as battery range has not been researched"/>
    <s v="0"/>
    <s v="0"/>
    <s v="11"/>
    <n v="255107247"/>
    <s v="POINT (-122.20784 47.46004)"/>
    <x v="1"/>
    <s v="53033025805"/>
  </r>
  <r>
    <x v="238"/>
    <x v="1"/>
    <s v="Sammamish"/>
    <s v="WA"/>
    <n v="98075"/>
    <x v="0"/>
    <x v="6"/>
    <s v="ID.4"/>
    <x v="1"/>
    <s v="Eligibility unknown as battery range has not been researched"/>
    <s v="0"/>
    <s v="0"/>
    <s v="41"/>
    <n v="244211544"/>
    <s v="POINT (-122.03539 47.61344)"/>
    <x v="1"/>
    <s v="53033032218"/>
  </r>
  <r>
    <x v="239"/>
    <x v="1"/>
    <s v="Kirkland"/>
    <s v="WA"/>
    <n v="98033"/>
    <x v="0"/>
    <x v="6"/>
    <s v="ID.4"/>
    <x v="1"/>
    <s v="Eligibility unknown as battery range has not been researched"/>
    <s v="0"/>
    <s v="0"/>
    <s v="48"/>
    <n v="262801101"/>
    <s v="POINT (-122.2066 47.67887)"/>
    <x v="1"/>
    <s v="53033022702"/>
  </r>
  <r>
    <x v="240"/>
    <x v="1"/>
    <s v="Woodinville"/>
    <s v="WA"/>
    <n v="98072"/>
    <x v="4"/>
    <x v="6"/>
    <s v="ID.4"/>
    <x v="1"/>
    <s v="Eligibility unknown as battery range has not been researched"/>
    <s v="0"/>
    <s v="0"/>
    <s v="45"/>
    <n v="284787807"/>
    <s v="POINT (-122.15545 47.75448)"/>
    <x v="1"/>
    <s v="53033032320"/>
  </r>
  <r>
    <x v="241"/>
    <x v="1"/>
    <s v="Kirkland"/>
    <s v="WA"/>
    <n v="98034"/>
    <x v="3"/>
    <x v="6"/>
    <s v="ID.4"/>
    <x v="1"/>
    <s v="Eligibility unknown as battery range has not been researched"/>
    <s v="0"/>
    <s v="0"/>
    <s v="1"/>
    <n v="276206934"/>
    <s v="POINT (-122.22901 47.72201)"/>
    <x v="1"/>
    <s v="53033022203"/>
  </r>
  <r>
    <x v="242"/>
    <x v="1"/>
    <s v="Mercer Island"/>
    <s v="WA"/>
    <n v="98040"/>
    <x v="3"/>
    <x v="6"/>
    <s v="ID.4"/>
    <x v="1"/>
    <s v="Eligibility unknown as battery range has not been researched"/>
    <s v="0"/>
    <s v="0"/>
    <s v="41"/>
    <n v="278341654"/>
    <s v="POINT (-122.21238 47.57816)"/>
    <x v="1"/>
    <s v="53033024400"/>
  </r>
  <r>
    <x v="243"/>
    <x v="1"/>
    <s v="Seattle"/>
    <s v="WA"/>
    <n v="98107"/>
    <x v="3"/>
    <x v="6"/>
    <s v="ID.4"/>
    <x v="1"/>
    <s v="Eligibility unknown as battery range has not been researched"/>
    <s v="0"/>
    <s v="0"/>
    <s v="36"/>
    <n v="271869587"/>
    <s v="POINT (-122.38591 47.67597)"/>
    <x v="4"/>
    <s v="53033003201"/>
  </r>
  <r>
    <x v="244"/>
    <x v="6"/>
    <s v="Lake Tapps"/>
    <s v="WA"/>
    <n v="98391"/>
    <x v="3"/>
    <x v="7"/>
    <s v="CHARGER"/>
    <x v="1"/>
    <s v="Eligibility unknown as battery range has not been researched"/>
    <s v="0"/>
    <s v="0"/>
    <s v="31"/>
    <n v="279092586"/>
    <s v="POINT (-122.17144 47.19175)"/>
    <x v="1"/>
    <s v="53053070313"/>
  </r>
  <r>
    <x v="245"/>
    <x v="8"/>
    <s v="Centralia"/>
    <s v="WA"/>
    <n v="98531"/>
    <x v="0"/>
    <x v="8"/>
    <s v="PACIFICA"/>
    <x v="0"/>
    <s v="Clean Alternative Fuel Vehicle Eligible"/>
    <s v="32"/>
    <s v="0"/>
    <s v="20"/>
    <n v="252342170"/>
    <s v="POINT (-122.95266 46.72895)"/>
    <x v="6"/>
    <s v="53041970700"/>
  </r>
  <r>
    <x v="246"/>
    <x v="1"/>
    <s v="Kirkland"/>
    <s v="WA"/>
    <n v="98034"/>
    <x v="10"/>
    <x v="8"/>
    <s v="PACIFICA"/>
    <x v="0"/>
    <s v="Clean Alternative Fuel Vehicle Eligible"/>
    <s v="33"/>
    <s v="0"/>
    <s v="1"/>
    <n v="348313948"/>
    <s v="POINT (-122.22901 47.72201)"/>
    <x v="1"/>
    <s v="53033022300"/>
  </r>
  <r>
    <x v="247"/>
    <x v="1"/>
    <s v="Maple Valley"/>
    <s v="WA"/>
    <n v="98038"/>
    <x v="1"/>
    <x v="8"/>
    <s v="PACIFICA"/>
    <x v="0"/>
    <s v="Clean Alternative Fuel Vehicle Eligible"/>
    <s v="32"/>
    <s v="0"/>
    <s v="5"/>
    <n v="258068261"/>
    <s v="POINT (-122.04526 47.39394)"/>
    <x v="1"/>
    <s v="53033032008"/>
  </r>
  <r>
    <x v="248"/>
    <x v="8"/>
    <s v="Centralia"/>
    <s v="WA"/>
    <n v="98531"/>
    <x v="0"/>
    <x v="8"/>
    <s v="PACIFICA"/>
    <x v="0"/>
    <s v="Clean Alternative Fuel Vehicle Eligible"/>
    <s v="32"/>
    <s v="0"/>
    <s v="20"/>
    <n v="252438007"/>
    <s v="POINT (-122.95266 46.72895)"/>
    <x v="6"/>
    <s v="53041970700"/>
  </r>
  <r>
    <x v="249"/>
    <x v="7"/>
    <s v="Olympia"/>
    <s v="WA"/>
    <n v="98506"/>
    <x v="10"/>
    <x v="8"/>
    <s v="PACIFICA"/>
    <x v="0"/>
    <s v="Clean Alternative Fuel Vehicle Eligible"/>
    <s v="33"/>
    <s v="0"/>
    <s v="22"/>
    <n v="120816958"/>
    <s v="POINT (-122.87741 47.05997)"/>
    <x v="0"/>
    <s v="53067010200"/>
  </r>
  <r>
    <x v="250"/>
    <x v="1"/>
    <s v="Lake Forest Park"/>
    <s v="WA"/>
    <n v="98155"/>
    <x v="0"/>
    <x v="8"/>
    <s v="PACIFICA"/>
    <x v="0"/>
    <s v="Clean Alternative Fuel Vehicle Eligible"/>
    <s v="32"/>
    <s v="0"/>
    <s v="46"/>
    <n v="276557592"/>
    <s v="POINT (-122.3175 47.75781)"/>
    <x v="4"/>
    <s v="53033021400"/>
  </r>
  <r>
    <x v="251"/>
    <x v="4"/>
    <s v="Vancouver"/>
    <s v="WA"/>
    <n v="98662"/>
    <x v="1"/>
    <x v="8"/>
    <s v="PACIFICA"/>
    <x v="0"/>
    <s v="Clean Alternative Fuel Vehicle Eligible"/>
    <s v="32"/>
    <s v="0"/>
    <s v="17"/>
    <n v="145848034"/>
    <s v="POINT (-122.57722 45.64251)"/>
    <x v="3"/>
    <s v="53011040806"/>
  </r>
  <r>
    <x v="252"/>
    <x v="8"/>
    <s v="Centralia"/>
    <s v="WA"/>
    <n v="98531"/>
    <x v="3"/>
    <x v="8"/>
    <s v="PACIFICA"/>
    <x v="0"/>
    <s v="Clean Alternative Fuel Vehicle Eligible"/>
    <s v="32"/>
    <s v="0"/>
    <s v="20"/>
    <n v="260196303"/>
    <s v="POINT (-122.95266 46.72895)"/>
    <x v="6"/>
    <s v="53041970700"/>
  </r>
  <r>
    <x v="253"/>
    <x v="8"/>
    <s v="Centralia"/>
    <s v="WA"/>
    <n v="98531"/>
    <x v="0"/>
    <x v="8"/>
    <s v="PACIFICA"/>
    <x v="0"/>
    <s v="Clean Alternative Fuel Vehicle Eligible"/>
    <s v="32"/>
    <s v="0"/>
    <s v="20"/>
    <n v="255154259"/>
    <s v="POINT (-122.95266 46.72895)"/>
    <x v="6"/>
    <s v="53041970700"/>
  </r>
  <r>
    <x v="254"/>
    <x v="8"/>
    <s v="Centralia"/>
    <s v="WA"/>
    <n v="98531"/>
    <x v="3"/>
    <x v="8"/>
    <s v="PACIFICA"/>
    <x v="0"/>
    <s v="Clean Alternative Fuel Vehicle Eligible"/>
    <s v="32"/>
    <s v="0"/>
    <s v="20"/>
    <n v="260565791"/>
    <s v="POINT (-122.95266 46.72895)"/>
    <x v="6"/>
    <s v="53041970700"/>
  </r>
  <r>
    <x v="255"/>
    <x v="1"/>
    <s v="Bothell"/>
    <s v="WA"/>
    <n v="98011"/>
    <x v="0"/>
    <x v="8"/>
    <s v="PACIFICA"/>
    <x v="0"/>
    <s v="Clean Alternative Fuel Vehicle Eligible"/>
    <s v="32"/>
    <s v="0"/>
    <s v="1"/>
    <n v="267335785"/>
    <s v="POINT (-122.20563 47.76144)"/>
    <x v="1"/>
    <s v="53033022001"/>
  </r>
  <r>
    <x v="256"/>
    <x v="8"/>
    <s v="Centralia"/>
    <s v="WA"/>
    <n v="98531"/>
    <x v="3"/>
    <x v="8"/>
    <s v="PACIFICA"/>
    <x v="0"/>
    <s v="Clean Alternative Fuel Vehicle Eligible"/>
    <s v="32"/>
    <s v="0"/>
    <s v="20"/>
    <n v="264498825"/>
    <s v="POINT (-122.95266 46.72895)"/>
    <x v="6"/>
    <s v="53041970700"/>
  </r>
  <r>
    <x v="257"/>
    <x v="4"/>
    <s v="Vancouver"/>
    <s v="WA"/>
    <n v="98662"/>
    <x v="4"/>
    <x v="8"/>
    <s v="PACIFICA"/>
    <x v="0"/>
    <s v="Clean Alternative Fuel Vehicle Eligible"/>
    <s v="32"/>
    <s v="0"/>
    <s v="49"/>
    <n v="281415102"/>
    <s v="POINT (-122.57722 45.64251)"/>
    <x v="3"/>
    <s v="53011041113"/>
  </r>
  <r>
    <x v="258"/>
    <x v="8"/>
    <s v="Centralia"/>
    <s v="WA"/>
    <n v="98531"/>
    <x v="3"/>
    <x v="8"/>
    <s v="PACIFICA"/>
    <x v="0"/>
    <s v="Clean Alternative Fuel Vehicle Eligible"/>
    <s v="32"/>
    <s v="0"/>
    <s v="20"/>
    <n v="282370658"/>
    <s v="POINT (-122.95266 46.72895)"/>
    <x v="6"/>
    <s v="53041970700"/>
  </r>
  <r>
    <x v="259"/>
    <x v="0"/>
    <s v="Poulsbo"/>
    <s v="WA"/>
    <n v="98370"/>
    <x v="6"/>
    <x v="9"/>
    <s v="RAV4"/>
    <x v="1"/>
    <s v="Clean Alternative Fuel Vehicle Eligible"/>
    <s v="103"/>
    <s v="0"/>
    <s v="23"/>
    <n v="238110743"/>
    <s v="POINT (-122.64681 47.73689)"/>
    <x v="0"/>
    <s v="53035940100"/>
  </r>
  <r>
    <x v="260"/>
    <x v="0"/>
    <s v="Poulsbo"/>
    <s v="WA"/>
    <n v="98370"/>
    <x v="7"/>
    <x v="10"/>
    <s v="500"/>
    <x v="1"/>
    <s v="Clean Alternative Fuel Vehicle Eligible"/>
    <s v="87"/>
    <s v="0"/>
    <s v="23"/>
    <n v="152129295"/>
    <s v="POINT (-122.64681 47.73689)"/>
    <x v="0"/>
    <s v="53035091100"/>
  </r>
  <r>
    <x v="260"/>
    <x v="2"/>
    <s v="Marysville"/>
    <s v="WA"/>
    <n v="98270"/>
    <x v="7"/>
    <x v="10"/>
    <s v="500"/>
    <x v="1"/>
    <s v="Clean Alternative Fuel Vehicle Eligible"/>
    <s v="87"/>
    <s v="0"/>
    <s v="44"/>
    <n v="202116554"/>
    <s v="POINT (-122.1769 48.06114)"/>
    <x v="0"/>
    <s v="53061052707"/>
  </r>
  <r>
    <x v="261"/>
    <x v="22"/>
    <s v="Bellingham"/>
    <s v="WA"/>
    <n v="98226"/>
    <x v="6"/>
    <x v="10"/>
    <s v="500"/>
    <x v="1"/>
    <s v="Clean Alternative Fuel Vehicle Eligible"/>
    <s v="87"/>
    <s v="0"/>
    <s v="42"/>
    <n v="321901429"/>
    <s v="POINT (-122.49756 48.7999)"/>
    <x v="23"/>
    <s v="53073010702"/>
  </r>
  <r>
    <x v="262"/>
    <x v="1"/>
    <s v="Seattle"/>
    <s v="WA"/>
    <n v="98126"/>
    <x v="8"/>
    <x v="10"/>
    <s v="500"/>
    <x v="1"/>
    <s v="Clean Alternative Fuel Vehicle Eligible"/>
    <s v="87"/>
    <s v="0"/>
    <s v="34"/>
    <n v="193038667"/>
    <s v="POINT (-122.36893 47.54701)"/>
    <x v="4"/>
    <s v="53033009900"/>
  </r>
  <r>
    <x v="263"/>
    <x v="1"/>
    <s v="Seattle"/>
    <s v="WA"/>
    <n v="98121"/>
    <x v="5"/>
    <x v="10"/>
    <s v="500"/>
    <x v="1"/>
    <s v="Clean Alternative Fuel Vehicle Eligible"/>
    <s v="84"/>
    <s v="0"/>
    <s v="36"/>
    <n v="3397474"/>
    <s v="POINT (-122.34468 47.61578)"/>
    <x v="4"/>
    <s v="53033007202"/>
  </r>
  <r>
    <x v="264"/>
    <x v="1"/>
    <s v="Seattle"/>
    <s v="WA"/>
    <n v="98117"/>
    <x v="7"/>
    <x v="10"/>
    <s v="500"/>
    <x v="1"/>
    <s v="Clean Alternative Fuel Vehicle Eligible"/>
    <s v="87"/>
    <s v="0"/>
    <s v="36"/>
    <n v="118764411"/>
    <s v="POINT (-122.38418 47.70044)"/>
    <x v="4"/>
    <s v="53033003000"/>
  </r>
  <r>
    <x v="265"/>
    <x v="1"/>
    <s v="Seattle"/>
    <s v="WA"/>
    <n v="98112"/>
    <x v="8"/>
    <x v="10"/>
    <s v="500"/>
    <x v="1"/>
    <s v="Clean Alternative Fuel Vehicle Eligible"/>
    <s v="87"/>
    <s v="0"/>
    <s v="37"/>
    <n v="233893656"/>
    <s v="POINT (-122.30207 47.64085)"/>
    <x v="4"/>
    <s v="53033007700"/>
  </r>
  <r>
    <x v="266"/>
    <x v="2"/>
    <s v="Bothell"/>
    <s v="WA"/>
    <n v="98021"/>
    <x v="10"/>
    <x v="10"/>
    <s v="500"/>
    <x v="1"/>
    <s v="Clean Alternative Fuel Vehicle Eligible"/>
    <s v="84"/>
    <s v="0"/>
    <s v="1"/>
    <n v="181354484"/>
    <s v="POINT (-122.18384 47.8031)"/>
    <x v="0"/>
    <s v="53061051916"/>
  </r>
  <r>
    <x v="267"/>
    <x v="15"/>
    <s v="Spokane"/>
    <s v="WA"/>
    <n v="99202"/>
    <x v="7"/>
    <x v="10"/>
    <s v="500"/>
    <x v="1"/>
    <s v="Clean Alternative Fuel Vehicle Eligible"/>
    <s v="87"/>
    <s v="0"/>
    <s v="3"/>
    <n v="258248371"/>
    <s v="POINT (-117.3797 47.65548)"/>
    <x v="15"/>
    <s v="53063002600"/>
  </r>
  <r>
    <x v="268"/>
    <x v="1"/>
    <s v="Kirkland"/>
    <s v="WA"/>
    <n v="98033"/>
    <x v="8"/>
    <x v="10"/>
    <s v="500"/>
    <x v="1"/>
    <s v="Clean Alternative Fuel Vehicle Eligible"/>
    <s v="87"/>
    <s v="0"/>
    <s v="48"/>
    <n v="4574055"/>
    <s v="POINT (-122.2066 47.67887)"/>
    <x v="1"/>
    <s v="53033022702"/>
  </r>
  <r>
    <x v="269"/>
    <x v="1"/>
    <s v="Auburn"/>
    <s v="WA"/>
    <n v="98001"/>
    <x v="4"/>
    <x v="0"/>
    <s v="WAGONEER S"/>
    <x v="1"/>
    <s v="Eligibility unknown as battery range has not been researched"/>
    <s v="0"/>
    <s v="0"/>
    <s v="30"/>
    <n v="280717993"/>
    <s v="POINT (-122.23035 47.3074)"/>
    <x v="1"/>
    <s v="53033029805"/>
  </r>
  <r>
    <x v="270"/>
    <x v="1"/>
    <s v="Seattle"/>
    <s v="WA"/>
    <n v="98108"/>
    <x v="3"/>
    <x v="11"/>
    <s v="PROMASTER 3500"/>
    <x v="1"/>
    <s v="Eligibility unknown as battery range has not been researched"/>
    <s v="0"/>
    <s v="0"/>
    <s v="11"/>
    <n v="277058127"/>
    <s v="POINT (-122.30346 47.55379)"/>
    <x v="4"/>
    <s v="53033010900"/>
  </r>
  <r>
    <x v="271"/>
    <x v="7"/>
    <s v="Tenino"/>
    <s v="WA"/>
    <n v="98589"/>
    <x v="5"/>
    <x v="1"/>
    <s v="FUSION"/>
    <x v="0"/>
    <s v="Not eligible due to low battery range"/>
    <s v="19"/>
    <s v="0"/>
    <s v="20"/>
    <n v="113085374"/>
    <s v="POINT (-122.85135 46.85752)"/>
    <x v="0"/>
    <s v="53067012610"/>
  </r>
  <r>
    <x v="272"/>
    <x v="2"/>
    <s v="Everett"/>
    <s v="WA"/>
    <n v="98208"/>
    <x v="7"/>
    <x v="1"/>
    <s v="FUSION"/>
    <x v="0"/>
    <s v="Not eligible due to low battery range"/>
    <s v="19"/>
    <s v="0"/>
    <s v="21"/>
    <n v="198503518"/>
    <s v="POINT (-122.18637 47.89251)"/>
    <x v="0"/>
    <s v="53061041814"/>
  </r>
  <r>
    <x v="273"/>
    <x v="7"/>
    <s v="Olympia"/>
    <s v="WA"/>
    <n v="98513"/>
    <x v="6"/>
    <x v="1"/>
    <s v="FUSION"/>
    <x v="0"/>
    <s v="Not eligible due to low battery range"/>
    <s v="19"/>
    <s v="0"/>
    <s v="2"/>
    <n v="292104270"/>
    <s v="POINT (-122.81754 46.98876)"/>
    <x v="0"/>
    <s v="53067012420"/>
  </r>
  <r>
    <x v="274"/>
    <x v="12"/>
    <s v="Nine Mile Falls"/>
    <s v="WA"/>
    <n v="99026"/>
    <x v="9"/>
    <x v="1"/>
    <s v="FUSION"/>
    <x v="0"/>
    <s v="Not eligible due to low battery range"/>
    <s v="21"/>
    <s v="0"/>
    <s v="7"/>
    <n v="198316303"/>
    <s v="POINT (-117.54392 47.77676)"/>
    <x v="26"/>
    <s v="53065951402"/>
  </r>
  <r>
    <x v="275"/>
    <x v="1"/>
    <s v="Bellevue"/>
    <s v="WA"/>
    <n v="98007"/>
    <x v="5"/>
    <x v="1"/>
    <s v="FUSION"/>
    <x v="0"/>
    <s v="Not eligible due to low battery range"/>
    <s v="19"/>
    <s v="0"/>
    <s v="48"/>
    <n v="266918942"/>
    <s v="POINT (-122.12056 47.61334)"/>
    <x v="1"/>
    <s v="53033023201"/>
  </r>
  <r>
    <x v="276"/>
    <x v="2"/>
    <s v="Lynnwood"/>
    <s v="WA"/>
    <n v="98087"/>
    <x v="12"/>
    <x v="1"/>
    <s v="FUSION"/>
    <x v="0"/>
    <s v="Not eligible due to low battery range"/>
    <s v="26"/>
    <s v="0"/>
    <s v="21"/>
    <n v="190171243"/>
    <s v="POINT (-122.27981 47.85727)"/>
    <x v="0"/>
    <s v="53061041812"/>
  </r>
  <r>
    <x v="277"/>
    <x v="22"/>
    <s v="Bellingham"/>
    <s v="WA"/>
    <n v="98229"/>
    <x v="8"/>
    <x v="1"/>
    <s v="FUSION"/>
    <x v="0"/>
    <s v="Not eligible due to low battery range"/>
    <s v="19"/>
    <s v="0"/>
    <s v="40"/>
    <n v="476608940"/>
    <s v="POINT (-122.45486 48.7449)"/>
    <x v="23"/>
    <s v="53073000700"/>
  </r>
  <r>
    <x v="278"/>
    <x v="7"/>
    <s v="Lacey"/>
    <s v="WA"/>
    <n v="98503"/>
    <x v="6"/>
    <x v="1"/>
    <s v="FUSION"/>
    <x v="0"/>
    <s v="Not eligible due to low battery range"/>
    <s v="19"/>
    <s v="0"/>
    <s v="22"/>
    <n v="6566206"/>
    <s v="POINT (-122.82324 47.04437)"/>
    <x v="0"/>
    <s v="53067011410"/>
  </r>
  <r>
    <x v="279"/>
    <x v="1"/>
    <s v="Duvall"/>
    <s v="WA"/>
    <n v="98019"/>
    <x v="8"/>
    <x v="1"/>
    <s v="FUSION"/>
    <x v="0"/>
    <s v="Not eligible due to low battery range"/>
    <s v="19"/>
    <s v="0"/>
    <s v="45"/>
    <n v="274576074"/>
    <s v="POINT (-121.98609 47.74068)"/>
    <x v="1"/>
    <s v="53033032402"/>
  </r>
  <r>
    <x v="280"/>
    <x v="0"/>
    <s v="Bainbridge Island"/>
    <s v="WA"/>
    <n v="98110"/>
    <x v="1"/>
    <x v="1"/>
    <s v="MUSTANG MACH-E"/>
    <x v="1"/>
    <s v="Eligibility unknown as battery range has not been researched"/>
    <s v="0"/>
    <s v="0"/>
    <s v="23"/>
    <n v="238768162"/>
    <s v="POINT (-122.521 47.62732)"/>
    <x v="0"/>
    <s v="53035090800"/>
  </r>
  <r>
    <x v="281"/>
    <x v="3"/>
    <s v="Yakima"/>
    <s v="WA"/>
    <n v="98902"/>
    <x v="3"/>
    <x v="1"/>
    <s v="MUSTANG MACH-E"/>
    <x v="1"/>
    <s v="Eligibility unknown as battery range has not been researched"/>
    <s v="0"/>
    <s v="0"/>
    <s v="14"/>
    <n v="279947797"/>
    <s v="POINT (-120.51904 46.59783)"/>
    <x v="2"/>
    <s v="53077000500"/>
  </r>
  <r>
    <x v="282"/>
    <x v="23"/>
    <s v="Richland"/>
    <s v="WA"/>
    <n v="99354"/>
    <x v="2"/>
    <x v="1"/>
    <s v="MUSTANG MACH-E"/>
    <x v="1"/>
    <s v="Eligibility unknown as battery range has not been researched"/>
    <s v="0"/>
    <s v="0"/>
    <s v="8"/>
    <n v="216596103"/>
    <s v="POINT (-119.26844 46.31484)"/>
    <x v="24"/>
    <s v="53005010100"/>
  </r>
  <r>
    <x v="283"/>
    <x v="6"/>
    <s v="Tacoma"/>
    <s v="WA"/>
    <n v="98406"/>
    <x v="0"/>
    <x v="1"/>
    <s v="MUSTANG MACH-E"/>
    <x v="1"/>
    <s v="Eligibility unknown as battery range has not been researched"/>
    <s v="0"/>
    <s v="0"/>
    <s v="28"/>
    <n v="228367450"/>
    <s v="POINT (-122.52082 47.26887)"/>
    <x v="11"/>
    <s v="53053060908"/>
  </r>
  <r>
    <x v="284"/>
    <x v="1"/>
    <s v="Issaquah"/>
    <s v="WA"/>
    <n v="98029"/>
    <x v="0"/>
    <x v="1"/>
    <s v="MUSTANG MACH-E"/>
    <x v="1"/>
    <s v="Eligibility unknown as battery range has not been researched"/>
    <s v="0"/>
    <s v="0"/>
    <s v="5"/>
    <n v="251102456"/>
    <s v="POINT (-122.00292 47.54748)"/>
    <x v="1"/>
    <s v="53033032220"/>
  </r>
  <r>
    <x v="284"/>
    <x v="1"/>
    <s v="Seattle"/>
    <s v="WA"/>
    <n v="98109"/>
    <x v="0"/>
    <x v="1"/>
    <s v="MUSTANG MACH-E"/>
    <x v="1"/>
    <s v="Eligibility unknown as battery range has not been researched"/>
    <s v="0"/>
    <s v="0"/>
    <s v="36"/>
    <n v="269930951"/>
    <s v="POINT (-122.35022 47.63824)"/>
    <x v="4"/>
    <s v="53033007203"/>
  </r>
  <r>
    <x v="284"/>
    <x v="1"/>
    <s v="Federal Way"/>
    <s v="WA"/>
    <n v="98023"/>
    <x v="0"/>
    <x v="1"/>
    <s v="MUSTANG MACH-E"/>
    <x v="1"/>
    <s v="Eligibility unknown as battery range has not been researched"/>
    <s v="0"/>
    <s v="0"/>
    <s v="30"/>
    <n v="281987863"/>
    <s v="POINT (-122.34059 47.32478)"/>
    <x v="1"/>
    <s v="53033030309"/>
  </r>
  <r>
    <x v="285"/>
    <x v="2"/>
    <s v="Bothell"/>
    <s v="WA"/>
    <n v="98021"/>
    <x v="2"/>
    <x v="1"/>
    <s v="MUSTANG MACH-E"/>
    <x v="1"/>
    <s v="Eligibility unknown as battery range has not been researched"/>
    <s v="0"/>
    <s v="0"/>
    <s v="1"/>
    <n v="224333567"/>
    <s v="POINT (-122.18384 47.8031)"/>
    <x v="0"/>
    <s v="53061051926"/>
  </r>
  <r>
    <x v="286"/>
    <x v="1"/>
    <s v="Seattle"/>
    <s v="WA"/>
    <n v="98144"/>
    <x v="0"/>
    <x v="1"/>
    <s v="MUSTANG MACH-E"/>
    <x v="1"/>
    <s v="Eligibility unknown as battery range has not been researched"/>
    <s v="0"/>
    <s v="0"/>
    <s v="37"/>
    <n v="260382090"/>
    <s v="POINT (-122.30866 47.57874)"/>
    <x v="4"/>
    <s v="53033008900"/>
  </r>
  <r>
    <x v="287"/>
    <x v="7"/>
    <s v="Lacey"/>
    <s v="WA"/>
    <n v="98516"/>
    <x v="0"/>
    <x v="1"/>
    <s v="MUSTANG MACH-E"/>
    <x v="1"/>
    <s v="Eligibility unknown as battery range has not been researched"/>
    <s v="0"/>
    <s v="0"/>
    <s v="22"/>
    <n v="270760227"/>
    <s v="POINT (-122.78158 47.05335)"/>
    <x v="0"/>
    <s v="53067012226"/>
  </r>
  <r>
    <x v="288"/>
    <x v="1"/>
    <s v="Snoqualmie"/>
    <s v="WA"/>
    <n v="98065"/>
    <x v="4"/>
    <x v="1"/>
    <s v="MUSTANG MACH-E"/>
    <x v="1"/>
    <s v="Eligibility unknown as battery range has not been researched"/>
    <s v="0"/>
    <s v="0"/>
    <s v="5"/>
    <n v="282417929"/>
    <s v="POINT (-121.82432 47.52716)"/>
    <x v="1"/>
    <s v="53033032603"/>
  </r>
  <r>
    <x v="289"/>
    <x v="1"/>
    <s v="Redmond"/>
    <s v="WA"/>
    <n v="98053"/>
    <x v="0"/>
    <x v="1"/>
    <s v="MUSTANG MACH-E"/>
    <x v="1"/>
    <s v="Eligibility unknown as battery range has not been researched"/>
    <s v="0"/>
    <s v="0"/>
    <s v="45"/>
    <n v="271259201"/>
    <s v="POINT (-122.03287 47.68555)"/>
    <x v="1"/>
    <s v="53033032332"/>
  </r>
  <r>
    <x v="290"/>
    <x v="6"/>
    <s v="Tacoma"/>
    <s v="WA"/>
    <n v="98407"/>
    <x v="3"/>
    <x v="1"/>
    <s v="MUSTANG MACH-E"/>
    <x v="1"/>
    <s v="Eligibility unknown as battery range has not been researched"/>
    <s v="0"/>
    <s v="0"/>
    <s v="27"/>
    <n v="278465015"/>
    <s v="POINT (-122.51134 47.29238)"/>
    <x v="11"/>
    <s v="53053060904"/>
  </r>
  <r>
    <x v="291"/>
    <x v="4"/>
    <s v="Yacolt"/>
    <s v="WA"/>
    <n v="98675"/>
    <x v="1"/>
    <x v="1"/>
    <s v="MUSTANG MACH-E"/>
    <x v="1"/>
    <s v="Eligibility unknown as battery range has not been researched"/>
    <s v="0"/>
    <s v="0"/>
    <s v="18"/>
    <n v="141763079"/>
    <s v="POINT (-122.40908 45.86679)"/>
    <x v="3"/>
    <s v="53011040504"/>
  </r>
  <r>
    <x v="292"/>
    <x v="1"/>
    <s v="Renton"/>
    <s v="WA"/>
    <n v="98058"/>
    <x v="4"/>
    <x v="1"/>
    <s v="MUSTANG MACH-E"/>
    <x v="1"/>
    <s v="Eligibility unknown as battery range has not been researched"/>
    <s v="0"/>
    <s v="0"/>
    <s v="11"/>
    <n v="283164773"/>
    <s v="POINT (-122.08747 47.4466)"/>
    <x v="1"/>
    <s v="53033025602"/>
  </r>
  <r>
    <x v="293"/>
    <x v="6"/>
    <s v="Tacoma"/>
    <s v="WA"/>
    <n v="98408"/>
    <x v="0"/>
    <x v="1"/>
    <s v="MUSTANG MACH-E"/>
    <x v="1"/>
    <s v="Eligibility unknown as battery range has not been researched"/>
    <s v="0"/>
    <s v="0"/>
    <s v="27"/>
    <n v="269566741"/>
    <s v="POINT (-122.44718 47.20144)"/>
    <x v="11"/>
    <s v="53053062502"/>
  </r>
  <r>
    <x v="294"/>
    <x v="1"/>
    <s v="Federal Way"/>
    <s v="WA"/>
    <n v="98023"/>
    <x v="1"/>
    <x v="1"/>
    <s v="MUSTANG MACH-E"/>
    <x v="1"/>
    <s v="Eligibility unknown as battery range has not been researched"/>
    <s v="0"/>
    <s v="0"/>
    <s v="30"/>
    <n v="144250802"/>
    <s v="POINT (-122.34059 47.32478)"/>
    <x v="1"/>
    <s v="53033030305"/>
  </r>
  <r>
    <x v="295"/>
    <x v="1"/>
    <s v="Snoqualmie"/>
    <s v="WA"/>
    <n v="98065"/>
    <x v="3"/>
    <x v="1"/>
    <s v="MUSTANG MACH-E"/>
    <x v="1"/>
    <s v="Eligibility unknown as battery range has not been researched"/>
    <s v="0"/>
    <s v="0"/>
    <s v="5"/>
    <n v="277021496"/>
    <s v="POINT (-121.82432 47.52716)"/>
    <x v="1"/>
    <s v="53033032605"/>
  </r>
  <r>
    <x v="296"/>
    <x v="0"/>
    <s v="Seabeck"/>
    <s v="WA"/>
    <n v="98380"/>
    <x v="1"/>
    <x v="1"/>
    <s v="MUSTANG MACH-E"/>
    <x v="1"/>
    <s v="Eligibility unknown as battery range has not been researched"/>
    <s v="0"/>
    <s v="0"/>
    <s v="35"/>
    <n v="145492714"/>
    <s v="POINT (-122.81585 47.64509)"/>
    <x v="0"/>
    <s v="53035092000"/>
  </r>
  <r>
    <x v="297"/>
    <x v="1"/>
    <s v="Burien"/>
    <s v="WA"/>
    <n v="98146"/>
    <x v="2"/>
    <x v="1"/>
    <s v="MUSTANG MACH-E"/>
    <x v="1"/>
    <s v="Eligibility unknown as battery range has not been researched"/>
    <s v="0"/>
    <s v="0"/>
    <s v="34"/>
    <n v="208673979"/>
    <s v="POINT (-122.36178 47.49408)"/>
    <x v="4"/>
    <s v="53033026700"/>
  </r>
  <r>
    <x v="298"/>
    <x v="2"/>
    <s v="Stanwood"/>
    <s v="WA"/>
    <n v="98292"/>
    <x v="3"/>
    <x v="1"/>
    <s v="MUSTANG MACH-E"/>
    <x v="1"/>
    <s v="Eligibility unknown as battery range has not been researched"/>
    <s v="0"/>
    <s v="0"/>
    <s v="10"/>
    <n v="272841439"/>
    <s v="POINT (-122.37265 48.24159)"/>
    <x v="5"/>
    <s v="53061053301"/>
  </r>
  <r>
    <x v="299"/>
    <x v="1"/>
    <s v="Seattle"/>
    <s v="WA"/>
    <n v="98109"/>
    <x v="4"/>
    <x v="1"/>
    <s v="MUSTANG MACH-E"/>
    <x v="1"/>
    <s v="Eligibility unknown as battery range has not been researched"/>
    <s v="0"/>
    <s v="0"/>
    <s v="36"/>
    <n v="282276263"/>
    <s v="POINT (-122.35022 47.63824)"/>
    <x v="4"/>
    <s v="53033007203"/>
  </r>
  <r>
    <x v="300"/>
    <x v="1"/>
    <s v="Renton"/>
    <s v="WA"/>
    <n v="98059"/>
    <x v="0"/>
    <x v="1"/>
    <s v="MUSTANG MACH-E"/>
    <x v="1"/>
    <s v="Eligibility unknown as battery range has not been researched"/>
    <s v="0"/>
    <s v="0"/>
    <s v="11"/>
    <n v="230773056"/>
    <s v="POINT (-122.16335 47.53505)"/>
    <x v="1"/>
    <s v="53033025602"/>
  </r>
  <r>
    <x v="301"/>
    <x v="5"/>
    <s v="Camano Island"/>
    <s v="WA"/>
    <n v="98282"/>
    <x v="0"/>
    <x v="1"/>
    <s v="MUSTANG MACH-E"/>
    <x v="1"/>
    <s v="Eligibility unknown as battery range has not been researched"/>
    <s v="0"/>
    <s v="0"/>
    <s v="10"/>
    <n v="260123132"/>
    <s v="POINT (-122.40049 48.23986)"/>
    <x v="5"/>
    <s v="53029971700"/>
  </r>
  <r>
    <x v="302"/>
    <x v="1"/>
    <s v="Renton"/>
    <s v="WA"/>
    <n v="98057"/>
    <x v="3"/>
    <x v="1"/>
    <s v="MUSTANG MACH-E"/>
    <x v="1"/>
    <s v="Eligibility unknown as battery range has not been researched"/>
    <s v="0"/>
    <s v="0"/>
    <s v="11"/>
    <n v="265967929"/>
    <s v="POINT (-122.20489 47.47532)"/>
    <x v="1"/>
    <s v="53033026200"/>
  </r>
  <r>
    <x v="303"/>
    <x v="1"/>
    <s v="Redmond"/>
    <s v="WA"/>
    <n v="98052"/>
    <x v="0"/>
    <x v="1"/>
    <s v="MUSTANG MACH-E"/>
    <x v="1"/>
    <s v="Eligibility unknown as battery range has not been researched"/>
    <s v="0"/>
    <s v="0"/>
    <s v="45"/>
    <n v="260577047"/>
    <s v="POINT (-122.13158 47.67858)"/>
    <x v="1"/>
    <s v="53033032330"/>
  </r>
  <r>
    <x v="304"/>
    <x v="1"/>
    <s v="Auburn"/>
    <s v="WA"/>
    <n v="98092"/>
    <x v="0"/>
    <x v="1"/>
    <s v="MUSTANG MACH-E"/>
    <x v="1"/>
    <s v="Eligibility unknown as battery range has not been researched"/>
    <s v="0"/>
    <s v="0"/>
    <s v="31"/>
    <n v="267855745"/>
    <s v="POINT (-122.18497 47.28825)"/>
    <x v="1"/>
    <s v="53033031204"/>
  </r>
  <r>
    <x v="305"/>
    <x v="1"/>
    <s v="Snoqualmie"/>
    <s v="WA"/>
    <n v="98065"/>
    <x v="4"/>
    <x v="1"/>
    <s v="MUSTANG MACH-E"/>
    <x v="1"/>
    <s v="Eligibility unknown as battery range has not been researched"/>
    <s v="0"/>
    <s v="0"/>
    <s v="5"/>
    <n v="283332416"/>
    <s v="POINT (-121.82432 47.52716)"/>
    <x v="1"/>
    <s v="53033032603"/>
  </r>
  <r>
    <x v="306"/>
    <x v="0"/>
    <s v="Bainbridge Island"/>
    <s v="WA"/>
    <n v="98110"/>
    <x v="3"/>
    <x v="1"/>
    <s v="MUSTANG MACH-E"/>
    <x v="1"/>
    <s v="Eligibility unknown as battery range has not been researched"/>
    <s v="0"/>
    <s v="0"/>
    <s v="23"/>
    <n v="272737146"/>
    <s v="POINT (-122.521 47.62732)"/>
    <x v="0"/>
    <s v="53035090700"/>
  </r>
  <r>
    <x v="307"/>
    <x v="1"/>
    <s v="Seattle"/>
    <s v="WA"/>
    <n v="98116"/>
    <x v="4"/>
    <x v="1"/>
    <s v="MUSTANG MACH-E"/>
    <x v="1"/>
    <s v="Eligibility unknown as battery range has not been researched"/>
    <s v="0"/>
    <s v="0"/>
    <s v="34"/>
    <n v="282394654"/>
    <s v="POINT (-122.41067 47.57894)"/>
    <x v="4"/>
    <s v="53033009801"/>
  </r>
  <r>
    <x v="308"/>
    <x v="1"/>
    <s v="Kirkland"/>
    <s v="WA"/>
    <n v="98034"/>
    <x v="4"/>
    <x v="2"/>
    <s v="EQUINOX"/>
    <x v="1"/>
    <s v="Eligibility unknown as battery range has not been researched"/>
    <s v="0"/>
    <s v="0"/>
    <s v="45"/>
    <n v="284767171"/>
    <s v="POINT (-122.22901 47.72201)"/>
    <x v="1"/>
    <s v="53033021904"/>
  </r>
  <r>
    <x v="309"/>
    <x v="6"/>
    <s v="Spanaway"/>
    <s v="WA"/>
    <n v="98387"/>
    <x v="4"/>
    <x v="2"/>
    <s v="EQUINOX"/>
    <x v="1"/>
    <s v="Eligibility unknown as battery range has not been researched"/>
    <s v="0"/>
    <s v="0"/>
    <s v="29"/>
    <n v="284722105"/>
    <s v="POINT (-122.41046 47.06512)"/>
    <x v="11"/>
    <s v="53053071411"/>
  </r>
  <r>
    <x v="310"/>
    <x v="2"/>
    <s v="Bothell"/>
    <s v="WA"/>
    <n v="98012"/>
    <x v="3"/>
    <x v="2"/>
    <s v="EQUINOX"/>
    <x v="1"/>
    <s v="Eligibility unknown as battery range has not been researched"/>
    <s v="0"/>
    <s v="0"/>
    <s v="1"/>
    <n v="273364829"/>
    <s v="POINT (-122.21061 47.83448)"/>
    <x v="0"/>
    <s v="53061052107"/>
  </r>
  <r>
    <x v="311"/>
    <x v="1"/>
    <s v="Auburn"/>
    <s v="WA"/>
    <n v="98001"/>
    <x v="3"/>
    <x v="2"/>
    <s v="BLAZER"/>
    <x v="1"/>
    <s v="Eligibility unknown as battery range has not been researched"/>
    <s v="0"/>
    <s v="0"/>
    <s v="47"/>
    <n v="262396543"/>
    <s v="POINT (-122.23035 47.3074)"/>
    <x v="1"/>
    <s v="53033029902"/>
  </r>
  <r>
    <x v="312"/>
    <x v="1"/>
    <s v="Seattle"/>
    <s v="WA"/>
    <n v="98136"/>
    <x v="3"/>
    <x v="2"/>
    <s v="BLAZER"/>
    <x v="1"/>
    <s v="Eligibility unknown as battery range has not been researched"/>
    <s v="0"/>
    <s v="0"/>
    <s v="34"/>
    <n v="275113534"/>
    <s v="POINT (-122.38415 47.53755)"/>
    <x v="4"/>
    <s v="53033011601"/>
  </r>
  <r>
    <x v="313"/>
    <x v="1"/>
    <s v="Redmond"/>
    <s v="WA"/>
    <n v="98052"/>
    <x v="3"/>
    <x v="2"/>
    <s v="BLAZER"/>
    <x v="1"/>
    <s v="Eligibility unknown as battery range has not been researched"/>
    <s v="0"/>
    <s v="0"/>
    <s v="45"/>
    <n v="280938591"/>
    <s v="POINT (-122.13158 47.67858)"/>
    <x v="1"/>
    <s v="53033032323"/>
  </r>
  <r>
    <x v="314"/>
    <x v="6"/>
    <s v="Joint Base Lewis Mcchord"/>
    <s v="WA"/>
    <n v="98433"/>
    <x v="3"/>
    <x v="12"/>
    <s v="PROLOGUE"/>
    <x v="1"/>
    <s v="Eligibility unknown as battery range has not been researched"/>
    <s v="0"/>
    <s v="0"/>
    <s v="28"/>
    <n v="276909559"/>
    <s v="POINT (-122.60761 47.08798)"/>
    <x v="1"/>
    <s v="53053072907"/>
  </r>
  <r>
    <x v="315"/>
    <x v="25"/>
    <s v="Ellensburg"/>
    <s v="WA"/>
    <n v="98926"/>
    <x v="4"/>
    <x v="12"/>
    <s v="PROLOGUE"/>
    <x v="1"/>
    <s v="Eligibility unknown as battery range has not been researched"/>
    <s v="0"/>
    <s v="0"/>
    <s v="13"/>
    <n v="283439915"/>
    <s v="POINT (-120.54872 46.99703)"/>
    <x v="0"/>
    <s v="53037975202"/>
  </r>
  <r>
    <x v="316"/>
    <x v="1"/>
    <s v="Kent"/>
    <s v="WA"/>
    <n v="98031"/>
    <x v="3"/>
    <x v="12"/>
    <s v="PROLOGUE"/>
    <x v="1"/>
    <s v="Eligibility unknown as battery range has not been researched"/>
    <s v="0"/>
    <s v="0"/>
    <s v="47"/>
    <n v="272540852"/>
    <s v="POINT (-122.17743 47.41185)"/>
    <x v="1"/>
    <s v="53033029403"/>
  </r>
  <r>
    <x v="317"/>
    <x v="1"/>
    <s v="Sammamish"/>
    <s v="WA"/>
    <n v="98074"/>
    <x v="4"/>
    <x v="12"/>
    <s v="PROLOGUE"/>
    <x v="1"/>
    <s v="Eligibility unknown as battery range has not been researched"/>
    <s v="0"/>
    <s v="0"/>
    <s v="45"/>
    <n v="284444625"/>
    <s v="POINT (-122.02054 47.60326)"/>
    <x v="1"/>
    <s v="53033032318"/>
  </r>
  <r>
    <x v="318"/>
    <x v="3"/>
    <s v="Yakima"/>
    <s v="WA"/>
    <n v="98902"/>
    <x v="3"/>
    <x v="12"/>
    <s v="PROLOGUE"/>
    <x v="1"/>
    <s v="Eligibility unknown as battery range has not been researched"/>
    <s v="0"/>
    <s v="0"/>
    <s v="14"/>
    <n v="267936700"/>
    <s v="POINT (-120.51904 46.59783)"/>
    <x v="2"/>
    <s v="53077000800"/>
  </r>
  <r>
    <x v="319"/>
    <x v="1"/>
    <s v="Bellevue"/>
    <s v="WA"/>
    <n v="98005"/>
    <x v="4"/>
    <x v="4"/>
    <s v="OPTIQ"/>
    <x v="1"/>
    <s v="Eligibility unknown as battery range has not been researched"/>
    <s v="0"/>
    <s v="0"/>
    <s v="48"/>
    <n v="284554273"/>
    <s v="POINT (-122.1621 47.64441)"/>
    <x v="1"/>
    <s v="53033023702"/>
  </r>
  <r>
    <x v="320"/>
    <x v="1"/>
    <s v="Kirkland"/>
    <s v="WA"/>
    <n v="98033"/>
    <x v="3"/>
    <x v="13"/>
    <s v="330E"/>
    <x v="0"/>
    <s v="Not eligible due to low battery range"/>
    <s v="20"/>
    <s v="0"/>
    <s v="48"/>
    <n v="264853158"/>
    <s v="POINT (-122.2066 47.67887)"/>
    <x v="1"/>
    <s v="53033022702"/>
  </r>
  <r>
    <x v="321"/>
    <x v="26"/>
    <s v="Othello"/>
    <s v="WA"/>
    <n v="99344"/>
    <x v="2"/>
    <x v="13"/>
    <s v="330E"/>
    <x v="0"/>
    <s v="Not eligible due to low battery range"/>
    <s v="22"/>
    <s v="0"/>
    <s v="9"/>
    <n v="268880349"/>
    <s v="POINT (-119.1742 46.82616)"/>
    <x v="27"/>
    <s v="53001950500"/>
  </r>
  <r>
    <x v="322"/>
    <x v="7"/>
    <s v="Lacey"/>
    <s v="WA"/>
    <n v="98516"/>
    <x v="2"/>
    <x v="13"/>
    <s v="330E"/>
    <x v="0"/>
    <s v="Not eligible due to low battery range"/>
    <s v="22"/>
    <s v="0"/>
    <s v="22"/>
    <n v="197346082"/>
    <s v="POINT (-122.78158 47.05335)"/>
    <x v="0"/>
    <s v="53067012225"/>
  </r>
  <r>
    <x v="323"/>
    <x v="1"/>
    <s v="Kirkland"/>
    <s v="WA"/>
    <n v="98034"/>
    <x v="10"/>
    <x v="14"/>
    <s v="GLE-CLASS"/>
    <x v="0"/>
    <s v="Not eligible due to low battery range"/>
    <s v="8"/>
    <s v="0"/>
    <s v="1"/>
    <n v="223904964"/>
    <s v="POINT (-122.22901 47.72201)"/>
    <x v="1"/>
    <s v="53033022300"/>
  </r>
  <r>
    <x v="324"/>
    <x v="1"/>
    <s v="Kirkland"/>
    <s v="WA"/>
    <n v="98033"/>
    <x v="3"/>
    <x v="14"/>
    <s v="EQS-CLASS SUV"/>
    <x v="1"/>
    <s v="Eligibility unknown as battery range has not been researched"/>
    <s v="0"/>
    <s v="0"/>
    <s v="48"/>
    <n v="273503184"/>
    <s v="POINT (-122.2066 47.67887)"/>
    <x v="1"/>
    <s v="53033022702"/>
  </r>
  <r>
    <x v="325"/>
    <x v="1"/>
    <s v="Sammamish"/>
    <s v="WA"/>
    <n v="98075"/>
    <x v="0"/>
    <x v="14"/>
    <s v="EQS-CLASS SUV"/>
    <x v="1"/>
    <s v="Eligibility unknown as battery range has not been researched"/>
    <s v="0"/>
    <s v="0"/>
    <s v="41"/>
    <n v="227120617"/>
    <s v="POINT (-122.03539 47.61344)"/>
    <x v="1"/>
    <s v="53033032218"/>
  </r>
  <r>
    <x v="326"/>
    <x v="1"/>
    <s v="Seattle"/>
    <s v="WA"/>
    <n v="98119"/>
    <x v="4"/>
    <x v="14"/>
    <s v="GLE-CLASS"/>
    <x v="0"/>
    <s v="Clean Alternative Fuel Vehicle Eligible"/>
    <s v="49"/>
    <s v="0"/>
    <s v="36"/>
    <n v="273888534"/>
    <s v="POINT (-122.3684 47.64586)"/>
    <x v="4"/>
    <s v="53033005901"/>
  </r>
  <r>
    <x v="327"/>
    <x v="2"/>
    <s v="Marysville"/>
    <s v="WA"/>
    <n v="98270"/>
    <x v="3"/>
    <x v="14"/>
    <s v="GLE-CLASS"/>
    <x v="0"/>
    <s v="Clean Alternative Fuel Vehicle Eligible"/>
    <s v="48"/>
    <s v="0"/>
    <s v="44"/>
    <n v="260656035"/>
    <s v="POINT (-122.1769 48.06114)"/>
    <x v="0"/>
    <s v="53061052707"/>
  </r>
  <r>
    <x v="328"/>
    <x v="6"/>
    <s v="Gig Harbor"/>
    <s v="WA"/>
    <n v="98335"/>
    <x v="0"/>
    <x v="14"/>
    <s v="EQE-CLASS SUV"/>
    <x v="1"/>
    <s v="Eligibility unknown as battery range has not been researched"/>
    <s v="0"/>
    <s v="0"/>
    <s v="26"/>
    <n v="264704765"/>
    <s v="POINT (-122.58009 47.328)"/>
    <x v="11"/>
    <s v="53053072406"/>
  </r>
  <r>
    <x v="329"/>
    <x v="1"/>
    <s v="Seattle"/>
    <s v="WA"/>
    <n v="98109"/>
    <x v="3"/>
    <x v="14"/>
    <s v="EQE-CLASS SUV"/>
    <x v="1"/>
    <s v="Eligibility unknown as battery range has not been researched"/>
    <s v="0"/>
    <s v="0"/>
    <s v="43"/>
    <n v="275405273"/>
    <s v="POINT (-122.35022 47.63824)"/>
    <x v="4"/>
    <s v="53033007303"/>
  </r>
  <r>
    <x v="330"/>
    <x v="1"/>
    <s v="Bellevue"/>
    <s v="WA"/>
    <n v="98008"/>
    <x v="0"/>
    <x v="14"/>
    <s v="EQE-CLASS SUV"/>
    <x v="1"/>
    <s v="Eligibility unknown as battery range has not been researched"/>
    <s v="0"/>
    <s v="0"/>
    <s v="48"/>
    <n v="284387778"/>
    <s v="POINT (-122.11867 47.63131)"/>
    <x v="1"/>
    <s v="53033023300"/>
  </r>
  <r>
    <x v="331"/>
    <x v="1"/>
    <s v="Seattle"/>
    <s v="WA"/>
    <n v="98199"/>
    <x v="3"/>
    <x v="15"/>
    <s v="ZDX"/>
    <x v="1"/>
    <s v="Eligibility unknown as battery range has not been researched"/>
    <s v="0"/>
    <s v="0"/>
    <s v="36"/>
    <n v="278617881"/>
    <s v="POINT (-122.40092 47.65908)"/>
    <x v="4"/>
    <s v="53033005801"/>
  </r>
  <r>
    <x v="332"/>
    <x v="7"/>
    <s v="Tumwater"/>
    <s v="WA"/>
    <n v="98501"/>
    <x v="3"/>
    <x v="15"/>
    <s v="ZDX"/>
    <x v="1"/>
    <s v="Eligibility unknown as battery range has not been researched"/>
    <s v="0"/>
    <s v="0"/>
    <s v="22"/>
    <n v="276605542"/>
    <s v="POINT (-122.89165 47.03954)"/>
    <x v="0"/>
    <s v="53067010802"/>
  </r>
  <r>
    <x v="333"/>
    <x v="6"/>
    <s v="Tacoma"/>
    <s v="WA"/>
    <n v="98406"/>
    <x v="3"/>
    <x v="15"/>
    <s v="ZDX"/>
    <x v="1"/>
    <s v="Eligibility unknown as battery range has not been researched"/>
    <s v="0"/>
    <s v="0"/>
    <s v="27"/>
    <n v="286887709"/>
    <s v="POINT (-122.52082 47.26887)"/>
    <x v="11"/>
    <s v="53053060908"/>
  </r>
  <r>
    <x v="334"/>
    <x v="1"/>
    <s v="Issaquah"/>
    <s v="WA"/>
    <n v="98029"/>
    <x v="2"/>
    <x v="16"/>
    <s v="AIR"/>
    <x v="1"/>
    <s v="Eligibility unknown as battery range has not been researched"/>
    <s v="0"/>
    <s v="0"/>
    <s v="5"/>
    <n v="225793543"/>
    <s v="POINT (-122.00292 47.54748)"/>
    <x v="1"/>
    <s v="53033032221"/>
  </r>
  <r>
    <x v="335"/>
    <x v="1"/>
    <s v="Mercer Island"/>
    <s v="WA"/>
    <n v="98040"/>
    <x v="4"/>
    <x v="16"/>
    <s v="AIR"/>
    <x v="1"/>
    <s v="Eligibility unknown as battery range has not been researched"/>
    <s v="0"/>
    <s v="0"/>
    <s v="41"/>
    <n v="278414566"/>
    <s v="POINT (-122.21238 47.57816)"/>
    <x v="1"/>
    <s v="53033024500"/>
  </r>
  <r>
    <x v="336"/>
    <x v="1"/>
    <s v="Seattle"/>
    <s v="WA"/>
    <n v="98134"/>
    <x v="4"/>
    <x v="16"/>
    <s v="AIR"/>
    <x v="1"/>
    <s v="Eligibility unknown as battery range has not been researched"/>
    <s v="0"/>
    <s v="0"/>
    <s v="11"/>
    <n v="283337281"/>
    <s v="POINT (-122.32741 47.58616)"/>
    <x v="4"/>
    <s v="53033009300"/>
  </r>
  <r>
    <x v="337"/>
    <x v="15"/>
    <s v="Spokane"/>
    <s v="WA"/>
    <n v="99207"/>
    <x v="4"/>
    <x v="17"/>
    <s v="CORSAIR"/>
    <x v="0"/>
    <s v="Not eligible due to low battery range"/>
    <s v="27"/>
    <s v="0"/>
    <s v="3"/>
    <n v="283209195"/>
    <s v="POINT (-117.3973 47.67573)"/>
    <x v="15"/>
    <s v="53063001400"/>
  </r>
  <r>
    <x v="338"/>
    <x v="0"/>
    <s v="Port Orchard"/>
    <s v="WA"/>
    <n v="98366"/>
    <x v="11"/>
    <x v="17"/>
    <s v="AVIATOR"/>
    <x v="0"/>
    <s v="Not eligible due to low battery range"/>
    <s v="21"/>
    <s v="0"/>
    <s v="26"/>
    <n v="259776653"/>
    <s v="POINT (-122.63847 47.54103)"/>
    <x v="0"/>
    <s v="53035092500"/>
  </r>
  <r>
    <x v="339"/>
    <x v="1"/>
    <s v="Federal Way"/>
    <s v="WA"/>
    <n v="98023"/>
    <x v="14"/>
    <x v="18"/>
    <s v="GV70"/>
    <x v="1"/>
    <s v="Eligibility unknown as battery range has not been researched"/>
    <s v="0"/>
    <s v="0"/>
    <s v="30"/>
    <n v="281431006"/>
    <s v="POINT (-122.34059 47.32478)"/>
    <x v="1"/>
    <s v="53033030306"/>
  </r>
  <r>
    <x v="340"/>
    <x v="0"/>
    <s v="Bainbridge Island"/>
    <s v="WA"/>
    <n v="98110"/>
    <x v="3"/>
    <x v="13"/>
    <s v="X5"/>
    <x v="0"/>
    <s v="Clean Alternative Fuel Vehicle Eligible"/>
    <s v="39"/>
    <s v="0"/>
    <s v="23"/>
    <n v="261319726"/>
    <s v="POINT (-122.521 47.62732)"/>
    <x v="0"/>
    <s v="53035090902"/>
  </r>
  <r>
    <x v="341"/>
    <x v="27"/>
    <s v="Orondo"/>
    <s v="WA"/>
    <n v="98843"/>
    <x v="4"/>
    <x v="13"/>
    <s v="X5"/>
    <x v="0"/>
    <s v="Clean Alternative Fuel Vehicle Eligible"/>
    <s v="40"/>
    <s v="0"/>
    <s v="12"/>
    <n v="274125911"/>
    <s v="POINT (-120.22795 47.62353)"/>
    <x v="28"/>
    <s v="53017950101"/>
  </r>
  <r>
    <x v="342"/>
    <x v="1"/>
    <s v="Seattle"/>
    <s v="WA"/>
    <n v="98109"/>
    <x v="4"/>
    <x v="13"/>
    <s v="X5"/>
    <x v="0"/>
    <s v="Clean Alternative Fuel Vehicle Eligible"/>
    <s v="40"/>
    <s v="0"/>
    <s v="43"/>
    <n v="276417172"/>
    <s v="POINT (-122.35022 47.63824)"/>
    <x v="4"/>
    <s v="53033007303"/>
  </r>
  <r>
    <x v="343"/>
    <x v="4"/>
    <s v="Washougal"/>
    <s v="WA"/>
    <n v="98671"/>
    <x v="3"/>
    <x v="13"/>
    <s v="X5"/>
    <x v="0"/>
    <s v="Clean Alternative Fuel Vehicle Eligible"/>
    <s v="39"/>
    <s v="0"/>
    <s v="18"/>
    <n v="257424940"/>
    <s v="POINT (-122.35341 45.57923)"/>
    <x v="3"/>
    <s v="53011040513"/>
  </r>
  <r>
    <x v="344"/>
    <x v="8"/>
    <s v="Centralia"/>
    <s v="WA"/>
    <n v="98531"/>
    <x v="4"/>
    <x v="13"/>
    <s v="X5"/>
    <x v="0"/>
    <s v="Clean Alternative Fuel Vehicle Eligible"/>
    <s v="40"/>
    <s v="0"/>
    <s v="20"/>
    <n v="272180310"/>
    <s v="POINT (-122.95266 46.72895)"/>
    <x v="6"/>
    <s v="53041970700"/>
  </r>
  <r>
    <x v="345"/>
    <x v="2"/>
    <s v="Mukilteo"/>
    <s v="WA"/>
    <n v="98275"/>
    <x v="3"/>
    <x v="13"/>
    <s v="X5"/>
    <x v="0"/>
    <s v="Clean Alternative Fuel Vehicle Eligible"/>
    <s v="39"/>
    <s v="0"/>
    <s v="21"/>
    <n v="249829681"/>
    <s v="POINT (-122.29196 47.89908)"/>
    <x v="0"/>
    <s v="53061042005"/>
  </r>
  <r>
    <x v="346"/>
    <x v="1"/>
    <s v="Clyde Hill"/>
    <s v="WA"/>
    <n v="98004"/>
    <x v="14"/>
    <x v="13"/>
    <s v="X5"/>
    <x v="0"/>
    <s v="Clean Alternative Fuel Vehicle Eligible"/>
    <s v="38"/>
    <s v="0"/>
    <s v="48"/>
    <n v="281811330"/>
    <s v="POINT (-122.1872 47.61001)"/>
    <x v="1"/>
    <s v="53033024100"/>
  </r>
  <r>
    <x v="347"/>
    <x v="1"/>
    <s v="Seattle"/>
    <s v="WA"/>
    <n v="98199"/>
    <x v="3"/>
    <x v="13"/>
    <s v="X5"/>
    <x v="0"/>
    <s v="Clean Alternative Fuel Vehicle Eligible"/>
    <s v="39"/>
    <s v="0"/>
    <s v="36"/>
    <n v="251570973"/>
    <s v="POINT (-122.40092 47.65908)"/>
    <x v="4"/>
    <s v="53033005700"/>
  </r>
  <r>
    <x v="348"/>
    <x v="1"/>
    <s v="Seattle"/>
    <s v="WA"/>
    <n v="98112"/>
    <x v="4"/>
    <x v="13"/>
    <s v="X5"/>
    <x v="0"/>
    <s v="Clean Alternative Fuel Vehicle Eligible"/>
    <s v="40"/>
    <s v="0"/>
    <s v="43"/>
    <n v="276734258"/>
    <s v="POINT (-122.30207 47.64085)"/>
    <x v="4"/>
    <s v="53033006300"/>
  </r>
  <r>
    <x v="349"/>
    <x v="2"/>
    <s v="Bothell"/>
    <s v="WA"/>
    <n v="98021"/>
    <x v="9"/>
    <x v="13"/>
    <s v="X5"/>
    <x v="0"/>
    <s v="Not eligible due to low battery range"/>
    <s v="14"/>
    <s v="0"/>
    <s v="1"/>
    <n v="117851954"/>
    <s v="POINT (-122.18384 47.8031)"/>
    <x v="0"/>
    <s v="53061051926"/>
  </r>
  <r>
    <x v="350"/>
    <x v="14"/>
    <s v="College Place"/>
    <s v="WA"/>
    <n v="99324"/>
    <x v="5"/>
    <x v="13"/>
    <s v="X5"/>
    <x v="0"/>
    <s v="Not eligible due to low battery range"/>
    <s v="14"/>
    <s v="0"/>
    <s v="16"/>
    <n v="156022338"/>
    <s v="POINT (-118.38864 46.03456)"/>
    <x v="2"/>
    <s v="53071920301"/>
  </r>
  <r>
    <x v="351"/>
    <x v="3"/>
    <s v="Selah"/>
    <s v="WA"/>
    <n v="98942"/>
    <x v="10"/>
    <x v="13"/>
    <s v="X5"/>
    <x v="0"/>
    <s v="Not eligible due to low battery range"/>
    <s v="13"/>
    <s v="0"/>
    <s v="15"/>
    <n v="227869477"/>
    <s v="POINT (-120.53145 46.65405)"/>
    <x v="2"/>
    <s v="53077003200"/>
  </r>
  <r>
    <x v="352"/>
    <x v="1"/>
    <s v="Kirkland"/>
    <s v="WA"/>
    <n v="98034"/>
    <x v="1"/>
    <x v="13"/>
    <s v="X5"/>
    <x v="0"/>
    <s v="Clean Alternative Fuel Vehicle Eligible"/>
    <s v="30"/>
    <s v="0"/>
    <s v="1"/>
    <n v="127075910"/>
    <s v="POINT (-122.22901 47.72201)"/>
    <x v="1"/>
    <s v="53033022300"/>
  </r>
  <r>
    <x v="353"/>
    <x v="4"/>
    <s v="Vancouver"/>
    <s v="WA"/>
    <n v="98686"/>
    <x v="0"/>
    <x v="13"/>
    <s v="X5"/>
    <x v="0"/>
    <s v="Clean Alternative Fuel Vehicle Eligible"/>
    <s v="30"/>
    <s v="0"/>
    <s v="17"/>
    <n v="228021804"/>
    <s v="POINT (-122.62731 45.71668)"/>
    <x v="3"/>
    <s v="53011040811"/>
  </r>
  <r>
    <x v="353"/>
    <x v="28"/>
    <s v="Pullman"/>
    <s v="WA"/>
    <n v="99163"/>
    <x v="0"/>
    <x v="13"/>
    <s v="X5"/>
    <x v="0"/>
    <s v="Clean Alternative Fuel Vehicle Eligible"/>
    <s v="30"/>
    <s v="0"/>
    <s v="9"/>
    <n v="227284543"/>
    <s v="POINT (-117.18147 46.73015)"/>
    <x v="9"/>
    <s v="53075000300"/>
  </r>
  <r>
    <x v="354"/>
    <x v="1"/>
    <s v="Bellevue"/>
    <s v="WA"/>
    <n v="98004"/>
    <x v="2"/>
    <x v="13"/>
    <s v="X5"/>
    <x v="0"/>
    <s v="Clean Alternative Fuel Vehicle Eligible"/>
    <s v="30"/>
    <s v="0"/>
    <s v="48"/>
    <n v="193821155"/>
    <s v="POINT (-122.1872 47.61001)"/>
    <x v="1"/>
    <s v="53033024001"/>
  </r>
  <r>
    <x v="355"/>
    <x v="6"/>
    <s v="South Hill"/>
    <s v="WA"/>
    <n v="98374"/>
    <x v="0"/>
    <x v="13"/>
    <s v="X5"/>
    <x v="0"/>
    <s v="Clean Alternative Fuel Vehicle Eligible"/>
    <s v="30"/>
    <s v="0"/>
    <s v="25"/>
    <n v="218336527"/>
    <s v="POINT (-122.27575 47.13959)"/>
    <x v="1"/>
    <s v="53053073123"/>
  </r>
  <r>
    <x v="356"/>
    <x v="2"/>
    <s v="Lake Stevens"/>
    <s v="WA"/>
    <n v="98258"/>
    <x v="1"/>
    <x v="13"/>
    <s v="X5"/>
    <x v="0"/>
    <s v="Clean Alternative Fuel Vehicle Eligible"/>
    <s v="30"/>
    <s v="0"/>
    <s v="44"/>
    <n v="256238755"/>
    <s v="POINT (-122.06402 48.01497)"/>
    <x v="0"/>
    <s v="53061052604"/>
  </r>
  <r>
    <x v="357"/>
    <x v="2"/>
    <s v="Mukilteo"/>
    <s v="WA"/>
    <n v="98275"/>
    <x v="2"/>
    <x v="13"/>
    <s v="X5"/>
    <x v="0"/>
    <s v="Clean Alternative Fuel Vehicle Eligible"/>
    <s v="30"/>
    <s v="0"/>
    <s v="21"/>
    <n v="186128057"/>
    <s v="POINT (-122.29196 47.89908)"/>
    <x v="0"/>
    <s v="53061042005"/>
  </r>
  <r>
    <x v="358"/>
    <x v="1"/>
    <s v="Woodinville"/>
    <s v="WA"/>
    <n v="98072"/>
    <x v="0"/>
    <x v="13"/>
    <s v="X5"/>
    <x v="0"/>
    <s v="Clean Alternative Fuel Vehicle Eligible"/>
    <s v="30"/>
    <s v="0"/>
    <s v="45"/>
    <n v="227106183"/>
    <s v="POINT (-122.15545 47.75448)"/>
    <x v="1"/>
    <s v="53033032307"/>
  </r>
  <r>
    <x v="359"/>
    <x v="1"/>
    <s v="Kirkland"/>
    <s v="WA"/>
    <n v="98033"/>
    <x v="1"/>
    <x v="13"/>
    <s v="X5"/>
    <x v="0"/>
    <s v="Clean Alternative Fuel Vehicle Eligible"/>
    <s v="30"/>
    <s v="0"/>
    <s v="48"/>
    <n v="148437838"/>
    <s v="POINT (-122.2066 47.67887)"/>
    <x v="1"/>
    <s v="53033022603"/>
  </r>
  <r>
    <x v="360"/>
    <x v="23"/>
    <s v="Richland"/>
    <s v="WA"/>
    <n v="99352"/>
    <x v="2"/>
    <x v="13"/>
    <s v="X5"/>
    <x v="0"/>
    <s v="Clean Alternative Fuel Vehicle Eligible"/>
    <s v="30"/>
    <s v="0"/>
    <s v="8"/>
    <n v="211328169"/>
    <s v="POINT (-119.27372 46.27391)"/>
    <x v="24"/>
    <s v="53005010817"/>
  </r>
  <r>
    <x v="361"/>
    <x v="2"/>
    <s v="Everett"/>
    <s v="WA"/>
    <n v="98201"/>
    <x v="2"/>
    <x v="13"/>
    <s v="X5"/>
    <x v="0"/>
    <s v="Clean Alternative Fuel Vehicle Eligible"/>
    <s v="30"/>
    <s v="0"/>
    <s v="38"/>
    <n v="203621799"/>
    <s v="POINT (-122.20596 47.97659)"/>
    <x v="0"/>
    <s v="53061040700"/>
  </r>
  <r>
    <x v="362"/>
    <x v="1"/>
    <s v="Kirkland"/>
    <s v="WA"/>
    <n v="98034"/>
    <x v="1"/>
    <x v="13"/>
    <s v="X3"/>
    <x v="0"/>
    <s v="Not eligible due to low battery range"/>
    <s v="17"/>
    <s v="0"/>
    <s v="1"/>
    <n v="267168240"/>
    <s v="POINT (-122.22901 47.72201)"/>
    <x v="1"/>
    <s v="53033022300"/>
  </r>
  <r>
    <x v="363"/>
    <x v="0"/>
    <s v="Bainbridge Island"/>
    <s v="WA"/>
    <n v="98110"/>
    <x v="4"/>
    <x v="19"/>
    <s v="EV9"/>
    <x v="1"/>
    <s v="Eligibility unknown as battery range has not been researched"/>
    <s v="0"/>
    <s v="0"/>
    <s v="23"/>
    <n v="274451068"/>
    <s v="POINT (-122.521 47.62732)"/>
    <x v="0"/>
    <s v="53035090700"/>
  </r>
  <r>
    <x v="364"/>
    <x v="1"/>
    <s v="Kenmore"/>
    <s v="WA"/>
    <n v="98028"/>
    <x v="14"/>
    <x v="19"/>
    <s v="EV9"/>
    <x v="1"/>
    <s v="Eligibility unknown as battery range has not been researched"/>
    <s v="0"/>
    <s v="0"/>
    <s v="46"/>
    <n v="282798638"/>
    <s v="POINT (-122.24369 47.75892)"/>
    <x v="1"/>
    <s v="53033021701"/>
  </r>
  <r>
    <x v="365"/>
    <x v="1"/>
    <s v="Kirkland"/>
    <s v="WA"/>
    <n v="98034"/>
    <x v="4"/>
    <x v="19"/>
    <s v="EV9"/>
    <x v="1"/>
    <s v="Eligibility unknown as battery range has not been researched"/>
    <s v="0"/>
    <s v="0"/>
    <s v="45"/>
    <n v="279358768"/>
    <s v="POINT (-122.22901 47.72201)"/>
    <x v="1"/>
    <s v="53033022006"/>
  </r>
  <r>
    <x v="366"/>
    <x v="4"/>
    <s v="Ridgefield"/>
    <s v="WA"/>
    <n v="98642"/>
    <x v="4"/>
    <x v="19"/>
    <s v="EV6"/>
    <x v="1"/>
    <s v="Eligibility unknown as battery range has not been researched"/>
    <s v="0"/>
    <s v="0"/>
    <s v="17"/>
    <n v="282301617"/>
    <s v="POINT (-122.74595 45.81539)"/>
    <x v="3"/>
    <s v="53011040412"/>
  </r>
  <r>
    <x v="367"/>
    <x v="1"/>
    <s v="Seattle"/>
    <s v="WA"/>
    <n v="98199"/>
    <x v="10"/>
    <x v="20"/>
    <s v="MODEL 3"/>
    <x v="1"/>
    <s v="Clean Alternative Fuel Vehicle Eligible"/>
    <s v="215"/>
    <s v="0"/>
    <s v="36"/>
    <n v="198220151"/>
    <s v="POINT (-122.40092 47.65908)"/>
    <x v="4"/>
    <s v="53033005801"/>
  </r>
  <r>
    <x v="367"/>
    <x v="2"/>
    <s v="Lynnwood"/>
    <s v="WA"/>
    <n v="98087"/>
    <x v="10"/>
    <x v="20"/>
    <s v="MODEL 3"/>
    <x v="1"/>
    <s v="Clean Alternative Fuel Vehicle Eligible"/>
    <s v="215"/>
    <s v="0"/>
    <s v="21"/>
    <n v="208627408"/>
    <s v="POINT (-122.27981 47.85727)"/>
    <x v="0"/>
    <s v="53061041816"/>
  </r>
  <r>
    <x v="367"/>
    <x v="0"/>
    <s v="Bremerton"/>
    <s v="WA"/>
    <n v="98312"/>
    <x v="10"/>
    <x v="20"/>
    <s v="MODEL 3"/>
    <x v="1"/>
    <s v="Clean Alternative Fuel Vehicle Eligible"/>
    <s v="215"/>
    <s v="0"/>
    <s v="35"/>
    <n v="170372471"/>
    <s v="POINT (-122.65223 47.57192)"/>
    <x v="0"/>
    <s v="53035091400"/>
  </r>
  <r>
    <x v="367"/>
    <x v="2"/>
    <s v="Everett"/>
    <s v="WA"/>
    <n v="98208"/>
    <x v="10"/>
    <x v="20"/>
    <s v="MODEL 3"/>
    <x v="1"/>
    <s v="Clean Alternative Fuel Vehicle Eligible"/>
    <s v="215"/>
    <s v="0"/>
    <s v="44"/>
    <n v="201881410"/>
    <s v="POINT (-122.18637 47.89251)"/>
    <x v="0"/>
    <s v="53061041606"/>
  </r>
  <r>
    <x v="368"/>
    <x v="2"/>
    <s v="Bothell"/>
    <s v="WA"/>
    <n v="98012"/>
    <x v="12"/>
    <x v="20"/>
    <s v="MODEL 3"/>
    <x v="1"/>
    <s v="Clean Alternative Fuel Vehicle Eligible"/>
    <s v="220"/>
    <s v="0"/>
    <s v="1"/>
    <n v="278656682"/>
    <s v="POINT (-122.21061 47.83448)"/>
    <x v="0"/>
    <s v="53061051933"/>
  </r>
  <r>
    <x v="369"/>
    <x v="1"/>
    <s v="Seattle"/>
    <s v="WA"/>
    <n v="98144"/>
    <x v="11"/>
    <x v="20"/>
    <s v="MODEL 3"/>
    <x v="1"/>
    <s v="Clean Alternative Fuel Vehicle Eligible"/>
    <s v="266"/>
    <s v="0"/>
    <s v="37"/>
    <n v="1956790"/>
    <s v="POINT (-122.30866 47.57874)"/>
    <x v="4"/>
    <s v="53033008900"/>
  </r>
  <r>
    <x v="370"/>
    <x v="3"/>
    <s v="Moxee"/>
    <s v="WA"/>
    <n v="98936"/>
    <x v="2"/>
    <x v="20"/>
    <s v="MODEL 3"/>
    <x v="1"/>
    <s v="Eligibility unknown as battery range has not been researched"/>
    <s v="0"/>
    <s v="0"/>
    <s v="15"/>
    <n v="211877725"/>
    <s v="POINT (-120.39197 46.55621)"/>
    <x v="2"/>
    <s v="53077001702"/>
  </r>
  <r>
    <x v="371"/>
    <x v="1"/>
    <s v="Bellevue"/>
    <s v="WA"/>
    <n v="98004"/>
    <x v="0"/>
    <x v="20"/>
    <s v="MODEL 3"/>
    <x v="1"/>
    <s v="Eligibility unknown as battery range has not been researched"/>
    <s v="0"/>
    <s v="0"/>
    <s v="48"/>
    <n v="269706377"/>
    <s v="POINT (-122.1872 47.61001)"/>
    <x v="1"/>
    <s v="53033023805"/>
  </r>
  <r>
    <x v="372"/>
    <x v="1"/>
    <s v="Seattle"/>
    <s v="WA"/>
    <n v="98103"/>
    <x v="10"/>
    <x v="20"/>
    <s v="MODEL 3"/>
    <x v="1"/>
    <s v="Clean Alternative Fuel Vehicle Eligible"/>
    <s v="215"/>
    <s v="0"/>
    <s v="36"/>
    <n v="264670920"/>
    <s v="POINT (-122.35436 47.67596)"/>
    <x v="4"/>
    <s v="53033002800"/>
  </r>
  <r>
    <x v="373"/>
    <x v="4"/>
    <s v="Vancouver"/>
    <s v="WA"/>
    <n v="98685"/>
    <x v="12"/>
    <x v="20"/>
    <s v="MODEL 3"/>
    <x v="1"/>
    <s v="Clean Alternative Fuel Vehicle Eligible"/>
    <s v="220"/>
    <s v="0"/>
    <s v="18"/>
    <n v="206897400"/>
    <s v="POINT (-122.70303 45.70954)"/>
    <x v="3"/>
    <s v="53011040907"/>
  </r>
  <r>
    <x v="374"/>
    <x v="1"/>
    <s v="Kirkland"/>
    <s v="WA"/>
    <n v="98034"/>
    <x v="11"/>
    <x v="20"/>
    <s v="MODEL 3"/>
    <x v="1"/>
    <s v="Clean Alternative Fuel Vehicle Eligible"/>
    <s v="266"/>
    <s v="0"/>
    <s v="45"/>
    <n v="104337488"/>
    <s v="POINT (-122.22901 47.72201)"/>
    <x v="1"/>
    <s v="53033021904"/>
  </r>
  <r>
    <x v="374"/>
    <x v="1"/>
    <s v="Redmond"/>
    <s v="WA"/>
    <n v="98053"/>
    <x v="11"/>
    <x v="20"/>
    <s v="MODEL 3"/>
    <x v="1"/>
    <s v="Clean Alternative Fuel Vehicle Eligible"/>
    <s v="266"/>
    <s v="0"/>
    <s v="45"/>
    <n v="102774108"/>
    <s v="POINT (-122.03287 47.68555)"/>
    <x v="1"/>
    <s v="53033032332"/>
  </r>
  <r>
    <x v="375"/>
    <x v="1"/>
    <s v="Redmond"/>
    <s v="WA"/>
    <n v="98052"/>
    <x v="1"/>
    <x v="20"/>
    <s v="MODEL 3"/>
    <x v="1"/>
    <s v="Eligibility unknown as battery range has not been researched"/>
    <s v="0"/>
    <s v="0"/>
    <s v="48"/>
    <n v="138861684"/>
    <s v="POINT (-122.13158 47.67858)"/>
    <x v="1"/>
    <s v="53033022902"/>
  </r>
  <r>
    <x v="375"/>
    <x v="1"/>
    <s v="Snoqualmie"/>
    <s v="WA"/>
    <n v="98065"/>
    <x v="1"/>
    <x v="20"/>
    <s v="MODEL 3"/>
    <x v="1"/>
    <s v="Eligibility unknown as battery range has not been researched"/>
    <s v="0"/>
    <s v="0"/>
    <s v="5"/>
    <n v="152092776"/>
    <s v="POINT (-121.82432 47.52716)"/>
    <x v="1"/>
    <s v="53033032604"/>
  </r>
  <r>
    <x v="375"/>
    <x v="1"/>
    <s v="Seattle"/>
    <s v="WA"/>
    <n v="98177"/>
    <x v="1"/>
    <x v="20"/>
    <s v="MODEL 3"/>
    <x v="1"/>
    <s v="Eligibility unknown as battery range has not been researched"/>
    <s v="0"/>
    <s v="0"/>
    <s v="36"/>
    <n v="185831278"/>
    <s v="POINT (-122.36498 47.72238)"/>
    <x v="4"/>
    <s v="53033001600"/>
  </r>
  <r>
    <x v="376"/>
    <x v="1"/>
    <s v="Kirkland"/>
    <s v="WA"/>
    <n v="98033"/>
    <x v="2"/>
    <x v="20"/>
    <s v="MODEL 3"/>
    <x v="1"/>
    <s v="Eligibility unknown as battery range has not been researched"/>
    <s v="0"/>
    <s v="0"/>
    <s v="48"/>
    <n v="182718560"/>
    <s v="POINT (-122.2066 47.67887)"/>
    <x v="1"/>
    <s v="53033022501"/>
  </r>
  <r>
    <x v="376"/>
    <x v="1"/>
    <s v="Seattle"/>
    <s v="WA"/>
    <n v="98199"/>
    <x v="2"/>
    <x v="20"/>
    <s v="MODEL 3"/>
    <x v="1"/>
    <s v="Eligibility unknown as battery range has not been researched"/>
    <s v="0"/>
    <s v="0"/>
    <s v="36"/>
    <n v="186310757"/>
    <s v="POINT (-122.40092 47.65908)"/>
    <x v="4"/>
    <s v="53033005700"/>
  </r>
  <r>
    <x v="377"/>
    <x v="1"/>
    <s v="Seattle"/>
    <s v="WA"/>
    <n v="98115"/>
    <x v="0"/>
    <x v="20"/>
    <s v="MODEL 3"/>
    <x v="1"/>
    <s v="Eligibility unknown as battery range has not been researched"/>
    <s v="0"/>
    <s v="0"/>
    <s v="46"/>
    <n v="256047606"/>
    <s v="POINT (-122.31676 47.68156)"/>
    <x v="4"/>
    <s v="53033002400"/>
  </r>
  <r>
    <x v="377"/>
    <x v="1"/>
    <s v="Seatac"/>
    <s v="WA"/>
    <n v="98188"/>
    <x v="0"/>
    <x v="20"/>
    <s v="MODEL 3"/>
    <x v="1"/>
    <s v="Eligibility unknown as battery range has not been researched"/>
    <s v="0"/>
    <s v="0"/>
    <s v="33"/>
    <n v="240082412"/>
    <s v="POINT (-122.27427 47.43405)"/>
    <x v="1"/>
    <s v="53033028402"/>
  </r>
  <r>
    <x v="377"/>
    <x v="1"/>
    <s v="Bellevue"/>
    <s v="WA"/>
    <n v="98008"/>
    <x v="0"/>
    <x v="20"/>
    <s v="MODEL 3"/>
    <x v="1"/>
    <s v="Eligibility unknown as battery range has not been researched"/>
    <s v="0"/>
    <s v="0"/>
    <s v="48"/>
    <n v="259107306"/>
    <s v="POINT (-122.11867 47.63131)"/>
    <x v="1"/>
    <s v="53033023403"/>
  </r>
  <r>
    <x v="377"/>
    <x v="6"/>
    <s v="Bonney Lake"/>
    <s v="WA"/>
    <n v="98391"/>
    <x v="0"/>
    <x v="20"/>
    <s v="MODEL 3"/>
    <x v="1"/>
    <s v="Eligibility unknown as battery range has not been researched"/>
    <s v="0"/>
    <s v="0"/>
    <s v="31"/>
    <n v="240771702"/>
    <s v="POINT (-122.17144 47.19175)"/>
    <x v="1"/>
    <s v="53053070309"/>
  </r>
  <r>
    <x v="378"/>
    <x v="1"/>
    <s v="Seattle"/>
    <s v="WA"/>
    <n v="98117"/>
    <x v="3"/>
    <x v="20"/>
    <s v="MODEL 3"/>
    <x v="1"/>
    <s v="Eligibility unknown as battery range has not been researched"/>
    <s v="0"/>
    <s v="0"/>
    <s v="36"/>
    <n v="267360705"/>
    <s v="POINT (-122.38418 47.70044)"/>
    <x v="4"/>
    <s v="53033003100"/>
  </r>
  <r>
    <x v="379"/>
    <x v="0"/>
    <s v="Port Orchard"/>
    <s v="WA"/>
    <n v="98366"/>
    <x v="4"/>
    <x v="20"/>
    <s v="MODEL 3"/>
    <x v="1"/>
    <s v="Eligibility unknown as battery range has not been researched"/>
    <s v="0"/>
    <s v="0"/>
    <s v="26"/>
    <n v="282471486"/>
    <s v="POINT (-122.63847 47.54103)"/>
    <x v="0"/>
    <s v="53035092801"/>
  </r>
  <r>
    <x v="379"/>
    <x v="1"/>
    <s v="Seattle"/>
    <s v="WA"/>
    <n v="98119"/>
    <x v="4"/>
    <x v="20"/>
    <s v="MODEL 3"/>
    <x v="1"/>
    <s v="Eligibility unknown as battery range has not been researched"/>
    <s v="0"/>
    <s v="0"/>
    <s v="36"/>
    <n v="280251065"/>
    <s v="POINT (-122.3684 47.64586)"/>
    <x v="4"/>
    <s v="53033006900"/>
  </r>
  <r>
    <x v="379"/>
    <x v="1"/>
    <s v="Seattle"/>
    <s v="WA"/>
    <n v="98144"/>
    <x v="4"/>
    <x v="20"/>
    <s v="MODEL 3"/>
    <x v="1"/>
    <s v="Eligibility unknown as battery range has not been researched"/>
    <s v="0"/>
    <s v="0"/>
    <s v="11"/>
    <n v="275818784"/>
    <s v="POINT (-122.30866 47.57874)"/>
    <x v="4"/>
    <s v="53033010002"/>
  </r>
  <r>
    <x v="380"/>
    <x v="7"/>
    <s v="Olympia"/>
    <s v="WA"/>
    <n v="98513"/>
    <x v="10"/>
    <x v="20"/>
    <s v="MODEL 3"/>
    <x v="1"/>
    <s v="Clean Alternative Fuel Vehicle Eligible"/>
    <s v="215"/>
    <s v="0"/>
    <s v="20"/>
    <n v="301821649"/>
    <s v="POINT (-122.81754 46.98876)"/>
    <x v="0"/>
    <s v="53067012610"/>
  </r>
  <r>
    <x v="381"/>
    <x v="2"/>
    <s v="Bothell"/>
    <s v="WA"/>
    <n v="98012"/>
    <x v="12"/>
    <x v="20"/>
    <s v="MODEL 3"/>
    <x v="1"/>
    <s v="Clean Alternative Fuel Vehicle Eligible"/>
    <s v="220"/>
    <s v="0"/>
    <s v="1"/>
    <n v="291549884"/>
    <s v="POINT (-122.21061 47.83448)"/>
    <x v="0"/>
    <s v="53061051934"/>
  </r>
  <r>
    <x v="382"/>
    <x v="2"/>
    <s v="Bothell"/>
    <s v="WA"/>
    <n v="98012"/>
    <x v="11"/>
    <x v="20"/>
    <s v="MODEL 3"/>
    <x v="1"/>
    <s v="Clean Alternative Fuel Vehicle Eligible"/>
    <s v="266"/>
    <s v="0"/>
    <s v="1"/>
    <n v="3498603"/>
    <s v="POINT (-122.21061 47.83448)"/>
    <x v="0"/>
    <s v="53061051922"/>
  </r>
  <r>
    <x v="382"/>
    <x v="2"/>
    <s v="Bothell"/>
    <s v="WA"/>
    <n v="98012"/>
    <x v="11"/>
    <x v="20"/>
    <s v="MODEL 3"/>
    <x v="1"/>
    <s v="Clean Alternative Fuel Vehicle Eligible"/>
    <s v="266"/>
    <s v="0"/>
    <s v="1"/>
    <n v="112035724"/>
    <s v="POINT (-122.21061 47.83448)"/>
    <x v="0"/>
    <s v="53061051936"/>
  </r>
  <r>
    <x v="382"/>
    <x v="1"/>
    <s v="Seattle"/>
    <s v="WA"/>
    <n v="98199"/>
    <x v="11"/>
    <x v="20"/>
    <s v="MODEL 3"/>
    <x v="1"/>
    <s v="Clean Alternative Fuel Vehicle Eligible"/>
    <s v="266"/>
    <s v="0"/>
    <s v="36"/>
    <n v="2851628"/>
    <s v="POINT (-122.40092 47.65908)"/>
    <x v="4"/>
    <s v="53033005600"/>
  </r>
  <r>
    <x v="382"/>
    <x v="1"/>
    <s v="Bellevue"/>
    <s v="WA"/>
    <n v="98004"/>
    <x v="11"/>
    <x v="20"/>
    <s v="MODEL 3"/>
    <x v="1"/>
    <s v="Clean Alternative Fuel Vehicle Eligible"/>
    <s v="266"/>
    <s v="0"/>
    <s v="48"/>
    <n v="3553651"/>
    <s v="POINT (-122.1872 47.61001)"/>
    <x v="1"/>
    <s v="53033024002"/>
  </r>
  <r>
    <x v="383"/>
    <x v="1"/>
    <s v="Seattle"/>
    <s v="WA"/>
    <n v="98109"/>
    <x v="0"/>
    <x v="20"/>
    <s v="MODEL 3"/>
    <x v="1"/>
    <s v="Eligibility unknown as battery range has not been researched"/>
    <s v="0"/>
    <s v="0"/>
    <s v="36"/>
    <n v="261275395"/>
    <s v="POINT (-122.35022 47.63824)"/>
    <x v="4"/>
    <s v="53033006000"/>
  </r>
  <r>
    <x v="384"/>
    <x v="6"/>
    <s v="Buckley"/>
    <s v="WA"/>
    <n v="98321"/>
    <x v="3"/>
    <x v="20"/>
    <s v="MODEL 3"/>
    <x v="1"/>
    <s v="Eligibility unknown as battery range has not been researched"/>
    <s v="0"/>
    <s v="0"/>
    <s v="31"/>
    <n v="272805116"/>
    <s v="POINT (-122.02523 47.16299)"/>
    <x v="1"/>
    <s v="53053070207"/>
  </r>
  <r>
    <x v="384"/>
    <x v="1"/>
    <s v="Seattle"/>
    <s v="WA"/>
    <n v="98126"/>
    <x v="3"/>
    <x v="20"/>
    <s v="MODEL 3"/>
    <x v="1"/>
    <s v="Eligibility unknown as battery range has not been researched"/>
    <s v="0"/>
    <s v="0"/>
    <s v="34"/>
    <n v="271806860"/>
    <s v="POINT (-122.36893 47.54701)"/>
    <x v="4"/>
    <s v="53033009801"/>
  </r>
  <r>
    <x v="385"/>
    <x v="1"/>
    <s v="Seattle"/>
    <s v="WA"/>
    <n v="98104"/>
    <x v="4"/>
    <x v="20"/>
    <s v="MODEL 3"/>
    <x v="1"/>
    <s v="Eligibility unknown as battery range has not been researched"/>
    <s v="0"/>
    <s v="0"/>
    <s v="37"/>
    <n v="277741803"/>
    <s v="POINT (-122.32945 47.60357)"/>
    <x v="4"/>
    <s v="53033009100"/>
  </r>
  <r>
    <x v="386"/>
    <x v="0"/>
    <s v="Bainbridge Island"/>
    <s v="WA"/>
    <n v="98110"/>
    <x v="10"/>
    <x v="20"/>
    <s v="MODEL 3"/>
    <x v="1"/>
    <s v="Clean Alternative Fuel Vehicle Eligible"/>
    <s v="215"/>
    <s v="0"/>
    <s v="23"/>
    <n v="295732972"/>
    <s v="POINT (-122.521 47.62732)"/>
    <x v="0"/>
    <s v="53035090800"/>
  </r>
  <r>
    <x v="387"/>
    <x v="7"/>
    <s v="Olympia"/>
    <s v="WA"/>
    <n v="98502"/>
    <x v="12"/>
    <x v="20"/>
    <s v="MODEL 3"/>
    <x v="1"/>
    <s v="Clean Alternative Fuel Vehicle Eligible"/>
    <s v="220"/>
    <s v="0"/>
    <s v="35"/>
    <n v="298828463"/>
    <s v="POINT (-122.92333 47.03779)"/>
    <x v="0"/>
    <s v="53067011902"/>
  </r>
  <r>
    <x v="387"/>
    <x v="0"/>
    <s v="Bremerton"/>
    <s v="WA"/>
    <n v="98311"/>
    <x v="12"/>
    <x v="20"/>
    <s v="MODEL 3"/>
    <x v="1"/>
    <s v="Clean Alternative Fuel Vehicle Eligible"/>
    <s v="220"/>
    <s v="0"/>
    <s v="23"/>
    <n v="478140960"/>
    <s v="POINT (-122.60915 47.62631)"/>
    <x v="0"/>
    <s v="53035091800"/>
  </r>
  <r>
    <x v="387"/>
    <x v="1"/>
    <s v="Bothell"/>
    <s v="WA"/>
    <n v="98072"/>
    <x v="12"/>
    <x v="20"/>
    <s v="MODEL 3"/>
    <x v="1"/>
    <s v="Clean Alternative Fuel Vehicle Eligible"/>
    <s v="220"/>
    <s v="0"/>
    <s v="1"/>
    <n v="240936041"/>
    <s v="POINT (-122.15545 47.75448)"/>
    <x v="1"/>
    <s v="53033021802"/>
  </r>
  <r>
    <x v="388"/>
    <x v="4"/>
    <s v="Vancouver"/>
    <s v="WA"/>
    <n v="98662"/>
    <x v="1"/>
    <x v="20"/>
    <s v="MODEL 3"/>
    <x v="1"/>
    <s v="Eligibility unknown as battery range has not been researched"/>
    <s v="0"/>
    <s v="0"/>
    <s v="49"/>
    <n v="151648409"/>
    <s v="POINT (-122.57722 45.64251)"/>
    <x v="3"/>
    <s v="53011041203"/>
  </r>
  <r>
    <x v="389"/>
    <x v="2"/>
    <s v="Bothell"/>
    <s v="WA"/>
    <n v="98012"/>
    <x v="2"/>
    <x v="20"/>
    <s v="MODEL 3"/>
    <x v="1"/>
    <s v="Eligibility unknown as battery range has not been researched"/>
    <s v="0"/>
    <s v="0"/>
    <s v="1"/>
    <n v="218083365"/>
    <s v="POINT (-122.21061 47.83448)"/>
    <x v="0"/>
    <s v="53061051934"/>
  </r>
  <r>
    <x v="390"/>
    <x v="1"/>
    <s v="Sammamish"/>
    <s v="WA"/>
    <n v="98075"/>
    <x v="0"/>
    <x v="20"/>
    <s v="MODEL 3"/>
    <x v="1"/>
    <s v="Eligibility unknown as battery range has not been researched"/>
    <s v="0"/>
    <s v="0"/>
    <s v="41"/>
    <n v="240611059"/>
    <s v="POINT (-122.03539 47.61344)"/>
    <x v="1"/>
    <s v="53033032217"/>
  </r>
  <r>
    <x v="391"/>
    <x v="2"/>
    <s v="Lynnwood"/>
    <s v="WA"/>
    <n v="98087"/>
    <x v="3"/>
    <x v="20"/>
    <s v="MODEL 3"/>
    <x v="1"/>
    <s v="Eligibility unknown as battery range has not been researched"/>
    <s v="0"/>
    <s v="0"/>
    <s v="21"/>
    <n v="271556085"/>
    <s v="POINT (-122.27981 47.85727)"/>
    <x v="0"/>
    <s v="53061041812"/>
  </r>
  <r>
    <x v="392"/>
    <x v="1"/>
    <s v="Seattle"/>
    <s v="WA"/>
    <n v="98101"/>
    <x v="4"/>
    <x v="20"/>
    <s v="MODEL 3"/>
    <x v="1"/>
    <s v="Eligibility unknown as battery range has not been researched"/>
    <s v="0"/>
    <s v="0"/>
    <s v="43"/>
    <n v="281188743"/>
    <s v="POINT (-122.34223 47.61085)"/>
    <x v="4"/>
    <s v="53033008102"/>
  </r>
  <r>
    <x v="392"/>
    <x v="1"/>
    <s v="Mercer Island"/>
    <s v="WA"/>
    <n v="98040"/>
    <x v="4"/>
    <x v="20"/>
    <s v="MODEL 3"/>
    <x v="1"/>
    <s v="Eligibility unknown as battery range has not been researched"/>
    <s v="0"/>
    <s v="0"/>
    <s v="41"/>
    <n v="284097964"/>
    <s v="POINT (-122.21238 47.57816)"/>
    <x v="1"/>
    <s v="53033024302"/>
  </r>
  <r>
    <x v="392"/>
    <x v="1"/>
    <s v="Federal Way"/>
    <s v="WA"/>
    <n v="98023"/>
    <x v="4"/>
    <x v="20"/>
    <s v="MODEL 3"/>
    <x v="1"/>
    <s v="Eligibility unknown as battery range has not been researched"/>
    <s v="0"/>
    <s v="0"/>
    <s v="30"/>
    <n v="282515418"/>
    <s v="POINT (-122.34059 47.32478)"/>
    <x v="1"/>
    <s v="53033030308"/>
  </r>
  <r>
    <x v="392"/>
    <x v="1"/>
    <s v="Bellevue"/>
    <s v="WA"/>
    <n v="98008"/>
    <x v="4"/>
    <x v="20"/>
    <s v="MODEL 3"/>
    <x v="1"/>
    <s v="Eligibility unknown as battery range has not been researched"/>
    <s v="0"/>
    <s v="0"/>
    <s v="48"/>
    <n v="275882456"/>
    <s v="POINT (-122.11867 47.63131)"/>
    <x v="1"/>
    <s v="53033023403"/>
  </r>
  <r>
    <x v="393"/>
    <x v="2"/>
    <s v="Lynnwood"/>
    <s v="WA"/>
    <n v="98087"/>
    <x v="10"/>
    <x v="20"/>
    <s v="MODEL 3"/>
    <x v="1"/>
    <s v="Clean Alternative Fuel Vehicle Eligible"/>
    <s v="215"/>
    <s v="0"/>
    <s v="21"/>
    <n v="282176023"/>
    <s v="POINT (-122.27981 47.85727)"/>
    <x v="0"/>
    <s v="53061041901"/>
  </r>
  <r>
    <x v="393"/>
    <x v="1"/>
    <s v="Seattle"/>
    <s v="WA"/>
    <n v="98108"/>
    <x v="10"/>
    <x v="20"/>
    <s v="MODEL 3"/>
    <x v="1"/>
    <s v="Clean Alternative Fuel Vehicle Eligible"/>
    <s v="215"/>
    <s v="0"/>
    <s v="37"/>
    <n v="281332971"/>
    <s v="POINT (-122.30346 47.55379)"/>
    <x v="4"/>
    <s v="53033010101"/>
  </r>
  <r>
    <x v="393"/>
    <x v="1"/>
    <s v="Issaquah"/>
    <s v="WA"/>
    <n v="98027"/>
    <x v="10"/>
    <x v="20"/>
    <s v="MODEL 3"/>
    <x v="1"/>
    <s v="Clean Alternative Fuel Vehicle Eligible"/>
    <s v="215"/>
    <s v="0"/>
    <s v="5"/>
    <n v="224335618"/>
    <s v="POINT (-122.03439 47.5301)"/>
    <x v="1"/>
    <s v="53033032104"/>
  </r>
  <r>
    <x v="394"/>
    <x v="1"/>
    <s v="Seattle"/>
    <s v="WA"/>
    <n v="98133"/>
    <x v="12"/>
    <x v="20"/>
    <s v="MODEL 3"/>
    <x v="1"/>
    <s v="Clean Alternative Fuel Vehicle Eligible"/>
    <s v="220"/>
    <s v="0"/>
    <s v="46"/>
    <n v="259990475"/>
    <s v="POINT (-122.35029 47.71871)"/>
    <x v="4"/>
    <s v="53033000602"/>
  </r>
  <r>
    <x v="394"/>
    <x v="1"/>
    <s v="Auburn"/>
    <s v="WA"/>
    <n v="98092"/>
    <x v="12"/>
    <x v="20"/>
    <s v="MODEL 3"/>
    <x v="1"/>
    <s v="Clean Alternative Fuel Vehicle Eligible"/>
    <s v="220"/>
    <s v="0"/>
    <s v="31"/>
    <n v="264906393"/>
    <s v="POINT (-122.18497 47.28825)"/>
    <x v="1"/>
    <s v="53033031000"/>
  </r>
  <r>
    <x v="394"/>
    <x v="7"/>
    <s v="Olympia"/>
    <s v="WA"/>
    <n v="98502"/>
    <x v="12"/>
    <x v="20"/>
    <s v="MODEL 3"/>
    <x v="1"/>
    <s v="Clean Alternative Fuel Vehicle Eligible"/>
    <s v="220"/>
    <s v="0"/>
    <s v="22"/>
    <n v="219245631"/>
    <s v="POINT (-122.92333 47.03779)"/>
    <x v="0"/>
    <s v="53067010600"/>
  </r>
  <r>
    <x v="395"/>
    <x v="6"/>
    <s v="Bonney Lake"/>
    <s v="WA"/>
    <n v="98391"/>
    <x v="11"/>
    <x v="20"/>
    <s v="MODEL 3"/>
    <x v="1"/>
    <s v="Clean Alternative Fuel Vehicle Eligible"/>
    <s v="266"/>
    <s v="0"/>
    <s v="31"/>
    <n v="5012402"/>
    <s v="POINT (-122.17144 47.19175)"/>
    <x v="1"/>
    <s v="53053070209"/>
  </r>
  <r>
    <x v="396"/>
    <x v="1"/>
    <s v="Kirkland"/>
    <s v="WA"/>
    <n v="98034"/>
    <x v="1"/>
    <x v="20"/>
    <s v="MODEL 3"/>
    <x v="1"/>
    <s v="Eligibility unknown as battery range has not been researched"/>
    <s v="0"/>
    <s v="0"/>
    <s v="45"/>
    <n v="138491349"/>
    <s v="POINT (-122.22901 47.72201)"/>
    <x v="1"/>
    <s v="53033022006"/>
  </r>
  <r>
    <x v="397"/>
    <x v="1"/>
    <s v="Seattle"/>
    <s v="WA"/>
    <n v="98109"/>
    <x v="0"/>
    <x v="20"/>
    <s v="MODEL 3"/>
    <x v="1"/>
    <s v="Eligibility unknown as battery range has not been researched"/>
    <s v="0"/>
    <s v="0"/>
    <s v="36"/>
    <n v="282260702"/>
    <s v="POINT (-122.35022 47.63824)"/>
    <x v="4"/>
    <s v="53033007203"/>
  </r>
  <r>
    <x v="398"/>
    <x v="1"/>
    <s v="Bellevue"/>
    <s v="WA"/>
    <n v="98006"/>
    <x v="4"/>
    <x v="20"/>
    <s v="MODEL 3"/>
    <x v="1"/>
    <s v="Eligibility unknown as battery range has not been researched"/>
    <s v="0"/>
    <s v="0"/>
    <s v="41"/>
    <n v="280018679"/>
    <s v="POINT (-122.12096 47.55584)"/>
    <x v="1"/>
    <s v="53033023902"/>
  </r>
  <r>
    <x v="399"/>
    <x v="28"/>
    <s v="Pullman"/>
    <s v="WA"/>
    <n v="99163"/>
    <x v="10"/>
    <x v="20"/>
    <s v="MODEL 3"/>
    <x v="1"/>
    <s v="Clean Alternative Fuel Vehicle Eligible"/>
    <s v="215"/>
    <s v="0"/>
    <s v="9"/>
    <n v="138136155"/>
    <s v="POINT (-117.18147 46.73015)"/>
    <x v="9"/>
    <s v="53075000300"/>
  </r>
  <r>
    <x v="399"/>
    <x v="1"/>
    <s v="Kirkland"/>
    <s v="WA"/>
    <n v="98033"/>
    <x v="10"/>
    <x v="20"/>
    <s v="MODEL 3"/>
    <x v="1"/>
    <s v="Clean Alternative Fuel Vehicle Eligible"/>
    <s v="215"/>
    <s v="0"/>
    <s v="48"/>
    <n v="329470921"/>
    <s v="POINT (-122.2066 47.67887)"/>
    <x v="1"/>
    <s v="53033022501"/>
  </r>
  <r>
    <x v="399"/>
    <x v="1"/>
    <s v="Seattle"/>
    <s v="WA"/>
    <n v="98122"/>
    <x v="10"/>
    <x v="20"/>
    <s v="MODEL 3"/>
    <x v="1"/>
    <s v="Clean Alternative Fuel Vehicle Eligible"/>
    <s v="215"/>
    <s v="0"/>
    <s v="37"/>
    <n v="188736250"/>
    <s v="POINT (-122.31009 47.60803)"/>
    <x v="4"/>
    <s v="53033007800"/>
  </r>
  <r>
    <x v="399"/>
    <x v="1"/>
    <s v="Seattle"/>
    <s v="WA"/>
    <n v="98109"/>
    <x v="10"/>
    <x v="20"/>
    <s v="MODEL 3"/>
    <x v="1"/>
    <s v="Clean Alternative Fuel Vehicle Eligible"/>
    <s v="215"/>
    <s v="0"/>
    <s v="36"/>
    <n v="474487443"/>
    <s v="POINT (-122.35022 47.63824)"/>
    <x v="4"/>
    <s v="53033007002"/>
  </r>
  <r>
    <x v="400"/>
    <x v="2"/>
    <s v="Bothell"/>
    <s v="WA"/>
    <n v="98012"/>
    <x v="12"/>
    <x v="20"/>
    <s v="MODEL 3"/>
    <x v="1"/>
    <s v="Clean Alternative Fuel Vehicle Eligible"/>
    <s v="220"/>
    <s v="0"/>
    <s v="1"/>
    <n v="148090428"/>
    <s v="POINT (-122.21061 47.83448)"/>
    <x v="0"/>
    <s v="53061051933"/>
  </r>
  <r>
    <x v="400"/>
    <x v="1"/>
    <s v="Kent"/>
    <s v="WA"/>
    <n v="98032"/>
    <x v="12"/>
    <x v="20"/>
    <s v="MODEL 3"/>
    <x v="1"/>
    <s v="Clean Alternative Fuel Vehicle Eligible"/>
    <s v="220"/>
    <s v="0"/>
    <s v="33"/>
    <n v="278029160"/>
    <s v="POINT (-122.23741 47.3807)"/>
    <x v="1"/>
    <s v="53033029203"/>
  </r>
  <r>
    <x v="401"/>
    <x v="3"/>
    <s v="Yakima"/>
    <s v="WA"/>
    <n v="98901"/>
    <x v="11"/>
    <x v="20"/>
    <s v="MODEL 3"/>
    <x v="1"/>
    <s v="Clean Alternative Fuel Vehicle Eligible"/>
    <s v="266"/>
    <s v="0"/>
    <s v="15"/>
    <n v="127484339"/>
    <s v="POINT (-120.50729 46.60464)"/>
    <x v="2"/>
    <s v="53077001602"/>
  </r>
  <r>
    <x v="401"/>
    <x v="1"/>
    <s v="Seattle"/>
    <s v="WA"/>
    <n v="98199"/>
    <x v="11"/>
    <x v="20"/>
    <s v="MODEL 3"/>
    <x v="1"/>
    <s v="Clean Alternative Fuel Vehicle Eligible"/>
    <s v="266"/>
    <s v="0"/>
    <s v="36"/>
    <n v="2950524"/>
    <s v="POINT (-122.40092 47.65908)"/>
    <x v="4"/>
    <s v="53033005600"/>
  </r>
  <r>
    <x v="402"/>
    <x v="1"/>
    <s v="Carnation"/>
    <s v="WA"/>
    <n v="98014"/>
    <x v="1"/>
    <x v="20"/>
    <s v="MODEL 3"/>
    <x v="1"/>
    <s v="Eligibility unknown as battery range has not been researched"/>
    <s v="0"/>
    <s v="0"/>
    <s v="5"/>
    <n v="190018951"/>
    <s v="POINT (-121.91353 47.64901)"/>
    <x v="17"/>
    <s v="53033032500"/>
  </r>
  <r>
    <x v="403"/>
    <x v="1"/>
    <s v="Sammamish"/>
    <s v="WA"/>
    <n v="98075"/>
    <x v="0"/>
    <x v="20"/>
    <s v="MODEL 3"/>
    <x v="1"/>
    <s v="Eligibility unknown as battery range has not been researched"/>
    <s v="0"/>
    <s v="0"/>
    <s v="41"/>
    <n v="232811449"/>
    <s v="POINT (-122.03539 47.61344)"/>
    <x v="1"/>
    <s v="53033032224"/>
  </r>
  <r>
    <x v="404"/>
    <x v="1"/>
    <s v="Duvall"/>
    <s v="WA"/>
    <n v="98019"/>
    <x v="9"/>
    <x v="20"/>
    <s v="MODEL 3"/>
    <x v="1"/>
    <s v="Clean Alternative Fuel Vehicle Eligible"/>
    <s v="220"/>
    <s v="0"/>
    <s v="5"/>
    <n v="209203578"/>
    <s v="POINT (-121.98609 47.74068)"/>
    <x v="1"/>
    <s v="53033032401"/>
  </r>
  <r>
    <x v="405"/>
    <x v="2"/>
    <s v="Edmonds"/>
    <s v="WA"/>
    <n v="98026"/>
    <x v="10"/>
    <x v="20"/>
    <s v="MODEL 3"/>
    <x v="1"/>
    <s v="Clean Alternative Fuel Vehicle Eligible"/>
    <s v="215"/>
    <s v="0"/>
    <s v="21"/>
    <n v="475557393"/>
    <s v="POINT (-122.31768 47.87166)"/>
    <x v="0"/>
    <s v="53061050404"/>
  </r>
  <r>
    <x v="406"/>
    <x v="2"/>
    <s v="Bothell"/>
    <s v="WA"/>
    <n v="98012"/>
    <x v="11"/>
    <x v="20"/>
    <s v="MODEL 3"/>
    <x v="1"/>
    <s v="Clean Alternative Fuel Vehicle Eligible"/>
    <s v="266"/>
    <s v="0"/>
    <s v="44"/>
    <n v="141793480"/>
    <s v="POINT (-122.21061 47.83448)"/>
    <x v="0"/>
    <s v="53061052007"/>
  </r>
  <r>
    <x v="407"/>
    <x v="1"/>
    <s v="North Bend"/>
    <s v="WA"/>
    <n v="98045"/>
    <x v="0"/>
    <x v="20"/>
    <s v="MODEL 3"/>
    <x v="1"/>
    <s v="Eligibility unknown as battery range has not been researched"/>
    <s v="0"/>
    <s v="0"/>
    <s v="5"/>
    <n v="277934604"/>
    <s v="POINT (-121.7831 47.49348)"/>
    <x v="1"/>
    <s v="53033032704"/>
  </r>
  <r>
    <x v="407"/>
    <x v="1"/>
    <s v="Federal Way"/>
    <s v="WA"/>
    <n v="98003"/>
    <x v="0"/>
    <x v="20"/>
    <s v="MODEL 3"/>
    <x v="1"/>
    <s v="Eligibility unknown as battery range has not been researched"/>
    <s v="0"/>
    <s v="0"/>
    <s v="30"/>
    <n v="244800321"/>
    <s v="POINT (-122.3303 47.30151)"/>
    <x v="1"/>
    <s v="53033030007"/>
  </r>
  <r>
    <x v="407"/>
    <x v="1"/>
    <s v="Seattle"/>
    <s v="WA"/>
    <n v="98122"/>
    <x v="0"/>
    <x v="20"/>
    <s v="MODEL 3"/>
    <x v="1"/>
    <s v="Eligibility unknown as battery range has not been researched"/>
    <s v="0"/>
    <s v="0"/>
    <s v="43"/>
    <n v="245622387"/>
    <s v="POINT (-122.31009 47.60803)"/>
    <x v="4"/>
    <s v="53033008401"/>
  </r>
  <r>
    <x v="407"/>
    <x v="22"/>
    <s v="Bellingham"/>
    <s v="WA"/>
    <n v="98229"/>
    <x v="0"/>
    <x v="20"/>
    <s v="MODEL 3"/>
    <x v="1"/>
    <s v="Eligibility unknown as battery range has not been researched"/>
    <s v="0"/>
    <s v="0"/>
    <s v="40"/>
    <n v="233425300"/>
    <s v="POINT (-122.45486 48.7449)"/>
    <x v="23"/>
    <s v="53073000902"/>
  </r>
  <r>
    <x v="407"/>
    <x v="7"/>
    <s v="Olympia"/>
    <s v="WA"/>
    <n v="98501"/>
    <x v="0"/>
    <x v="20"/>
    <s v="MODEL 3"/>
    <x v="1"/>
    <s v="Eligibility unknown as battery range has not been researched"/>
    <s v="0"/>
    <s v="0"/>
    <s v="35"/>
    <n v="240946485"/>
    <s v="POINT (-122.89165 47.03954)"/>
    <x v="0"/>
    <s v="53067011721"/>
  </r>
  <r>
    <x v="407"/>
    <x v="1"/>
    <s v="Seattle"/>
    <s v="WA"/>
    <n v="98177"/>
    <x v="0"/>
    <x v="20"/>
    <s v="MODEL 3"/>
    <x v="1"/>
    <s v="Eligibility unknown as battery range has not been researched"/>
    <s v="0"/>
    <s v="0"/>
    <s v="36"/>
    <n v="244845807"/>
    <s v="POINT (-122.36498 47.72238)"/>
    <x v="4"/>
    <s v="53033001400"/>
  </r>
  <r>
    <x v="407"/>
    <x v="1"/>
    <s v="Maple Valley"/>
    <s v="WA"/>
    <n v="98038"/>
    <x v="0"/>
    <x v="20"/>
    <s v="MODEL 3"/>
    <x v="1"/>
    <s v="Eligibility unknown as battery range has not been researched"/>
    <s v="0"/>
    <s v="0"/>
    <s v="5"/>
    <n v="269851060"/>
    <s v="POINT (-122.04526 47.39394)"/>
    <x v="1"/>
    <s v="53033032002"/>
  </r>
  <r>
    <x v="408"/>
    <x v="6"/>
    <s v="Graham"/>
    <s v="WA"/>
    <n v="98338"/>
    <x v="3"/>
    <x v="20"/>
    <s v="MODEL 3"/>
    <x v="1"/>
    <s v="Eligibility unknown as battery range has not been researched"/>
    <s v="0"/>
    <s v="0"/>
    <s v="2"/>
    <n v="264614227"/>
    <s v="POINT (-122.29477 47.05703)"/>
    <x v="29"/>
    <s v="53053073117"/>
  </r>
  <r>
    <x v="409"/>
    <x v="2"/>
    <s v="Bothell"/>
    <s v="WA"/>
    <n v="98021"/>
    <x v="10"/>
    <x v="20"/>
    <s v="MODEL 3"/>
    <x v="1"/>
    <s v="Clean Alternative Fuel Vehicle Eligible"/>
    <s v="215"/>
    <s v="0"/>
    <s v="1"/>
    <n v="334758462"/>
    <s v="POINT (-122.18384 47.8031)"/>
    <x v="0"/>
    <s v="53061051926"/>
  </r>
  <r>
    <x v="409"/>
    <x v="1"/>
    <s v="Renton"/>
    <s v="WA"/>
    <n v="98055"/>
    <x v="10"/>
    <x v="20"/>
    <s v="MODEL 3"/>
    <x v="1"/>
    <s v="Clean Alternative Fuel Vehicle Eligible"/>
    <s v="215"/>
    <s v="0"/>
    <s v="11"/>
    <n v="159840285"/>
    <s v="POINT (-122.20784 47.46004)"/>
    <x v="1"/>
    <s v="53033025805"/>
  </r>
  <r>
    <x v="409"/>
    <x v="2"/>
    <s v="Lynnwood"/>
    <s v="WA"/>
    <n v="98036"/>
    <x v="10"/>
    <x v="20"/>
    <s v="MODEL 3"/>
    <x v="1"/>
    <s v="Clean Alternative Fuel Vehicle Eligible"/>
    <s v="215"/>
    <s v="0"/>
    <s v="32"/>
    <n v="313694727"/>
    <s v="POINT (-122.29245 47.82557)"/>
    <x v="0"/>
    <s v="53061051931"/>
  </r>
  <r>
    <x v="410"/>
    <x v="7"/>
    <s v="Olympia"/>
    <s v="WA"/>
    <n v="98516"/>
    <x v="12"/>
    <x v="20"/>
    <s v="MODEL 3"/>
    <x v="1"/>
    <s v="Clean Alternative Fuel Vehicle Eligible"/>
    <s v="220"/>
    <s v="0"/>
    <s v="2"/>
    <n v="277957795"/>
    <s v="POINT (-122.78158 47.05335)"/>
    <x v="0"/>
    <s v="53067012330"/>
  </r>
  <r>
    <x v="411"/>
    <x v="1"/>
    <s v="Auburn"/>
    <s v="WA"/>
    <n v="98092"/>
    <x v="11"/>
    <x v="20"/>
    <s v="MODEL 3"/>
    <x v="1"/>
    <s v="Clean Alternative Fuel Vehicle Eligible"/>
    <s v="266"/>
    <s v="0"/>
    <s v="47"/>
    <n v="6254398"/>
    <s v="POINT (-122.18497 47.28825)"/>
    <x v="1"/>
    <s v="53033031206"/>
  </r>
  <r>
    <x v="412"/>
    <x v="1"/>
    <s v="Lake Forest Park"/>
    <s v="WA"/>
    <n v="98155"/>
    <x v="0"/>
    <x v="20"/>
    <s v="MODEL 3"/>
    <x v="1"/>
    <s v="Eligibility unknown as battery range has not been researched"/>
    <s v="0"/>
    <s v="0"/>
    <s v="46"/>
    <n v="240497869"/>
    <s v="POINT (-122.3175 47.75781)"/>
    <x v="4"/>
    <s v="53033020402"/>
  </r>
  <r>
    <x v="413"/>
    <x v="4"/>
    <s v="Vancouver"/>
    <s v="WA"/>
    <n v="98685"/>
    <x v="3"/>
    <x v="20"/>
    <s v="MODEL 3"/>
    <x v="1"/>
    <s v="Eligibility unknown as battery range has not been researched"/>
    <s v="0"/>
    <s v="0"/>
    <s v="18"/>
    <n v="273609066"/>
    <s v="POINT (-122.70303 45.70954)"/>
    <x v="3"/>
    <s v="53011040907"/>
  </r>
  <r>
    <x v="414"/>
    <x v="1"/>
    <s v="Kirkland"/>
    <s v="WA"/>
    <n v="98034"/>
    <x v="4"/>
    <x v="20"/>
    <s v="MODEL 3"/>
    <x v="1"/>
    <s v="Eligibility unknown as battery range has not been researched"/>
    <s v="0"/>
    <s v="0"/>
    <s v="45"/>
    <n v="279216836"/>
    <s v="POINT (-122.22901 47.72201)"/>
    <x v="1"/>
    <s v="53033021903"/>
  </r>
  <r>
    <x v="414"/>
    <x v="4"/>
    <s v="Vancouver"/>
    <s v="WA"/>
    <n v="98682"/>
    <x v="4"/>
    <x v="20"/>
    <s v="MODEL 3"/>
    <x v="1"/>
    <s v="Eligibility unknown as battery range has not been researched"/>
    <s v="0"/>
    <s v="0"/>
    <s v="17"/>
    <n v="282066655"/>
    <s v="POINT (-122.55149 45.69345)"/>
    <x v="3"/>
    <s v="53011041334"/>
  </r>
  <r>
    <x v="415"/>
    <x v="1"/>
    <s v="Seattle"/>
    <s v="WA"/>
    <n v="98104"/>
    <x v="10"/>
    <x v="20"/>
    <s v="MODEL 3"/>
    <x v="1"/>
    <s v="Clean Alternative Fuel Vehicle Eligible"/>
    <s v="215"/>
    <s v="0"/>
    <s v="43"/>
    <n v="159884301"/>
    <s v="POINT (-122.32945 47.60357)"/>
    <x v="4"/>
    <s v="53033008102"/>
  </r>
  <r>
    <x v="416"/>
    <x v="2"/>
    <s v="Bothell"/>
    <s v="WA"/>
    <n v="98021"/>
    <x v="12"/>
    <x v="20"/>
    <s v="MODEL 3"/>
    <x v="1"/>
    <s v="Clean Alternative Fuel Vehicle Eligible"/>
    <s v="220"/>
    <s v="0"/>
    <s v="1"/>
    <n v="277705858"/>
    <s v="POINT (-122.18384 47.8031)"/>
    <x v="0"/>
    <s v="53061051926"/>
  </r>
  <r>
    <x v="416"/>
    <x v="1"/>
    <s v="Renton"/>
    <s v="WA"/>
    <n v="98055"/>
    <x v="12"/>
    <x v="20"/>
    <s v="MODEL 3"/>
    <x v="1"/>
    <s v="Clean Alternative Fuel Vehicle Eligible"/>
    <s v="220"/>
    <s v="0"/>
    <s v="33"/>
    <n v="150954436"/>
    <s v="POINT (-122.20784 47.46004)"/>
    <x v="1"/>
    <s v="53033029309"/>
  </r>
  <r>
    <x v="417"/>
    <x v="2"/>
    <s v="Bothell"/>
    <s v="WA"/>
    <n v="98012"/>
    <x v="11"/>
    <x v="20"/>
    <s v="MODEL 3"/>
    <x v="1"/>
    <s v="Clean Alternative Fuel Vehicle Eligible"/>
    <s v="266"/>
    <s v="0"/>
    <s v="1"/>
    <n v="2531637"/>
    <s v="POINT (-122.21061 47.83448)"/>
    <x v="0"/>
    <s v="53061051933"/>
  </r>
  <r>
    <x v="417"/>
    <x v="6"/>
    <s v="Tacoma"/>
    <s v="WA"/>
    <n v="98418"/>
    <x v="11"/>
    <x v="20"/>
    <s v="MODEL 3"/>
    <x v="1"/>
    <s v="Clean Alternative Fuel Vehicle Eligible"/>
    <s v="266"/>
    <s v="0"/>
    <s v="27"/>
    <n v="270122891"/>
    <s v="POINT (-122.44629 47.22283)"/>
    <x v="11"/>
    <s v="53053061800"/>
  </r>
  <r>
    <x v="417"/>
    <x v="0"/>
    <s v="Port Orchard"/>
    <s v="WA"/>
    <n v="98367"/>
    <x v="11"/>
    <x v="20"/>
    <s v="MODEL 3"/>
    <x v="1"/>
    <s v="Clean Alternative Fuel Vehicle Eligible"/>
    <s v="266"/>
    <s v="0"/>
    <s v="26"/>
    <n v="138517711"/>
    <s v="POINT (-122.70348 47.52028)"/>
    <x v="0"/>
    <s v="53035092801"/>
  </r>
  <r>
    <x v="418"/>
    <x v="1"/>
    <s v="Seattle"/>
    <s v="WA"/>
    <n v="98178"/>
    <x v="0"/>
    <x v="20"/>
    <s v="MODEL 3"/>
    <x v="1"/>
    <s v="Eligibility unknown as battery range has not been researched"/>
    <s v="0"/>
    <s v="0"/>
    <s v="37"/>
    <n v="251839535"/>
    <s v="POINT (-122.23825 47.49461)"/>
    <x v="4"/>
    <s v="53033011902"/>
  </r>
  <r>
    <x v="418"/>
    <x v="1"/>
    <s v="Federal Way"/>
    <s v="WA"/>
    <n v="98003"/>
    <x v="0"/>
    <x v="20"/>
    <s v="MODEL 3"/>
    <x v="1"/>
    <s v="Eligibility unknown as battery range has not been researched"/>
    <s v="0"/>
    <s v="0"/>
    <s v="30"/>
    <n v="280035185"/>
    <s v="POINT (-122.3303 47.30151)"/>
    <x v="1"/>
    <s v="53033030003"/>
  </r>
  <r>
    <x v="419"/>
    <x v="1"/>
    <s v="Seattle"/>
    <s v="WA"/>
    <n v="98125"/>
    <x v="4"/>
    <x v="20"/>
    <s v="MODEL 3"/>
    <x v="1"/>
    <s v="Eligibility unknown as battery range has not been researched"/>
    <s v="0"/>
    <s v="0"/>
    <s v="46"/>
    <n v="279258031"/>
    <s v="POINT (-122.30253 47.72656)"/>
    <x v="4"/>
    <s v="53033000800"/>
  </r>
  <r>
    <x v="420"/>
    <x v="2"/>
    <s v="Mukilteo"/>
    <s v="WA"/>
    <n v="98275"/>
    <x v="12"/>
    <x v="20"/>
    <s v="MODEL 3"/>
    <x v="1"/>
    <s v="Clean Alternative Fuel Vehicle Eligible"/>
    <s v="220"/>
    <s v="0"/>
    <s v="21"/>
    <n v="476066104"/>
    <s v="POINT (-122.29196 47.89908)"/>
    <x v="0"/>
    <s v="53061041301"/>
  </r>
  <r>
    <x v="420"/>
    <x v="1"/>
    <s v="Seattle"/>
    <s v="WA"/>
    <n v="98178"/>
    <x v="12"/>
    <x v="20"/>
    <s v="MODEL 3"/>
    <x v="1"/>
    <s v="Clean Alternative Fuel Vehicle Eligible"/>
    <s v="220"/>
    <s v="0"/>
    <s v="37"/>
    <n v="478181196"/>
    <s v="POINT (-122.23825 47.49461)"/>
    <x v="4"/>
    <s v="53033011902"/>
  </r>
  <r>
    <x v="421"/>
    <x v="1"/>
    <s v="Auburn"/>
    <s v="WA"/>
    <n v="98092"/>
    <x v="0"/>
    <x v="20"/>
    <s v="MODEL 3"/>
    <x v="1"/>
    <s v="Eligibility unknown as battery range has not been researched"/>
    <s v="0"/>
    <s v="0"/>
    <s v="47"/>
    <n v="235204987"/>
    <s v="POINT (-122.18497 47.28825)"/>
    <x v="1"/>
    <s v="53033031206"/>
  </r>
  <r>
    <x v="421"/>
    <x v="1"/>
    <s v="Seatac"/>
    <s v="WA"/>
    <n v="98188"/>
    <x v="0"/>
    <x v="20"/>
    <s v="MODEL 3"/>
    <x v="1"/>
    <s v="Eligibility unknown as battery range has not been researched"/>
    <s v="0"/>
    <s v="0"/>
    <s v="33"/>
    <n v="233656090"/>
    <s v="POINT (-122.27427 47.43405)"/>
    <x v="1"/>
    <s v="53033028802"/>
  </r>
  <r>
    <x v="421"/>
    <x v="1"/>
    <s v="Shoreline"/>
    <s v="WA"/>
    <n v="98155"/>
    <x v="0"/>
    <x v="20"/>
    <s v="MODEL 3"/>
    <x v="1"/>
    <s v="Eligibility unknown as battery range has not been researched"/>
    <s v="0"/>
    <s v="0"/>
    <s v="32"/>
    <n v="235000902"/>
    <s v="POINT (-122.3175 47.75781)"/>
    <x v="4"/>
    <s v="53033021000"/>
  </r>
  <r>
    <x v="421"/>
    <x v="6"/>
    <s v="Buckley"/>
    <s v="WA"/>
    <n v="98321"/>
    <x v="0"/>
    <x v="20"/>
    <s v="MODEL 3"/>
    <x v="1"/>
    <s v="Eligibility unknown as battery range has not been researched"/>
    <s v="0"/>
    <s v="0"/>
    <s v="31"/>
    <n v="252372942"/>
    <s v="POINT (-122.02523 47.16299)"/>
    <x v="1"/>
    <s v="53053070206"/>
  </r>
  <r>
    <x v="422"/>
    <x v="4"/>
    <s v="Camas"/>
    <s v="WA"/>
    <n v="98607"/>
    <x v="4"/>
    <x v="20"/>
    <s v="MODEL 3"/>
    <x v="1"/>
    <s v="Eligibility unknown as battery range has not been researched"/>
    <s v="0"/>
    <s v="0"/>
    <s v="18"/>
    <n v="285978318"/>
    <s v="POINT (-122.40199 45.58694)"/>
    <x v="3"/>
    <s v="53011040609"/>
  </r>
  <r>
    <x v="423"/>
    <x v="1"/>
    <s v="Issaquah"/>
    <s v="WA"/>
    <n v="98027"/>
    <x v="10"/>
    <x v="20"/>
    <s v="MODEL 3"/>
    <x v="1"/>
    <s v="Clean Alternative Fuel Vehicle Eligible"/>
    <s v="215"/>
    <s v="0"/>
    <s v="5"/>
    <n v="292786084"/>
    <s v="POINT (-122.03439 47.5301)"/>
    <x v="1"/>
    <s v="53033032102"/>
  </r>
  <r>
    <x v="423"/>
    <x v="0"/>
    <s v="Kingston"/>
    <s v="WA"/>
    <n v="98346"/>
    <x v="10"/>
    <x v="20"/>
    <s v="MODEL 3"/>
    <x v="1"/>
    <s v="Clean Alternative Fuel Vehicle Eligible"/>
    <s v="215"/>
    <s v="0"/>
    <s v="23"/>
    <n v="276402563"/>
    <s v="POINT (-122.4977 47.79802)"/>
    <x v="0"/>
    <s v="53035090101"/>
  </r>
  <r>
    <x v="424"/>
    <x v="2"/>
    <s v="Edmonds"/>
    <s v="WA"/>
    <n v="98020"/>
    <x v="12"/>
    <x v="20"/>
    <s v="MODEL 3"/>
    <x v="1"/>
    <s v="Clean Alternative Fuel Vehicle Eligible"/>
    <s v="220"/>
    <s v="0"/>
    <s v="32"/>
    <n v="219601966"/>
    <s v="POINT (-122.37689 47.81116)"/>
    <x v="0"/>
    <s v="53061050700"/>
  </r>
  <r>
    <x v="425"/>
    <x v="5"/>
    <s v="Langley"/>
    <s v="WA"/>
    <n v="98260"/>
    <x v="11"/>
    <x v="20"/>
    <s v="MODEL 3"/>
    <x v="1"/>
    <s v="Clean Alternative Fuel Vehicle Eligible"/>
    <s v="266"/>
    <s v="0"/>
    <s v="10"/>
    <n v="6020654"/>
    <s v="POINT (-122.40618 48.0399)"/>
    <x v="0"/>
    <s v="53029971900"/>
  </r>
  <r>
    <x v="426"/>
    <x v="1"/>
    <s v="Kirkland"/>
    <s v="WA"/>
    <n v="98034"/>
    <x v="0"/>
    <x v="20"/>
    <s v="MODEL 3"/>
    <x v="1"/>
    <s v="Eligibility unknown as battery range has not been researched"/>
    <s v="0"/>
    <s v="0"/>
    <s v="45"/>
    <n v="262393463"/>
    <s v="POINT (-122.22901 47.72201)"/>
    <x v="1"/>
    <s v="53033022003"/>
  </r>
  <r>
    <x v="426"/>
    <x v="2"/>
    <s v="Bothell"/>
    <s v="WA"/>
    <n v="98012"/>
    <x v="0"/>
    <x v="20"/>
    <s v="MODEL 3"/>
    <x v="1"/>
    <s v="Eligibility unknown as battery range has not been researched"/>
    <s v="0"/>
    <s v="0"/>
    <s v="1"/>
    <n v="251050390"/>
    <s v="POINT (-122.21061 47.83448)"/>
    <x v="0"/>
    <s v="53061051934"/>
  </r>
  <r>
    <x v="427"/>
    <x v="2"/>
    <s v="Everett"/>
    <s v="WA"/>
    <n v="98201"/>
    <x v="4"/>
    <x v="20"/>
    <s v="MODEL 3"/>
    <x v="1"/>
    <s v="Eligibility unknown as battery range has not been researched"/>
    <s v="0"/>
    <s v="0"/>
    <s v="38"/>
    <n v="279164931"/>
    <s v="POINT (-122.20596 47.97659)"/>
    <x v="0"/>
    <s v="53061040900"/>
  </r>
  <r>
    <x v="428"/>
    <x v="1"/>
    <s v="Issaquah"/>
    <s v="WA"/>
    <n v="98027"/>
    <x v="10"/>
    <x v="20"/>
    <s v="MODEL 3"/>
    <x v="1"/>
    <s v="Clean Alternative Fuel Vehicle Eligible"/>
    <s v="215"/>
    <s v="0"/>
    <s v="5"/>
    <n v="151547567"/>
    <s v="POINT (-122.03439 47.5301)"/>
    <x v="1"/>
    <s v="53033032104"/>
  </r>
  <r>
    <x v="429"/>
    <x v="28"/>
    <s v="Pullman"/>
    <s v="WA"/>
    <n v="99163"/>
    <x v="12"/>
    <x v="20"/>
    <s v="MODEL 3"/>
    <x v="1"/>
    <s v="Clean Alternative Fuel Vehicle Eligible"/>
    <s v="220"/>
    <s v="0"/>
    <s v="9"/>
    <n v="478451970"/>
    <s v="POINT (-117.18147 46.73015)"/>
    <x v="9"/>
    <s v="53075000300"/>
  </r>
  <r>
    <x v="429"/>
    <x v="2"/>
    <s v="Lake Stevens"/>
    <s v="WA"/>
    <n v="98258"/>
    <x v="12"/>
    <x v="20"/>
    <s v="MODEL 3"/>
    <x v="1"/>
    <s v="Clean Alternative Fuel Vehicle Eligible"/>
    <s v="220"/>
    <s v="0"/>
    <s v="44"/>
    <n v="476390295"/>
    <s v="POINT (-122.06402 48.01497)"/>
    <x v="0"/>
    <s v="53061052506"/>
  </r>
  <r>
    <x v="429"/>
    <x v="11"/>
    <s v="Anacortes"/>
    <s v="WA"/>
    <n v="98221"/>
    <x v="12"/>
    <x v="20"/>
    <s v="MODEL 3"/>
    <x v="1"/>
    <s v="Clean Alternative Fuel Vehicle Eligible"/>
    <s v="220"/>
    <s v="0"/>
    <s v="40"/>
    <n v="316182380"/>
    <s v="POINT (-122.61216 48.51749)"/>
    <x v="0"/>
    <s v="53057940301"/>
  </r>
  <r>
    <x v="429"/>
    <x v="3"/>
    <s v="Yakima"/>
    <s v="WA"/>
    <n v="98902"/>
    <x v="12"/>
    <x v="20"/>
    <s v="MODEL 3"/>
    <x v="1"/>
    <s v="Clean Alternative Fuel Vehicle Eligible"/>
    <s v="220"/>
    <s v="0"/>
    <s v="15"/>
    <n v="476706555"/>
    <s v="POINT (-120.51904 46.59783)"/>
    <x v="2"/>
    <s v="53077001100"/>
  </r>
  <r>
    <x v="429"/>
    <x v="1"/>
    <s v="Seattle"/>
    <s v="WA"/>
    <n v="98134"/>
    <x v="12"/>
    <x v="20"/>
    <s v="MODEL 3"/>
    <x v="1"/>
    <s v="Clean Alternative Fuel Vehicle Eligible"/>
    <s v="220"/>
    <s v="0"/>
    <s v="11"/>
    <n v="219454749"/>
    <s v="POINT (-122.32741 47.58616)"/>
    <x v="4"/>
    <s v="53033009300"/>
  </r>
  <r>
    <x v="430"/>
    <x v="20"/>
    <s v="Sequim"/>
    <s v="WA"/>
    <n v="98382"/>
    <x v="2"/>
    <x v="20"/>
    <s v="MODEL 3"/>
    <x v="1"/>
    <s v="Eligibility unknown as battery range has not been researched"/>
    <s v="0"/>
    <s v="0"/>
    <s v="24"/>
    <n v="218829194"/>
    <s v="POINT (-123.10367 48.07965)"/>
    <x v="20"/>
    <s v="53009001902"/>
  </r>
  <r>
    <x v="430"/>
    <x v="1"/>
    <s v="Bellevue"/>
    <s v="WA"/>
    <n v="98006"/>
    <x v="2"/>
    <x v="20"/>
    <s v="MODEL 3"/>
    <x v="1"/>
    <s v="Eligibility unknown as battery range has not been researched"/>
    <s v="0"/>
    <s v="0"/>
    <s v="41"/>
    <n v="183433953"/>
    <s v="POINT (-122.12096 47.55584)"/>
    <x v="1"/>
    <s v="53033024701"/>
  </r>
  <r>
    <x v="430"/>
    <x v="2"/>
    <s v="Lynnwood"/>
    <s v="WA"/>
    <n v="98087"/>
    <x v="2"/>
    <x v="20"/>
    <s v="MODEL 3"/>
    <x v="1"/>
    <s v="Eligibility unknown as battery range has not been researched"/>
    <s v="0"/>
    <s v="0"/>
    <s v="21"/>
    <n v="203575095"/>
    <s v="POINT (-122.27981 47.85727)"/>
    <x v="0"/>
    <s v="53061042004"/>
  </r>
  <r>
    <x v="431"/>
    <x v="2"/>
    <s v="Lake Stevens"/>
    <s v="WA"/>
    <n v="98258"/>
    <x v="3"/>
    <x v="20"/>
    <s v="MODEL 3"/>
    <x v="1"/>
    <s v="Eligibility unknown as battery range has not been researched"/>
    <s v="0"/>
    <s v="0"/>
    <s v="44"/>
    <n v="271746268"/>
    <s v="POINT (-122.06402 48.01497)"/>
    <x v="0"/>
    <s v="53061052604"/>
  </r>
  <r>
    <x v="432"/>
    <x v="1"/>
    <s v="Seattle"/>
    <s v="WA"/>
    <n v="98107"/>
    <x v="10"/>
    <x v="20"/>
    <s v="MODEL 3"/>
    <x v="1"/>
    <s v="Clean Alternative Fuel Vehicle Eligible"/>
    <s v="215"/>
    <s v="0"/>
    <s v="36"/>
    <n v="183328967"/>
    <s v="POINT (-122.38591 47.67597)"/>
    <x v="4"/>
    <s v="53033004701"/>
  </r>
  <r>
    <x v="432"/>
    <x v="5"/>
    <s v="Freeland"/>
    <s v="WA"/>
    <n v="98249"/>
    <x v="10"/>
    <x v="20"/>
    <s v="MODEL 3"/>
    <x v="1"/>
    <s v="Clean Alternative Fuel Vehicle Eligible"/>
    <s v="215"/>
    <s v="0"/>
    <s v="10"/>
    <n v="474569637"/>
    <s v="POINT (-122.52664 48.00956)"/>
    <x v="0"/>
    <s v="53029971900"/>
  </r>
  <r>
    <x v="433"/>
    <x v="1"/>
    <s v="Redmond"/>
    <s v="WA"/>
    <n v="98052"/>
    <x v="12"/>
    <x v="20"/>
    <s v="MODEL 3"/>
    <x v="1"/>
    <s v="Clean Alternative Fuel Vehicle Eligible"/>
    <s v="220"/>
    <s v="0"/>
    <s v="48"/>
    <n v="476739917"/>
    <s v="POINT (-122.13158 47.67858)"/>
    <x v="1"/>
    <s v="53033022605"/>
  </r>
  <r>
    <x v="433"/>
    <x v="3"/>
    <s v="Yakima"/>
    <s v="WA"/>
    <n v="98902"/>
    <x v="12"/>
    <x v="20"/>
    <s v="MODEL 3"/>
    <x v="1"/>
    <s v="Clean Alternative Fuel Vehicle Eligible"/>
    <s v="220"/>
    <s v="0"/>
    <s v="14"/>
    <n v="272512824"/>
    <s v="POINT (-120.51904 46.59783)"/>
    <x v="2"/>
    <s v="53077001202"/>
  </r>
  <r>
    <x v="433"/>
    <x v="1"/>
    <s v="Seattle"/>
    <s v="WA"/>
    <n v="98134"/>
    <x v="12"/>
    <x v="20"/>
    <s v="MODEL 3"/>
    <x v="1"/>
    <s v="Clean Alternative Fuel Vehicle Eligible"/>
    <s v="220"/>
    <s v="0"/>
    <s v="11"/>
    <n v="477670378"/>
    <s v="POINT (-122.32741 47.58616)"/>
    <x v="4"/>
    <s v="53033009300"/>
  </r>
  <r>
    <x v="434"/>
    <x v="7"/>
    <s v="Olympia"/>
    <s v="WA"/>
    <n v="98501"/>
    <x v="1"/>
    <x v="20"/>
    <s v="MODEL 3"/>
    <x v="1"/>
    <s v="Eligibility unknown as battery range has not been researched"/>
    <s v="0"/>
    <s v="0"/>
    <s v="35"/>
    <n v="178930146"/>
    <s v="POINT (-122.89165 47.03954)"/>
    <x v="0"/>
    <s v="53067011721"/>
  </r>
  <r>
    <x v="434"/>
    <x v="0"/>
    <s v="Bremerton"/>
    <s v="WA"/>
    <n v="98312"/>
    <x v="1"/>
    <x v="20"/>
    <s v="MODEL 3"/>
    <x v="1"/>
    <s v="Eligibility unknown as battery range has not been researched"/>
    <s v="0"/>
    <s v="0"/>
    <s v="26"/>
    <n v="268801627"/>
    <s v="POINT (-122.65223 47.57192)"/>
    <x v="0"/>
    <s v="53035081200"/>
  </r>
  <r>
    <x v="434"/>
    <x v="1"/>
    <s v="Seattle"/>
    <s v="WA"/>
    <n v="98122"/>
    <x v="1"/>
    <x v="20"/>
    <s v="MODEL 3"/>
    <x v="1"/>
    <s v="Eligibility unknown as battery range has not been researched"/>
    <s v="0"/>
    <s v="0"/>
    <s v="43"/>
    <n v="179519007"/>
    <s v="POINT (-122.31009 47.60803)"/>
    <x v="4"/>
    <s v="53033007502"/>
  </r>
  <r>
    <x v="435"/>
    <x v="1"/>
    <s v="Auburn"/>
    <s v="WA"/>
    <n v="98092"/>
    <x v="2"/>
    <x v="20"/>
    <s v="MODEL 3"/>
    <x v="1"/>
    <s v="Eligibility unknown as battery range has not been researched"/>
    <s v="0"/>
    <s v="0"/>
    <s v="47"/>
    <n v="278003526"/>
    <s v="POINT (-122.18497 47.28825)"/>
    <x v="1"/>
    <s v="53033029602"/>
  </r>
  <r>
    <x v="436"/>
    <x v="7"/>
    <s v="Olympia"/>
    <s v="WA"/>
    <n v="98502"/>
    <x v="0"/>
    <x v="20"/>
    <s v="MODEL 3"/>
    <x v="1"/>
    <s v="Eligibility unknown as battery range has not been researched"/>
    <s v="0"/>
    <s v="0"/>
    <s v="22"/>
    <n v="261992335"/>
    <s v="POINT (-122.92333 47.03779)"/>
    <x v="0"/>
    <s v="53067012001"/>
  </r>
  <r>
    <x v="437"/>
    <x v="1"/>
    <s v="Seattle"/>
    <s v="WA"/>
    <n v="98109"/>
    <x v="3"/>
    <x v="20"/>
    <s v="MODEL 3"/>
    <x v="1"/>
    <s v="Eligibility unknown as battery range has not been researched"/>
    <s v="0"/>
    <s v="0"/>
    <s v="36"/>
    <n v="277706838"/>
    <s v="POINT (-122.35022 47.63824)"/>
    <x v="4"/>
    <s v="53033006701"/>
  </r>
  <r>
    <x v="438"/>
    <x v="1"/>
    <s v="Burien"/>
    <s v="WA"/>
    <n v="98146"/>
    <x v="10"/>
    <x v="20"/>
    <s v="MODEL 3"/>
    <x v="1"/>
    <s v="Clean Alternative Fuel Vehicle Eligible"/>
    <s v="215"/>
    <s v="0"/>
    <s v="34"/>
    <n v="474264997"/>
    <s v="POINT (-122.36178 47.49408)"/>
    <x v="4"/>
    <s v="53033026700"/>
  </r>
  <r>
    <x v="438"/>
    <x v="14"/>
    <s v="Walla Walla"/>
    <s v="WA"/>
    <n v="99362"/>
    <x v="10"/>
    <x v="20"/>
    <s v="MODEL 3"/>
    <x v="1"/>
    <s v="Clean Alternative Fuel Vehicle Eligible"/>
    <s v="215"/>
    <s v="0"/>
    <s v="16"/>
    <n v="290488782"/>
    <s v="POINT (-118.34261 46.07068)"/>
    <x v="2"/>
    <s v="53071920901"/>
  </r>
  <r>
    <x v="438"/>
    <x v="1"/>
    <s v="Bellevue"/>
    <s v="WA"/>
    <n v="98008"/>
    <x v="10"/>
    <x v="20"/>
    <s v="MODEL 3"/>
    <x v="1"/>
    <s v="Clean Alternative Fuel Vehicle Eligible"/>
    <s v="215"/>
    <s v="0"/>
    <s v="48"/>
    <n v="259539367"/>
    <s v="POINT (-122.11867 47.63131)"/>
    <x v="1"/>
    <s v="53033023000"/>
  </r>
  <r>
    <x v="438"/>
    <x v="1"/>
    <s v="Bellevue"/>
    <s v="WA"/>
    <n v="98007"/>
    <x v="10"/>
    <x v="20"/>
    <s v="MODEL 3"/>
    <x v="1"/>
    <s v="Clean Alternative Fuel Vehicle Eligible"/>
    <s v="215"/>
    <s v="0"/>
    <s v="48"/>
    <n v="475289930"/>
    <s v="POINT (-122.12056 47.61334)"/>
    <x v="1"/>
    <s v="53033022805"/>
  </r>
  <r>
    <x v="438"/>
    <x v="1"/>
    <s v="Kent"/>
    <s v="WA"/>
    <n v="98030"/>
    <x v="10"/>
    <x v="20"/>
    <s v="MODEL 3"/>
    <x v="1"/>
    <s v="Clean Alternative Fuel Vehicle Eligible"/>
    <s v="215"/>
    <s v="0"/>
    <s v="47"/>
    <n v="474435510"/>
    <s v="POINT (-122.224 47.37943)"/>
    <x v="1"/>
    <s v="53033029602"/>
  </r>
  <r>
    <x v="439"/>
    <x v="2"/>
    <s v="Everett"/>
    <s v="WA"/>
    <n v="98203"/>
    <x v="11"/>
    <x v="20"/>
    <s v="MODEL 3"/>
    <x v="1"/>
    <s v="Clean Alternative Fuel Vehicle Eligible"/>
    <s v="322"/>
    <s v="0"/>
    <s v="38"/>
    <n v="218203443"/>
    <s v="POINT (-122.23019 47.94949)"/>
    <x v="0"/>
    <s v="53061041400"/>
  </r>
  <r>
    <x v="439"/>
    <x v="2"/>
    <s v="Everett"/>
    <s v="WA"/>
    <n v="98201"/>
    <x v="11"/>
    <x v="20"/>
    <s v="MODEL 3"/>
    <x v="1"/>
    <s v="Clean Alternative Fuel Vehicle Eligible"/>
    <s v="322"/>
    <s v="0"/>
    <s v="38"/>
    <n v="269312445"/>
    <s v="POINT (-122.20596 47.97659)"/>
    <x v="0"/>
    <s v="53061040100"/>
  </r>
  <r>
    <x v="440"/>
    <x v="1"/>
    <s v="Seattle"/>
    <s v="WA"/>
    <n v="98121"/>
    <x v="2"/>
    <x v="20"/>
    <s v="MODEL 3"/>
    <x v="1"/>
    <s v="Eligibility unknown as battery range has not been researched"/>
    <s v="0"/>
    <s v="0"/>
    <s v="36"/>
    <n v="218025783"/>
    <s v="POINT (-122.34468 47.61578)"/>
    <x v="4"/>
    <s v="53033007201"/>
  </r>
  <r>
    <x v="440"/>
    <x v="7"/>
    <s v="Olympia"/>
    <s v="WA"/>
    <n v="98506"/>
    <x v="2"/>
    <x v="20"/>
    <s v="MODEL 3"/>
    <x v="1"/>
    <s v="Eligibility unknown as battery range has not been researched"/>
    <s v="0"/>
    <s v="0"/>
    <s v="22"/>
    <n v="219604017"/>
    <s v="POINT (-122.87741 47.05997)"/>
    <x v="0"/>
    <s v="53067012100"/>
  </r>
  <r>
    <x v="441"/>
    <x v="1"/>
    <s v="Kent"/>
    <s v="WA"/>
    <n v="98031"/>
    <x v="4"/>
    <x v="20"/>
    <s v="MODEL 3"/>
    <x v="1"/>
    <s v="Eligibility unknown as battery range has not been researched"/>
    <s v="0"/>
    <s v="0"/>
    <s v="47"/>
    <n v="276909111"/>
    <s v="POINT (-122.17743 47.41185)"/>
    <x v="1"/>
    <s v="53033029403"/>
  </r>
  <r>
    <x v="442"/>
    <x v="1"/>
    <s v="Renton"/>
    <s v="WA"/>
    <n v="98056"/>
    <x v="10"/>
    <x v="20"/>
    <s v="MODEL 3"/>
    <x v="1"/>
    <s v="Clean Alternative Fuel Vehicle Eligible"/>
    <s v="215"/>
    <s v="0"/>
    <s v="41"/>
    <n v="259662441"/>
    <s v="POINT (-122.2044 47.52136)"/>
    <x v="1"/>
    <s v="53033025201"/>
  </r>
  <r>
    <x v="442"/>
    <x v="1"/>
    <s v="Redmond"/>
    <s v="WA"/>
    <n v="98053"/>
    <x v="10"/>
    <x v="20"/>
    <s v="MODEL 3"/>
    <x v="1"/>
    <s v="Clean Alternative Fuel Vehicle Eligible"/>
    <s v="215"/>
    <s v="0"/>
    <s v="45"/>
    <n v="166351566"/>
    <s v="POINT (-122.03287 47.68555)"/>
    <x v="1"/>
    <s v="53033032332"/>
  </r>
  <r>
    <x v="442"/>
    <x v="1"/>
    <s v="Bellevue"/>
    <s v="WA"/>
    <n v="98008"/>
    <x v="10"/>
    <x v="20"/>
    <s v="MODEL 3"/>
    <x v="1"/>
    <s v="Clean Alternative Fuel Vehicle Eligible"/>
    <s v="215"/>
    <s v="0"/>
    <s v="48"/>
    <n v="474052071"/>
    <s v="POINT (-122.11867 47.63131)"/>
    <x v="1"/>
    <s v="53033023403"/>
  </r>
  <r>
    <x v="443"/>
    <x v="28"/>
    <s v="Pullman"/>
    <s v="WA"/>
    <n v="99163"/>
    <x v="12"/>
    <x v="20"/>
    <s v="MODEL 3"/>
    <x v="1"/>
    <s v="Clean Alternative Fuel Vehicle Eligible"/>
    <s v="220"/>
    <s v="0"/>
    <s v="9"/>
    <n v="4651076"/>
    <s v="POINT (-117.18147 46.73015)"/>
    <x v="9"/>
    <s v="53075000400"/>
  </r>
  <r>
    <x v="444"/>
    <x v="2"/>
    <s v="Everett"/>
    <s v="WA"/>
    <n v="98208"/>
    <x v="11"/>
    <x v="20"/>
    <s v="MODEL 3"/>
    <x v="1"/>
    <s v="Clean Alternative Fuel Vehicle Eligible"/>
    <s v="322"/>
    <s v="0"/>
    <s v="38"/>
    <n v="132825227"/>
    <s v="POINT (-122.18637 47.89251)"/>
    <x v="0"/>
    <s v="53061041605"/>
  </r>
  <r>
    <x v="445"/>
    <x v="4"/>
    <s v="Washougal"/>
    <s v="WA"/>
    <n v="98671"/>
    <x v="2"/>
    <x v="20"/>
    <s v="MODEL 3"/>
    <x v="1"/>
    <s v="Eligibility unknown as battery range has not been researched"/>
    <s v="0"/>
    <s v="0"/>
    <s v="18"/>
    <n v="190174673"/>
    <s v="POINT (-122.35341 45.57923)"/>
    <x v="3"/>
    <s v="53011040510"/>
  </r>
  <r>
    <x v="445"/>
    <x v="1"/>
    <s v="Seattle"/>
    <s v="WA"/>
    <n v="98144"/>
    <x v="2"/>
    <x v="20"/>
    <s v="MODEL 3"/>
    <x v="1"/>
    <s v="Eligibility unknown as battery range has not been researched"/>
    <s v="0"/>
    <s v="0"/>
    <s v="37"/>
    <n v="202005275"/>
    <s v="POINT (-122.30866 47.57874)"/>
    <x v="4"/>
    <s v="53033010001"/>
  </r>
  <r>
    <x v="445"/>
    <x v="1"/>
    <s v="Issaquah"/>
    <s v="WA"/>
    <n v="98029"/>
    <x v="2"/>
    <x v="20"/>
    <s v="MODEL 3"/>
    <x v="1"/>
    <s v="Eligibility unknown as battery range has not been researched"/>
    <s v="0"/>
    <s v="0"/>
    <s v="5"/>
    <n v="205027385"/>
    <s v="POINT (-122.00292 47.54748)"/>
    <x v="1"/>
    <s v="53033032220"/>
  </r>
  <r>
    <x v="446"/>
    <x v="1"/>
    <s v="Seatac"/>
    <s v="WA"/>
    <n v="98198"/>
    <x v="10"/>
    <x v="20"/>
    <s v="MODEL 3"/>
    <x v="1"/>
    <s v="Clean Alternative Fuel Vehicle Eligible"/>
    <s v="215"/>
    <s v="0"/>
    <s v="33"/>
    <n v="301101713"/>
    <s v="POINT (-122.3219 47.40173)"/>
    <x v="1"/>
    <s v="53033028300"/>
  </r>
  <r>
    <x v="446"/>
    <x v="17"/>
    <s v="Shaw Island"/>
    <s v="WA"/>
    <n v="98286"/>
    <x v="10"/>
    <x v="20"/>
    <s v="MODEL 3"/>
    <x v="1"/>
    <s v="Clean Alternative Fuel Vehicle Eligible"/>
    <s v="215"/>
    <s v="0"/>
    <s v="40"/>
    <n v="476086460"/>
    <s v="POINT (-122.92991 48.58348)"/>
    <x v="16"/>
    <s v="53055960502"/>
  </r>
  <r>
    <x v="446"/>
    <x v="2"/>
    <s v="Mill Creek"/>
    <s v="WA"/>
    <n v="98012"/>
    <x v="10"/>
    <x v="20"/>
    <s v="MODEL 3"/>
    <x v="1"/>
    <s v="Clean Alternative Fuel Vehicle Eligible"/>
    <s v="215"/>
    <s v="0"/>
    <s v="44"/>
    <n v="346688590"/>
    <s v="POINT (-122.21061 47.83448)"/>
    <x v="0"/>
    <s v="53061041704"/>
  </r>
  <r>
    <x v="447"/>
    <x v="3"/>
    <s v="Zillah"/>
    <s v="WA"/>
    <n v="98953"/>
    <x v="12"/>
    <x v="20"/>
    <s v="MODEL 3"/>
    <x v="1"/>
    <s v="Clean Alternative Fuel Vehicle Eligible"/>
    <s v="220"/>
    <s v="0"/>
    <s v="15"/>
    <n v="267588555"/>
    <s v="POINT (-120.26226 46.40199)"/>
    <x v="2"/>
    <s v="53077002202"/>
  </r>
  <r>
    <x v="447"/>
    <x v="1"/>
    <s v="Seattle"/>
    <s v="WA"/>
    <n v="98121"/>
    <x v="12"/>
    <x v="20"/>
    <s v="MODEL 3"/>
    <x v="1"/>
    <s v="Clean Alternative Fuel Vehicle Eligible"/>
    <s v="220"/>
    <s v="0"/>
    <s v="36"/>
    <n v="174870062"/>
    <s v="POINT (-122.34468 47.61578)"/>
    <x v="4"/>
    <s v="53033007201"/>
  </r>
  <r>
    <x v="447"/>
    <x v="13"/>
    <s v="Moses Lake"/>
    <s v="WA"/>
    <n v="98837"/>
    <x v="12"/>
    <x v="20"/>
    <s v="MODEL 3"/>
    <x v="1"/>
    <s v="Clean Alternative Fuel Vehicle Eligible"/>
    <s v="220"/>
    <s v="0"/>
    <s v="13"/>
    <n v="272948553"/>
    <s v="POINT (-119.2771 47.13196)"/>
    <x v="10"/>
    <s v="53025011101"/>
  </r>
  <r>
    <x v="448"/>
    <x v="3"/>
    <s v="Yakima"/>
    <s v="WA"/>
    <n v="98908"/>
    <x v="11"/>
    <x v="20"/>
    <s v="MODEL 3"/>
    <x v="1"/>
    <s v="Clean Alternative Fuel Vehicle Eligible"/>
    <s v="322"/>
    <s v="0"/>
    <s v="14"/>
    <n v="127175366"/>
    <s v="POINT (-120.60199 46.59817)"/>
    <x v="2"/>
    <s v="53077000904"/>
  </r>
  <r>
    <x v="448"/>
    <x v="1"/>
    <s v="Auburn"/>
    <s v="WA"/>
    <n v="98002"/>
    <x v="11"/>
    <x v="20"/>
    <s v="MODEL 3"/>
    <x v="1"/>
    <s v="Clean Alternative Fuel Vehicle Eligible"/>
    <s v="322"/>
    <s v="0"/>
    <s v="31"/>
    <n v="274322632"/>
    <s v="POINT (-122.22347 47.30762)"/>
    <x v="1"/>
    <s v="53033031102"/>
  </r>
  <r>
    <x v="449"/>
    <x v="1"/>
    <s v="Kirkland"/>
    <s v="WA"/>
    <n v="98033"/>
    <x v="1"/>
    <x v="20"/>
    <s v="MODEL 3"/>
    <x v="1"/>
    <s v="Eligibility unknown as battery range has not been researched"/>
    <s v="0"/>
    <s v="0"/>
    <s v="48"/>
    <n v="190320721"/>
    <s v="POINT (-122.2066 47.67887)"/>
    <x v="1"/>
    <s v="53033022501"/>
  </r>
  <r>
    <x v="450"/>
    <x v="29"/>
    <s v="Woodland"/>
    <s v="WA"/>
    <n v="98674"/>
    <x v="2"/>
    <x v="20"/>
    <s v="MODEL 3"/>
    <x v="1"/>
    <s v="Eligibility unknown as battery range has not been researched"/>
    <s v="0"/>
    <s v="0"/>
    <s v="20"/>
    <n v="280223009"/>
    <s v="POINT (-122.74017 45.9094)"/>
    <x v="30"/>
    <s v="53015001503"/>
  </r>
  <r>
    <x v="450"/>
    <x v="15"/>
    <s v="Spokane"/>
    <s v="WA"/>
    <n v="99216"/>
    <x v="2"/>
    <x v="20"/>
    <s v="MODEL 3"/>
    <x v="1"/>
    <s v="Eligibility unknown as battery range has not been researched"/>
    <s v="0"/>
    <s v="0"/>
    <s v="4"/>
    <n v="280041478"/>
    <s v="POINT (-117.21264 47.65878)"/>
    <x v="12"/>
    <s v="53063011400"/>
  </r>
  <r>
    <x v="451"/>
    <x v="2"/>
    <s v="Monroe"/>
    <s v="WA"/>
    <n v="98272"/>
    <x v="0"/>
    <x v="20"/>
    <s v="MODEL 3"/>
    <x v="1"/>
    <s v="Eligibility unknown as battery range has not been researched"/>
    <s v="0"/>
    <s v="0"/>
    <s v="39"/>
    <n v="251096065"/>
    <s v="POINT (-121.98087 47.8526)"/>
    <x v="0"/>
    <s v="53061052203"/>
  </r>
  <r>
    <x v="452"/>
    <x v="4"/>
    <s v="Camas"/>
    <s v="WA"/>
    <n v="98607"/>
    <x v="4"/>
    <x v="20"/>
    <s v="MODEL 3"/>
    <x v="1"/>
    <s v="Eligibility unknown as battery range has not been researched"/>
    <s v="0"/>
    <s v="0"/>
    <s v="18"/>
    <n v="281950756"/>
    <s v="POINT (-122.40199 45.58694)"/>
    <x v="3"/>
    <s v="53011040608"/>
  </r>
  <r>
    <x v="453"/>
    <x v="2"/>
    <s v="Edmonds"/>
    <s v="WA"/>
    <n v="98026"/>
    <x v="10"/>
    <x v="20"/>
    <s v="MODEL 3"/>
    <x v="1"/>
    <s v="Clean Alternative Fuel Vehicle Eligible"/>
    <s v="215"/>
    <s v="0"/>
    <s v="21"/>
    <n v="258699493"/>
    <s v="POINT (-122.31768 47.87166)"/>
    <x v="0"/>
    <s v="53061042003"/>
  </r>
  <r>
    <x v="453"/>
    <x v="1"/>
    <s v="Medina"/>
    <s v="WA"/>
    <n v="98039"/>
    <x v="10"/>
    <x v="20"/>
    <s v="MODEL 3"/>
    <x v="1"/>
    <s v="Clean Alternative Fuel Vehicle Eligible"/>
    <s v="215"/>
    <s v="0"/>
    <s v="48"/>
    <n v="273311853"/>
    <s v="POINT (-122.23892 47.61613)"/>
    <x v="1"/>
    <s v="53033024200"/>
  </r>
  <r>
    <x v="454"/>
    <x v="3"/>
    <s v="Yakima"/>
    <s v="WA"/>
    <n v="98901"/>
    <x v="11"/>
    <x v="20"/>
    <s v="MODEL 3"/>
    <x v="1"/>
    <s v="Clean Alternative Fuel Vehicle Eligible"/>
    <s v="322"/>
    <s v="0"/>
    <s v="15"/>
    <n v="237967131"/>
    <s v="POINT (-120.50729 46.60464)"/>
    <x v="2"/>
    <s v="53077001602"/>
  </r>
  <r>
    <x v="455"/>
    <x v="23"/>
    <s v="Richland"/>
    <s v="WA"/>
    <n v="99354"/>
    <x v="3"/>
    <x v="20"/>
    <s v="MODEL 3"/>
    <x v="1"/>
    <s v="Eligibility unknown as battery range has not been researched"/>
    <s v="0"/>
    <s v="0"/>
    <s v="8"/>
    <n v="271915325"/>
    <s v="POINT (-119.26844 46.31484)"/>
    <x v="24"/>
    <s v="53005010201"/>
  </r>
  <r>
    <x v="456"/>
    <x v="1"/>
    <s v="Kent"/>
    <s v="WA"/>
    <n v="98042"/>
    <x v="10"/>
    <x v="20"/>
    <s v="MODEL 3"/>
    <x v="1"/>
    <s v="Clean Alternative Fuel Vehicle Eligible"/>
    <s v="215"/>
    <s v="0"/>
    <s v="47"/>
    <n v="237884993"/>
    <s v="POINT (-122.09124 47.33778)"/>
    <x v="1"/>
    <s v="53033031800"/>
  </r>
  <r>
    <x v="456"/>
    <x v="1"/>
    <s v="Kent"/>
    <s v="WA"/>
    <n v="98042"/>
    <x v="10"/>
    <x v="20"/>
    <s v="MODEL 3"/>
    <x v="1"/>
    <s v="Clean Alternative Fuel Vehicle Eligible"/>
    <s v="215"/>
    <s v="0"/>
    <s v="47"/>
    <n v="474024960"/>
    <s v="POINT (-122.09124 47.33778)"/>
    <x v="1"/>
    <s v="53033031800"/>
  </r>
  <r>
    <x v="456"/>
    <x v="2"/>
    <s v="Lynnwood"/>
    <s v="WA"/>
    <n v="98037"/>
    <x v="10"/>
    <x v="20"/>
    <s v="MODEL 3"/>
    <x v="1"/>
    <s v="Clean Alternative Fuel Vehicle Eligible"/>
    <s v="215"/>
    <s v="0"/>
    <s v="32"/>
    <n v="473926617"/>
    <s v="POINT (-122.27734 47.83785)"/>
    <x v="0"/>
    <s v="53061051802"/>
  </r>
  <r>
    <x v="456"/>
    <x v="1"/>
    <s v="Bellevue"/>
    <s v="WA"/>
    <n v="98007"/>
    <x v="10"/>
    <x v="20"/>
    <s v="MODEL 3"/>
    <x v="1"/>
    <s v="Clean Alternative Fuel Vehicle Eligible"/>
    <s v="215"/>
    <s v="0"/>
    <s v="48"/>
    <n v="209921834"/>
    <s v="POINT (-122.12056 47.61334)"/>
    <x v="1"/>
    <s v="53033023300"/>
  </r>
  <r>
    <x v="457"/>
    <x v="7"/>
    <s v="Yelm"/>
    <s v="WA"/>
    <n v="98597"/>
    <x v="12"/>
    <x v="20"/>
    <s v="MODEL 3"/>
    <x v="1"/>
    <s v="Clean Alternative Fuel Vehicle Eligible"/>
    <s v="220"/>
    <s v="0"/>
    <s v="2"/>
    <n v="133924668"/>
    <s v="POINT (-122.60735 46.94239)"/>
    <x v="0"/>
    <s v="53067012412"/>
  </r>
  <r>
    <x v="458"/>
    <x v="1"/>
    <s v="Seattle"/>
    <s v="WA"/>
    <n v="98121"/>
    <x v="11"/>
    <x v="20"/>
    <s v="MODEL 3"/>
    <x v="1"/>
    <s v="Clean Alternative Fuel Vehicle Eligible"/>
    <s v="322"/>
    <s v="0"/>
    <s v="36"/>
    <n v="148283068"/>
    <s v="POINT (-122.34468 47.61578)"/>
    <x v="4"/>
    <s v="53033008002"/>
  </r>
  <r>
    <x v="459"/>
    <x v="1"/>
    <s v="Bellevue"/>
    <s v="WA"/>
    <n v="98004"/>
    <x v="0"/>
    <x v="20"/>
    <s v="MODEL 3"/>
    <x v="1"/>
    <s v="Eligibility unknown as battery range has not been researched"/>
    <s v="0"/>
    <s v="0"/>
    <s v="41"/>
    <n v="264778027"/>
    <s v="POINT (-122.1872 47.61001)"/>
    <x v="1"/>
    <s v="53033023901"/>
  </r>
  <r>
    <x v="460"/>
    <x v="1"/>
    <s v="Seattle"/>
    <s v="WA"/>
    <n v="98109"/>
    <x v="4"/>
    <x v="20"/>
    <s v="MODEL 3"/>
    <x v="1"/>
    <s v="Eligibility unknown as battery range has not been researched"/>
    <s v="0"/>
    <s v="0"/>
    <s v="43"/>
    <n v="278030595"/>
    <s v="POINT (-122.35022 47.63824)"/>
    <x v="4"/>
    <s v="53033007303"/>
  </r>
  <r>
    <x v="460"/>
    <x v="6"/>
    <s v="Auburn"/>
    <s v="WA"/>
    <n v="98092"/>
    <x v="4"/>
    <x v="20"/>
    <s v="MODEL 3"/>
    <x v="1"/>
    <s v="Eligibility unknown as battery range has not been researched"/>
    <s v="0"/>
    <s v="0"/>
    <s v="31"/>
    <n v="272095246"/>
    <s v="POINT (-122.18497 47.28825)"/>
    <x v="1"/>
    <s v="53053070316"/>
  </r>
  <r>
    <x v="461"/>
    <x v="1"/>
    <s v="Renton"/>
    <s v="WA"/>
    <n v="98055"/>
    <x v="10"/>
    <x v="20"/>
    <s v="MODEL 3"/>
    <x v="1"/>
    <s v="Clean Alternative Fuel Vehicle Eligible"/>
    <s v="215"/>
    <s v="0"/>
    <s v="11"/>
    <n v="475438554"/>
    <s v="POINT (-122.20784 47.46004)"/>
    <x v="1"/>
    <s v="53033025703"/>
  </r>
  <r>
    <x v="462"/>
    <x v="1"/>
    <s v="Seattle"/>
    <s v="WA"/>
    <n v="98115"/>
    <x v="12"/>
    <x v="20"/>
    <s v="MODEL 3"/>
    <x v="1"/>
    <s v="Clean Alternative Fuel Vehicle Eligible"/>
    <s v="220"/>
    <s v="0"/>
    <s v="46"/>
    <n v="194281055"/>
    <s v="POINT (-122.31676 47.68156)"/>
    <x v="4"/>
    <s v="53033002400"/>
  </r>
  <r>
    <x v="462"/>
    <x v="7"/>
    <s v="Yelm"/>
    <s v="WA"/>
    <n v="98597"/>
    <x v="12"/>
    <x v="20"/>
    <s v="MODEL 3"/>
    <x v="1"/>
    <s v="Clean Alternative Fuel Vehicle Eligible"/>
    <s v="220"/>
    <s v="0"/>
    <s v="2"/>
    <n v="224725315"/>
    <s v="POINT (-122.60735 46.94239)"/>
    <x v="0"/>
    <s v="53067012532"/>
  </r>
  <r>
    <x v="463"/>
    <x v="1"/>
    <s v="Kirkland"/>
    <s v="WA"/>
    <n v="98034"/>
    <x v="4"/>
    <x v="20"/>
    <s v="MODEL 3"/>
    <x v="1"/>
    <s v="Eligibility unknown as battery range has not been researched"/>
    <s v="0"/>
    <s v="0"/>
    <s v="1"/>
    <n v="276920654"/>
    <s v="POINT (-122.22901 47.72201)"/>
    <x v="1"/>
    <s v="53033022300"/>
  </r>
  <r>
    <x v="463"/>
    <x v="1"/>
    <s v="Federal Way"/>
    <s v="WA"/>
    <n v="98001"/>
    <x v="4"/>
    <x v="20"/>
    <s v="MODEL 3"/>
    <x v="1"/>
    <s v="Eligibility unknown as battery range has not been researched"/>
    <s v="0"/>
    <s v="0"/>
    <s v="30"/>
    <n v="278669191"/>
    <s v="POINT (-122.23035 47.3074)"/>
    <x v="1"/>
    <s v="53033030407"/>
  </r>
  <r>
    <x v="463"/>
    <x v="1"/>
    <s v="Kent"/>
    <s v="WA"/>
    <n v="98031"/>
    <x v="4"/>
    <x v="20"/>
    <s v="MODEL 3"/>
    <x v="1"/>
    <s v="Eligibility unknown as battery range has not been researched"/>
    <s v="0"/>
    <s v="0"/>
    <s v="47"/>
    <n v="281415389"/>
    <s v="POINT (-122.17743 47.41185)"/>
    <x v="1"/>
    <s v="53033029403"/>
  </r>
  <r>
    <x v="463"/>
    <x v="1"/>
    <s v="North Bend"/>
    <s v="WA"/>
    <n v="98045"/>
    <x v="4"/>
    <x v="20"/>
    <s v="MODEL 3"/>
    <x v="1"/>
    <s v="Eligibility unknown as battery range has not been researched"/>
    <s v="0"/>
    <s v="0"/>
    <s v="5"/>
    <n v="277958943"/>
    <s v="POINT (-121.7831 47.49348)"/>
    <x v="1"/>
    <s v="53033032704"/>
  </r>
  <r>
    <x v="464"/>
    <x v="5"/>
    <s v="Freeland"/>
    <s v="WA"/>
    <n v="98249"/>
    <x v="10"/>
    <x v="20"/>
    <s v="MODEL 3"/>
    <x v="1"/>
    <s v="Clean Alternative Fuel Vehicle Eligible"/>
    <s v="215"/>
    <s v="0"/>
    <s v="10"/>
    <n v="442535320"/>
    <s v="POINT (-122.52664 48.00956)"/>
    <x v="0"/>
    <s v="53029971800"/>
  </r>
  <r>
    <x v="464"/>
    <x v="2"/>
    <s v="Everett"/>
    <s v="WA"/>
    <n v="98204"/>
    <x v="10"/>
    <x v="20"/>
    <s v="MODEL 3"/>
    <x v="1"/>
    <s v="Clean Alternative Fuel Vehicle Eligible"/>
    <s v="215"/>
    <s v="0"/>
    <s v="38"/>
    <n v="121112757"/>
    <s v="POINT (-122.27557 47.88936)"/>
    <x v="0"/>
    <s v="53061041906"/>
  </r>
  <r>
    <x v="464"/>
    <x v="14"/>
    <s v="Walla Walla"/>
    <s v="WA"/>
    <n v="99362"/>
    <x v="10"/>
    <x v="20"/>
    <s v="MODEL 3"/>
    <x v="1"/>
    <s v="Clean Alternative Fuel Vehicle Eligible"/>
    <s v="215"/>
    <s v="0"/>
    <s v="16"/>
    <n v="329537113"/>
    <s v="POINT (-118.34261 46.07068)"/>
    <x v="2"/>
    <s v="53071920200"/>
  </r>
  <r>
    <x v="464"/>
    <x v="6"/>
    <s v="Gig Harbor"/>
    <s v="WA"/>
    <n v="98332"/>
    <x v="10"/>
    <x v="20"/>
    <s v="MODEL 3"/>
    <x v="1"/>
    <s v="Clean Alternative Fuel Vehicle Eligible"/>
    <s v="215"/>
    <s v="0"/>
    <s v="26"/>
    <n v="220575071"/>
    <s v="POINT (-122.59044 47.34236)"/>
    <x v="11"/>
    <s v="53053072506"/>
  </r>
  <r>
    <x v="465"/>
    <x v="2"/>
    <s v="Everett"/>
    <s v="WA"/>
    <n v="98208"/>
    <x v="12"/>
    <x v="20"/>
    <s v="MODEL 3"/>
    <x v="1"/>
    <s v="Clean Alternative Fuel Vehicle Eligible"/>
    <s v="220"/>
    <s v="0"/>
    <s v="21"/>
    <n v="127389363"/>
    <s v="POINT (-122.18637 47.89251)"/>
    <x v="0"/>
    <s v="53061041606"/>
  </r>
  <r>
    <x v="465"/>
    <x v="2"/>
    <s v="Mukilteo"/>
    <s v="WA"/>
    <n v="98275"/>
    <x v="12"/>
    <x v="20"/>
    <s v="MODEL 3"/>
    <x v="1"/>
    <s v="Clean Alternative Fuel Vehicle Eligible"/>
    <s v="220"/>
    <s v="0"/>
    <s v="21"/>
    <n v="179728755"/>
    <s v="POINT (-122.29196 47.89908)"/>
    <x v="0"/>
    <s v="53061041301"/>
  </r>
  <r>
    <x v="466"/>
    <x v="6"/>
    <s v="Lake Tapps"/>
    <s v="WA"/>
    <n v="98391"/>
    <x v="2"/>
    <x v="20"/>
    <s v="MODEL 3"/>
    <x v="1"/>
    <s v="Eligibility unknown as battery range has not been researched"/>
    <s v="0"/>
    <s v="0"/>
    <s v="31"/>
    <n v="219674395"/>
    <s v="POINT (-122.17144 47.19175)"/>
    <x v="1"/>
    <s v="53053070314"/>
  </r>
  <r>
    <x v="467"/>
    <x v="1"/>
    <s v="Federal Way"/>
    <s v="WA"/>
    <n v="98023"/>
    <x v="4"/>
    <x v="20"/>
    <s v="MODEL 3"/>
    <x v="1"/>
    <s v="Eligibility unknown as battery range has not been researched"/>
    <s v="0"/>
    <s v="0"/>
    <s v="30"/>
    <n v="278461515"/>
    <s v="POINT (-122.34059 47.32478)"/>
    <x v="1"/>
    <s v="53033030305"/>
  </r>
  <r>
    <x v="467"/>
    <x v="1"/>
    <s v="North Bend"/>
    <s v="WA"/>
    <n v="98045"/>
    <x v="4"/>
    <x v="20"/>
    <s v="MODEL 3"/>
    <x v="1"/>
    <s v="Eligibility unknown as battery range has not been researched"/>
    <s v="0"/>
    <s v="0"/>
    <s v="5"/>
    <n v="277031688"/>
    <s v="POINT (-121.7831 47.49348)"/>
    <x v="1"/>
    <s v="53033032800"/>
  </r>
  <r>
    <x v="467"/>
    <x v="1"/>
    <s v="Seattle"/>
    <s v="WA"/>
    <n v="98112"/>
    <x v="4"/>
    <x v="20"/>
    <s v="MODEL 3"/>
    <x v="1"/>
    <s v="Eligibility unknown as battery range has not been researched"/>
    <s v="0"/>
    <s v="0"/>
    <s v="43"/>
    <n v="275979980"/>
    <s v="POINT (-122.30207 47.64085)"/>
    <x v="4"/>
    <s v="53033006400"/>
  </r>
  <r>
    <x v="467"/>
    <x v="1"/>
    <s v="Sammamish"/>
    <s v="WA"/>
    <n v="98074"/>
    <x v="4"/>
    <x v="20"/>
    <s v="MODEL 3"/>
    <x v="1"/>
    <s v="Eligibility unknown as battery range has not been researched"/>
    <s v="0"/>
    <s v="0"/>
    <s v="45"/>
    <n v="284156547"/>
    <s v="POINT (-122.02054 47.60326)"/>
    <x v="1"/>
    <s v="53033032316"/>
  </r>
  <r>
    <x v="468"/>
    <x v="2"/>
    <s v="Lynnwood"/>
    <s v="WA"/>
    <n v="98037"/>
    <x v="10"/>
    <x v="20"/>
    <s v="MODEL 3"/>
    <x v="1"/>
    <s v="Clean Alternative Fuel Vehicle Eligible"/>
    <s v="215"/>
    <s v="0"/>
    <s v="21"/>
    <n v="153817128"/>
    <s v="POINT (-122.27734 47.83785)"/>
    <x v="0"/>
    <s v="53061050101"/>
  </r>
  <r>
    <x v="468"/>
    <x v="2"/>
    <s v="Bothell"/>
    <s v="WA"/>
    <n v="98021"/>
    <x v="10"/>
    <x v="20"/>
    <s v="MODEL 3"/>
    <x v="1"/>
    <s v="Clean Alternative Fuel Vehicle Eligible"/>
    <s v="215"/>
    <s v="0"/>
    <s v="1"/>
    <n v="475723391"/>
    <s v="POINT (-122.18384 47.8031)"/>
    <x v="0"/>
    <s v="53061051938"/>
  </r>
  <r>
    <x v="468"/>
    <x v="2"/>
    <s v="Bothell"/>
    <s v="WA"/>
    <n v="98021"/>
    <x v="10"/>
    <x v="20"/>
    <s v="MODEL 3"/>
    <x v="1"/>
    <s v="Clean Alternative Fuel Vehicle Eligible"/>
    <s v="215"/>
    <s v="0"/>
    <s v="1"/>
    <n v="273518248"/>
    <s v="POINT (-122.18384 47.8031)"/>
    <x v="0"/>
    <s v="53061051917"/>
  </r>
  <r>
    <x v="468"/>
    <x v="2"/>
    <s v="Monroe"/>
    <s v="WA"/>
    <n v="98272"/>
    <x v="10"/>
    <x v="20"/>
    <s v="MODEL 3"/>
    <x v="1"/>
    <s v="Clean Alternative Fuel Vehicle Eligible"/>
    <s v="215"/>
    <s v="0"/>
    <s v="39"/>
    <n v="258966627"/>
    <s v="POINT (-121.98087 47.8526)"/>
    <x v="0"/>
    <s v="53061052203"/>
  </r>
  <r>
    <x v="468"/>
    <x v="7"/>
    <s v="Tumwater"/>
    <s v="WA"/>
    <n v="98512"/>
    <x v="10"/>
    <x v="20"/>
    <s v="MODEL 3"/>
    <x v="1"/>
    <s v="Clean Alternative Fuel Vehicle Eligible"/>
    <s v="215"/>
    <s v="0"/>
    <s v="22"/>
    <n v="115875693"/>
    <s v="POINT (-122.90787 46.9461)"/>
    <x v="0"/>
    <s v="53067010920"/>
  </r>
  <r>
    <x v="468"/>
    <x v="1"/>
    <s v="Redmond"/>
    <s v="WA"/>
    <n v="98052"/>
    <x v="10"/>
    <x v="20"/>
    <s v="MODEL 3"/>
    <x v="1"/>
    <s v="Clean Alternative Fuel Vehicle Eligible"/>
    <s v="215"/>
    <s v="0"/>
    <s v="45"/>
    <n v="475009580"/>
    <s v="POINT (-122.13158 47.67858)"/>
    <x v="1"/>
    <s v="53033032323"/>
  </r>
  <r>
    <x v="468"/>
    <x v="1"/>
    <s v="Seattle"/>
    <s v="WA"/>
    <n v="98112"/>
    <x v="10"/>
    <x v="20"/>
    <s v="MODEL 3"/>
    <x v="1"/>
    <s v="Clean Alternative Fuel Vehicle Eligible"/>
    <s v="215"/>
    <s v="0"/>
    <s v="43"/>
    <n v="230440444"/>
    <s v="POINT (-122.30207 47.64085)"/>
    <x v="4"/>
    <s v="53033006300"/>
  </r>
  <r>
    <x v="469"/>
    <x v="1"/>
    <s v="Enumclaw"/>
    <s v="WA"/>
    <n v="98022"/>
    <x v="12"/>
    <x v="20"/>
    <s v="MODEL 3"/>
    <x v="1"/>
    <s v="Clean Alternative Fuel Vehicle Eligible"/>
    <s v="220"/>
    <s v="0"/>
    <s v="31"/>
    <n v="476919621"/>
    <s v="POINT (-121.99136 47.20433)"/>
    <x v="1"/>
    <s v="53033031400"/>
  </r>
  <r>
    <x v="470"/>
    <x v="4"/>
    <s v="Vancouver"/>
    <s v="WA"/>
    <n v="98660"/>
    <x v="2"/>
    <x v="20"/>
    <s v="MODEL 3"/>
    <x v="1"/>
    <s v="Eligibility unknown as battery range has not been researched"/>
    <s v="0"/>
    <s v="0"/>
    <s v="49"/>
    <n v="204699365"/>
    <s v="POINT (-122.67156 45.63248)"/>
    <x v="3"/>
    <s v="53011042300"/>
  </r>
  <r>
    <x v="471"/>
    <x v="1"/>
    <s v="Seattle"/>
    <s v="WA"/>
    <n v="98116"/>
    <x v="0"/>
    <x v="20"/>
    <s v="MODEL 3"/>
    <x v="1"/>
    <s v="Eligibility unknown as battery range has not been researched"/>
    <s v="0"/>
    <s v="0"/>
    <s v="34"/>
    <n v="260037949"/>
    <s v="POINT (-122.41067 47.57894)"/>
    <x v="4"/>
    <s v="53033009701"/>
  </r>
  <r>
    <x v="471"/>
    <x v="1"/>
    <s v="Sammamish"/>
    <s v="WA"/>
    <n v="98075"/>
    <x v="0"/>
    <x v="20"/>
    <s v="MODEL 3"/>
    <x v="1"/>
    <s v="Eligibility unknown as battery range has not been researched"/>
    <s v="0"/>
    <s v="0"/>
    <s v="41"/>
    <n v="260139764"/>
    <s v="POINT (-122.03539 47.61344)"/>
    <x v="1"/>
    <s v="53033032218"/>
  </r>
  <r>
    <x v="471"/>
    <x v="2"/>
    <s v="Lynnwood"/>
    <s v="WA"/>
    <n v="98037"/>
    <x v="0"/>
    <x v="20"/>
    <s v="MODEL 3"/>
    <x v="1"/>
    <s v="Eligibility unknown as battery range has not been researched"/>
    <s v="0"/>
    <s v="0"/>
    <s v="21"/>
    <n v="276210770"/>
    <s v="POINT (-122.27734 47.83785)"/>
    <x v="0"/>
    <s v="53061051928"/>
  </r>
  <r>
    <x v="472"/>
    <x v="9"/>
    <s v="Usk"/>
    <s v="WA"/>
    <n v="99180"/>
    <x v="3"/>
    <x v="20"/>
    <s v="MODEL 3"/>
    <x v="1"/>
    <s v="Eligibility unknown as battery range has not been researched"/>
    <s v="0"/>
    <s v="0"/>
    <s v="7"/>
    <n v="272701180"/>
    <s v="POINT (-117.28054 48.31375)"/>
    <x v="7"/>
    <s v="53051970200"/>
  </r>
  <r>
    <x v="472"/>
    <x v="1"/>
    <s v="Woodinville"/>
    <s v="WA"/>
    <n v="98072"/>
    <x v="3"/>
    <x v="20"/>
    <s v="MODEL 3"/>
    <x v="1"/>
    <s v="Eligibility unknown as battery range has not been researched"/>
    <s v="0"/>
    <s v="0"/>
    <s v="45"/>
    <n v="266901841"/>
    <s v="POINT (-122.15545 47.75448)"/>
    <x v="1"/>
    <s v="53033032320"/>
  </r>
  <r>
    <x v="473"/>
    <x v="2"/>
    <s v="Bothell"/>
    <s v="WA"/>
    <n v="98012"/>
    <x v="4"/>
    <x v="20"/>
    <s v="MODEL 3"/>
    <x v="1"/>
    <s v="Eligibility unknown as battery range has not been researched"/>
    <s v="0"/>
    <s v="0"/>
    <s v="1"/>
    <n v="275009675"/>
    <s v="POINT (-122.21061 47.83448)"/>
    <x v="0"/>
    <s v="53061052107"/>
  </r>
  <r>
    <x v="473"/>
    <x v="1"/>
    <s v="Bellevue"/>
    <s v="WA"/>
    <n v="98004"/>
    <x v="4"/>
    <x v="20"/>
    <s v="MODEL 3"/>
    <x v="1"/>
    <s v="Eligibility unknown as battery range has not been researched"/>
    <s v="0"/>
    <s v="0"/>
    <s v="41"/>
    <n v="278184504"/>
    <s v="POINT (-122.1872 47.61001)"/>
    <x v="1"/>
    <s v="53033023902"/>
  </r>
  <r>
    <x v="474"/>
    <x v="0"/>
    <s v="Bremerton"/>
    <s v="WA"/>
    <n v="98312"/>
    <x v="10"/>
    <x v="20"/>
    <s v="MODEL 3"/>
    <x v="1"/>
    <s v="Clean Alternative Fuel Vehicle Eligible"/>
    <s v="215"/>
    <s v="0"/>
    <s v="35"/>
    <n v="207540847"/>
    <s v="POINT (-122.65223 47.57192)"/>
    <x v="0"/>
    <s v="53035080600"/>
  </r>
  <r>
    <x v="474"/>
    <x v="1"/>
    <s v="Kent"/>
    <s v="WA"/>
    <n v="98042"/>
    <x v="10"/>
    <x v="20"/>
    <s v="MODEL 3"/>
    <x v="1"/>
    <s v="Clean Alternative Fuel Vehicle Eligible"/>
    <s v="215"/>
    <s v="0"/>
    <s v="47"/>
    <n v="468442516"/>
    <s v="POINT (-122.09124 47.33778)"/>
    <x v="1"/>
    <s v="53033031800"/>
  </r>
  <r>
    <x v="474"/>
    <x v="23"/>
    <s v="Kennewick"/>
    <s v="WA"/>
    <n v="99336"/>
    <x v="10"/>
    <x v="20"/>
    <s v="MODEL 3"/>
    <x v="1"/>
    <s v="Clean Alternative Fuel Vehicle Eligible"/>
    <s v="215"/>
    <s v="0"/>
    <s v="8"/>
    <n v="282653304"/>
    <s v="POINT (-119.11698 46.20837)"/>
    <x v="31"/>
    <s v="53005010901"/>
  </r>
  <r>
    <x v="475"/>
    <x v="1"/>
    <s v="Seattle"/>
    <s v="WA"/>
    <n v="98144"/>
    <x v="12"/>
    <x v="20"/>
    <s v="MODEL 3"/>
    <x v="1"/>
    <s v="Clean Alternative Fuel Vehicle Eligible"/>
    <s v="220"/>
    <s v="0"/>
    <s v="37"/>
    <n v="478193768"/>
    <s v="POINT (-122.30866 47.57874)"/>
    <x v="4"/>
    <s v="53033009500"/>
  </r>
  <r>
    <x v="476"/>
    <x v="0"/>
    <s v="Port Orchard"/>
    <s v="WA"/>
    <n v="98367"/>
    <x v="11"/>
    <x v="20"/>
    <s v="MODEL 3"/>
    <x v="1"/>
    <s v="Clean Alternative Fuel Vehicle Eligible"/>
    <s v="322"/>
    <s v="0"/>
    <s v="35"/>
    <n v="112989985"/>
    <s v="POINT (-122.70348 47.52028)"/>
    <x v="0"/>
    <s v="53035092901"/>
  </r>
  <r>
    <x v="477"/>
    <x v="3"/>
    <s v="Moxee"/>
    <s v="WA"/>
    <n v="98936"/>
    <x v="1"/>
    <x v="20"/>
    <s v="MODEL 3"/>
    <x v="1"/>
    <s v="Eligibility unknown as battery range has not been researched"/>
    <s v="0"/>
    <s v="0"/>
    <s v="15"/>
    <n v="156750023"/>
    <s v="POINT (-120.39197 46.55621)"/>
    <x v="2"/>
    <s v="53077001702"/>
  </r>
  <r>
    <x v="478"/>
    <x v="7"/>
    <s v="Olympia"/>
    <s v="WA"/>
    <n v="98502"/>
    <x v="2"/>
    <x v="20"/>
    <s v="MODEL 3"/>
    <x v="1"/>
    <s v="Eligibility unknown as battery range has not been researched"/>
    <s v="0"/>
    <s v="0"/>
    <s v="35"/>
    <n v="187178155"/>
    <s v="POINT (-122.92333 47.03779)"/>
    <x v="0"/>
    <s v="53067011902"/>
  </r>
  <r>
    <x v="478"/>
    <x v="4"/>
    <s v="Vancouver"/>
    <s v="WA"/>
    <n v="98685"/>
    <x v="2"/>
    <x v="20"/>
    <s v="MODEL 3"/>
    <x v="1"/>
    <s v="Eligibility unknown as battery range has not been researched"/>
    <s v="0"/>
    <s v="0"/>
    <s v="18"/>
    <n v="263316028"/>
    <s v="POINT (-122.70303 45.70954)"/>
    <x v="3"/>
    <s v="53011040908"/>
  </r>
  <r>
    <x v="479"/>
    <x v="6"/>
    <s v="Bonney Lake"/>
    <s v="WA"/>
    <n v="98391"/>
    <x v="0"/>
    <x v="20"/>
    <s v="MODEL 3"/>
    <x v="1"/>
    <s v="Eligibility unknown as battery range has not been researched"/>
    <s v="0"/>
    <s v="0"/>
    <s v="31"/>
    <n v="261328679"/>
    <s v="POINT (-122.17144 47.19175)"/>
    <x v="1"/>
    <s v="53053070312"/>
  </r>
  <r>
    <x v="480"/>
    <x v="0"/>
    <s v="Silverdale"/>
    <s v="WA"/>
    <n v="98383"/>
    <x v="11"/>
    <x v="20"/>
    <s v="MODEL 3"/>
    <x v="1"/>
    <s v="Clean Alternative Fuel Vehicle Eligible"/>
    <s v="308"/>
    <s v="0"/>
    <s v="23"/>
    <n v="4824270"/>
    <s v="POINT (-122.69275 47.65171)"/>
    <x v="0"/>
    <s v="53035091206"/>
  </r>
  <r>
    <x v="481"/>
    <x v="1"/>
    <s v="Seattle"/>
    <s v="WA"/>
    <n v="98115"/>
    <x v="1"/>
    <x v="20"/>
    <s v="MODEL 3"/>
    <x v="1"/>
    <s v="Eligibility unknown as battery range has not been researched"/>
    <s v="0"/>
    <s v="0"/>
    <s v="46"/>
    <n v="182308213"/>
    <s v="POINT (-122.31676 47.68156)"/>
    <x v="4"/>
    <s v="53033002100"/>
  </r>
  <r>
    <x v="482"/>
    <x v="0"/>
    <s v="Bainbridge Island"/>
    <s v="WA"/>
    <n v="98110"/>
    <x v="11"/>
    <x v="20"/>
    <s v="MODEL 3"/>
    <x v="1"/>
    <s v="Clean Alternative Fuel Vehicle Eligible"/>
    <s v="308"/>
    <s v="0"/>
    <s v="23"/>
    <n v="195702293"/>
    <s v="POINT (-122.521 47.62732)"/>
    <x v="0"/>
    <s v="53035090700"/>
  </r>
  <r>
    <x v="483"/>
    <x v="1"/>
    <s v="Seattle"/>
    <s v="WA"/>
    <n v="98112"/>
    <x v="0"/>
    <x v="20"/>
    <s v="MODEL 3"/>
    <x v="1"/>
    <s v="Eligibility unknown as battery range has not been researched"/>
    <s v="0"/>
    <s v="0"/>
    <s v="37"/>
    <n v="225995766"/>
    <s v="POINT (-122.30207 47.64085)"/>
    <x v="4"/>
    <s v="53033006300"/>
  </r>
  <r>
    <x v="484"/>
    <x v="1"/>
    <s v="Renton"/>
    <s v="WA"/>
    <n v="98056"/>
    <x v="0"/>
    <x v="20"/>
    <s v="MODEL 3"/>
    <x v="1"/>
    <s v="Eligibility unknown as battery range has not been researched"/>
    <s v="0"/>
    <s v="0"/>
    <s v="11"/>
    <n v="252601639"/>
    <s v="POINT (-122.2044 47.52136)"/>
    <x v="1"/>
    <s v="53033025202"/>
  </r>
  <r>
    <x v="485"/>
    <x v="1"/>
    <s v="Bellevue"/>
    <s v="WA"/>
    <n v="98004"/>
    <x v="0"/>
    <x v="20"/>
    <s v="MODEL 3"/>
    <x v="1"/>
    <s v="Eligibility unknown as battery range has not been researched"/>
    <s v="0"/>
    <s v="0"/>
    <s v="41"/>
    <n v="229840173"/>
    <s v="POINT (-122.1872 47.61001)"/>
    <x v="1"/>
    <s v="53033023902"/>
  </r>
  <r>
    <x v="486"/>
    <x v="6"/>
    <s v="Fife"/>
    <s v="WA"/>
    <n v="98424"/>
    <x v="11"/>
    <x v="20"/>
    <s v="MODEL 3"/>
    <x v="1"/>
    <s v="Clean Alternative Fuel Vehicle Eligible"/>
    <s v="308"/>
    <s v="0"/>
    <s v="25"/>
    <n v="104441732"/>
    <s v="POINT (-122.35686 47.23679)"/>
    <x v="11"/>
    <s v="53053940013"/>
  </r>
  <r>
    <x v="487"/>
    <x v="3"/>
    <s v="Yakima"/>
    <s v="WA"/>
    <n v="98908"/>
    <x v="11"/>
    <x v="20"/>
    <s v="MODEL 3"/>
    <x v="1"/>
    <s v="Clean Alternative Fuel Vehicle Eligible"/>
    <s v="308"/>
    <s v="0"/>
    <s v="14"/>
    <n v="240669691"/>
    <s v="POINT (-120.60199 46.59817)"/>
    <x v="2"/>
    <s v="53077000401"/>
  </r>
  <r>
    <x v="488"/>
    <x v="4"/>
    <s v="Vancouver"/>
    <s v="WA"/>
    <n v="98685"/>
    <x v="2"/>
    <x v="20"/>
    <s v="MODEL 3"/>
    <x v="1"/>
    <s v="Eligibility unknown as battery range has not been researched"/>
    <s v="0"/>
    <s v="0"/>
    <s v="18"/>
    <n v="192672448"/>
    <s v="POINT (-122.70303 45.70954)"/>
    <x v="3"/>
    <s v="53011040909"/>
  </r>
  <r>
    <x v="489"/>
    <x v="6"/>
    <s v="Joint Base Lewis Mcchord"/>
    <s v="WA"/>
    <n v="98433"/>
    <x v="2"/>
    <x v="20"/>
    <s v="MODEL 3"/>
    <x v="1"/>
    <s v="Eligibility unknown as battery range has not been researched"/>
    <s v="0"/>
    <s v="0"/>
    <s v="28"/>
    <n v="183037200"/>
    <s v="POINT (-122.60761 47.08798)"/>
    <x v="1"/>
    <s v="53053072903"/>
  </r>
  <r>
    <x v="490"/>
    <x v="1"/>
    <s v="Federal Way"/>
    <s v="WA"/>
    <n v="98003"/>
    <x v="0"/>
    <x v="20"/>
    <s v="MODEL 3"/>
    <x v="1"/>
    <s v="Eligibility unknown as battery range has not been researched"/>
    <s v="0"/>
    <s v="0"/>
    <s v="30"/>
    <n v="251311595"/>
    <s v="POINT (-122.3303 47.30151)"/>
    <x v="1"/>
    <s v="53033030204"/>
  </r>
  <r>
    <x v="491"/>
    <x v="1"/>
    <s v="Federal Way"/>
    <s v="WA"/>
    <n v="98001"/>
    <x v="2"/>
    <x v="20"/>
    <s v="MODEL 3"/>
    <x v="1"/>
    <s v="Eligibility unknown as battery range has not been researched"/>
    <s v="0"/>
    <s v="0"/>
    <s v="30"/>
    <n v="204864481"/>
    <s v="POINT (-122.23035 47.3074)"/>
    <x v="1"/>
    <s v="53033030407"/>
  </r>
  <r>
    <x v="492"/>
    <x v="15"/>
    <s v="Spokane"/>
    <s v="WA"/>
    <n v="99206"/>
    <x v="0"/>
    <x v="20"/>
    <s v="MODEL 3"/>
    <x v="1"/>
    <s v="Eligibility unknown as battery range has not been researched"/>
    <s v="0"/>
    <s v="0"/>
    <s v="4"/>
    <n v="261353655"/>
    <s v="POINT (-117.24522 47.66118)"/>
    <x v="32"/>
    <s v="53063011301"/>
  </r>
  <r>
    <x v="493"/>
    <x v="3"/>
    <s v="Yakima"/>
    <s v="WA"/>
    <n v="98908"/>
    <x v="11"/>
    <x v="20"/>
    <s v="MODEL 3"/>
    <x v="1"/>
    <s v="Clean Alternative Fuel Vehicle Eligible"/>
    <s v="308"/>
    <s v="0"/>
    <s v="14"/>
    <n v="103490145"/>
    <s v="POINT (-120.60199 46.59817)"/>
    <x v="2"/>
    <s v="53077000401"/>
  </r>
  <r>
    <x v="494"/>
    <x v="1"/>
    <s v="Auburn"/>
    <s v="WA"/>
    <n v="98092"/>
    <x v="0"/>
    <x v="20"/>
    <s v="MODEL 3"/>
    <x v="1"/>
    <s v="Eligibility unknown as battery range has not been researched"/>
    <s v="0"/>
    <s v="0"/>
    <s v="47"/>
    <n v="233333432"/>
    <s v="POINT (-122.18497 47.28825)"/>
    <x v="1"/>
    <s v="53033031207"/>
  </r>
  <r>
    <x v="495"/>
    <x v="1"/>
    <s v="Seattle"/>
    <s v="WA"/>
    <n v="98109"/>
    <x v="4"/>
    <x v="20"/>
    <s v="MODEL 3"/>
    <x v="1"/>
    <s v="Eligibility unknown as battery range has not been researched"/>
    <s v="0"/>
    <s v="0"/>
    <s v="43"/>
    <n v="277825796"/>
    <s v="POINT (-122.35022 47.63824)"/>
    <x v="4"/>
    <s v="53033007303"/>
  </r>
  <r>
    <x v="496"/>
    <x v="4"/>
    <s v="Vancouver"/>
    <s v="WA"/>
    <n v="98660"/>
    <x v="3"/>
    <x v="20"/>
    <s v="MODEL 3"/>
    <x v="1"/>
    <s v="Eligibility unknown as battery range has not been researched"/>
    <s v="0"/>
    <s v="0"/>
    <s v="49"/>
    <n v="271187829"/>
    <s v="POINT (-122.67156 45.63248)"/>
    <x v="3"/>
    <s v="53011042400"/>
  </r>
  <r>
    <x v="497"/>
    <x v="1"/>
    <s v="Auburn"/>
    <s v="WA"/>
    <n v="98092"/>
    <x v="3"/>
    <x v="20"/>
    <s v="MODEL 3"/>
    <x v="1"/>
    <s v="Eligibility unknown as battery range has not been researched"/>
    <s v="0"/>
    <s v="0"/>
    <s v="31"/>
    <n v="271582391"/>
    <s v="POINT (-122.18497 47.28825)"/>
    <x v="1"/>
    <s v="53033031204"/>
  </r>
  <r>
    <x v="498"/>
    <x v="1"/>
    <s v="Kirkland"/>
    <s v="WA"/>
    <n v="98034"/>
    <x v="4"/>
    <x v="20"/>
    <s v="MODEL 3"/>
    <x v="1"/>
    <s v="Eligibility unknown as battery range has not been researched"/>
    <s v="0"/>
    <s v="0"/>
    <s v="45"/>
    <n v="282041308"/>
    <s v="POINT (-122.22901 47.72201)"/>
    <x v="1"/>
    <s v="53033022006"/>
  </r>
  <r>
    <x v="499"/>
    <x v="1"/>
    <s v="Issaquah"/>
    <s v="WA"/>
    <n v="98029"/>
    <x v="15"/>
    <x v="20"/>
    <s v="ROADSTER"/>
    <x v="1"/>
    <s v="Clean Alternative Fuel Vehicle Eligible"/>
    <s v="220"/>
    <s v="98950"/>
    <s v="5"/>
    <n v="206424627"/>
    <s v="POINT (-122.00292 47.54748)"/>
    <x v="1"/>
    <s v="53033032221"/>
  </r>
  <r>
    <x v="500"/>
    <x v="1"/>
    <s v="Sammamish"/>
    <s v="WA"/>
    <n v="98074"/>
    <x v="7"/>
    <x v="20"/>
    <s v="MODEL S"/>
    <x v="1"/>
    <s v="Clean Alternative Fuel Vehicle Eligible"/>
    <s v="208"/>
    <s v="69900"/>
    <s v="45"/>
    <n v="141388677"/>
    <s v="POINT (-122.02054 47.60326)"/>
    <x v="1"/>
    <s v="53033032317"/>
  </r>
  <r>
    <x v="501"/>
    <x v="11"/>
    <s v="Anacortes"/>
    <s v="WA"/>
    <n v="98221"/>
    <x v="7"/>
    <x v="20"/>
    <s v="MODEL S"/>
    <x v="1"/>
    <s v="Clean Alternative Fuel Vehicle Eligible"/>
    <s v="208"/>
    <s v="69900"/>
    <s v="10"/>
    <n v="262672861"/>
    <s v="POINT (-122.61216 48.51749)"/>
    <x v="0"/>
    <s v="53057940302"/>
  </r>
  <r>
    <x v="502"/>
    <x v="2"/>
    <s v="Mukilteo"/>
    <s v="WA"/>
    <n v="98275"/>
    <x v="7"/>
    <x v="20"/>
    <s v="MODEL S"/>
    <x v="1"/>
    <s v="Clean Alternative Fuel Vehicle Eligible"/>
    <s v="208"/>
    <s v="69900"/>
    <s v="21"/>
    <n v="158250690"/>
    <s v="POINT (-122.29196 47.89908)"/>
    <x v="0"/>
    <s v="53061042001"/>
  </r>
  <r>
    <x v="503"/>
    <x v="7"/>
    <s v="Olympia"/>
    <s v="WA"/>
    <n v="98513"/>
    <x v="7"/>
    <x v="20"/>
    <s v="MODEL S"/>
    <x v="1"/>
    <s v="Clean Alternative Fuel Vehicle Eligible"/>
    <s v="208"/>
    <s v="69900"/>
    <s v="2"/>
    <n v="189376253"/>
    <s v="POINT (-122.81754 46.98876)"/>
    <x v="0"/>
    <s v="53067012332"/>
  </r>
  <r>
    <x v="504"/>
    <x v="2"/>
    <s v="Marysville"/>
    <s v="WA"/>
    <n v="98271"/>
    <x v="5"/>
    <x v="20"/>
    <s v="MODEL S"/>
    <x v="1"/>
    <s v="Clean Alternative Fuel Vehicle Eligible"/>
    <s v="210"/>
    <s v="0"/>
    <s v="38"/>
    <n v="217982866"/>
    <s v="POINT (-122.1677 48.11026)"/>
    <x v="0"/>
    <s v="53061940002"/>
  </r>
  <r>
    <x v="505"/>
    <x v="2"/>
    <s v="Stanwood"/>
    <s v="WA"/>
    <n v="98292"/>
    <x v="8"/>
    <x v="20"/>
    <s v="MODEL S"/>
    <x v="1"/>
    <s v="Clean Alternative Fuel Vehicle Eligible"/>
    <s v="208"/>
    <s v="0"/>
    <s v="10"/>
    <n v="258059693"/>
    <s v="POINT (-122.37265 48.24159)"/>
    <x v="0"/>
    <s v="53061053102"/>
  </r>
  <r>
    <x v="506"/>
    <x v="0"/>
    <s v="Silverdale"/>
    <s v="WA"/>
    <n v="98383"/>
    <x v="5"/>
    <x v="20"/>
    <s v="MODEL S"/>
    <x v="1"/>
    <s v="Clean Alternative Fuel Vehicle Eligible"/>
    <s v="210"/>
    <s v="0"/>
    <s v="23"/>
    <n v="272691345"/>
    <s v="POINT (-122.69275 47.65171)"/>
    <x v="0"/>
    <s v="53035091205"/>
  </r>
  <r>
    <x v="507"/>
    <x v="3"/>
    <s v="Yakima"/>
    <s v="WA"/>
    <n v="98901"/>
    <x v="5"/>
    <x v="20"/>
    <s v="MODEL S"/>
    <x v="1"/>
    <s v="Clean Alternative Fuel Vehicle Eligible"/>
    <s v="210"/>
    <s v="0"/>
    <s v="15"/>
    <n v="196516400"/>
    <s v="POINT (-120.50729 46.60464)"/>
    <x v="2"/>
    <s v="53077001602"/>
  </r>
  <r>
    <x v="508"/>
    <x v="7"/>
    <s v="Olympia"/>
    <s v="WA"/>
    <n v="98506"/>
    <x v="5"/>
    <x v="20"/>
    <s v="MODEL S"/>
    <x v="1"/>
    <s v="Clean Alternative Fuel Vehicle Eligible"/>
    <s v="210"/>
    <s v="0"/>
    <s v="22"/>
    <n v="149213900"/>
    <s v="POINT (-122.87741 47.05997)"/>
    <x v="0"/>
    <s v="53067012211"/>
  </r>
  <r>
    <x v="508"/>
    <x v="8"/>
    <s v="Chehalis"/>
    <s v="WA"/>
    <n v="98532"/>
    <x v="5"/>
    <x v="20"/>
    <s v="MODEL S"/>
    <x v="1"/>
    <s v="Clean Alternative Fuel Vehicle Eligible"/>
    <s v="210"/>
    <s v="0"/>
    <s v="20"/>
    <n v="272089142"/>
    <s v="POINT (-122.96462 46.6621)"/>
    <x v="1"/>
    <s v="53041971000"/>
  </r>
  <r>
    <x v="509"/>
    <x v="4"/>
    <s v="Washougal"/>
    <s v="WA"/>
    <n v="98671"/>
    <x v="8"/>
    <x v="20"/>
    <s v="MODEL S"/>
    <x v="1"/>
    <s v="Clean Alternative Fuel Vehicle Eligible"/>
    <s v="208"/>
    <s v="0"/>
    <s v="18"/>
    <n v="254026573"/>
    <s v="POINT (-122.35341 45.57923)"/>
    <x v="13"/>
    <s v="53011040513"/>
  </r>
  <r>
    <x v="510"/>
    <x v="1"/>
    <s v="Seattle"/>
    <s v="WA"/>
    <n v="98125"/>
    <x v="5"/>
    <x v="20"/>
    <s v="MODEL S"/>
    <x v="1"/>
    <s v="Clean Alternative Fuel Vehicle Eligible"/>
    <s v="210"/>
    <s v="0"/>
    <s v="46"/>
    <n v="158217762"/>
    <s v="POINT (-122.30253 47.72656)"/>
    <x v="4"/>
    <s v="53033000900"/>
  </r>
  <r>
    <x v="511"/>
    <x v="15"/>
    <s v="Newman Lake"/>
    <s v="WA"/>
    <n v="99025"/>
    <x v="10"/>
    <x v="20"/>
    <s v="MODEL S"/>
    <x v="1"/>
    <s v="Clean Alternative Fuel Vehicle Eligible"/>
    <s v="249"/>
    <s v="0"/>
    <s v="4"/>
    <n v="186936704"/>
    <s v="POINT (-117.06882 47.7251)"/>
    <x v="12"/>
    <s v="53063010102"/>
  </r>
  <r>
    <x v="512"/>
    <x v="7"/>
    <s v="Olympia"/>
    <s v="WA"/>
    <n v="98513"/>
    <x v="5"/>
    <x v="20"/>
    <s v="MODEL S"/>
    <x v="1"/>
    <s v="Clean Alternative Fuel Vehicle Eligible"/>
    <s v="210"/>
    <s v="0"/>
    <s v="2"/>
    <n v="240298572"/>
    <s v="POINT (-122.81754 46.98876)"/>
    <x v="0"/>
    <s v="53067012331"/>
  </r>
  <r>
    <x v="513"/>
    <x v="3"/>
    <s v="Toppenish"/>
    <s v="WA"/>
    <n v="98948"/>
    <x v="10"/>
    <x v="20"/>
    <s v="MODEL S"/>
    <x v="1"/>
    <s v="Clean Alternative Fuel Vehicle Eligible"/>
    <s v="249"/>
    <s v="0"/>
    <s v="15"/>
    <n v="154011287"/>
    <s v="POINT (-120.31298 46.37508)"/>
    <x v="2"/>
    <s v="53077940005"/>
  </r>
  <r>
    <x v="513"/>
    <x v="7"/>
    <s v="Olympia"/>
    <s v="WA"/>
    <n v="98502"/>
    <x v="10"/>
    <x v="20"/>
    <s v="MODEL S"/>
    <x v="1"/>
    <s v="Clean Alternative Fuel Vehicle Eligible"/>
    <s v="249"/>
    <s v="0"/>
    <s v="35"/>
    <n v="196648210"/>
    <s v="POINT (-122.92333 47.03779)"/>
    <x v="0"/>
    <s v="53067011902"/>
  </r>
  <r>
    <x v="513"/>
    <x v="1"/>
    <s v="Bellevue"/>
    <s v="WA"/>
    <n v="98005"/>
    <x v="10"/>
    <x v="20"/>
    <s v="MODEL S"/>
    <x v="1"/>
    <s v="Clean Alternative Fuel Vehicle Eligible"/>
    <s v="249"/>
    <s v="0"/>
    <s v="41"/>
    <n v="475129861"/>
    <s v="POINT (-122.1621 47.64441)"/>
    <x v="1"/>
    <s v="53033023601"/>
  </r>
  <r>
    <x v="514"/>
    <x v="16"/>
    <s v="Shelton"/>
    <s v="WA"/>
    <n v="98584"/>
    <x v="5"/>
    <x v="20"/>
    <s v="MODEL S"/>
    <x v="1"/>
    <s v="Clean Alternative Fuel Vehicle Eligible"/>
    <s v="210"/>
    <s v="0"/>
    <s v="35"/>
    <n v="349976224"/>
    <s v="POINT (-123.10565 47.21248)"/>
    <x v="14"/>
    <s v="53045961000"/>
  </r>
  <r>
    <x v="515"/>
    <x v="1"/>
    <s v="Fall City"/>
    <s v="WA"/>
    <n v="98024"/>
    <x v="1"/>
    <x v="20"/>
    <s v="MODEL S"/>
    <x v="1"/>
    <s v="Eligibility unknown as battery range has not been researched"/>
    <s v="0"/>
    <s v="0"/>
    <s v="5"/>
    <n v="134940368"/>
    <s v="POINT (-121.89086 47.56812)"/>
    <x v="1"/>
    <s v="53033032601"/>
  </r>
  <r>
    <x v="516"/>
    <x v="7"/>
    <s v="Olympia"/>
    <s v="WA"/>
    <n v="98506"/>
    <x v="8"/>
    <x v="20"/>
    <s v="MODEL S"/>
    <x v="1"/>
    <s v="Clean Alternative Fuel Vehicle Eligible"/>
    <s v="208"/>
    <s v="0"/>
    <s v="22"/>
    <n v="129126371"/>
    <s v="POINT (-122.87741 47.05997)"/>
    <x v="0"/>
    <s v="53067012100"/>
  </r>
  <r>
    <x v="517"/>
    <x v="11"/>
    <s v="Mount Vernon"/>
    <s v="WA"/>
    <n v="98273"/>
    <x v="9"/>
    <x v="20"/>
    <s v="MODEL S"/>
    <x v="1"/>
    <s v="Clean Alternative Fuel Vehicle Eligible"/>
    <s v="210"/>
    <s v="0"/>
    <s v="40"/>
    <n v="254797854"/>
    <s v="POINT (-122.33891 48.41644)"/>
    <x v="0"/>
    <s v="53057952200"/>
  </r>
  <r>
    <x v="518"/>
    <x v="7"/>
    <s v="Olympia"/>
    <s v="WA"/>
    <n v="98502"/>
    <x v="8"/>
    <x v="20"/>
    <s v="MODEL S"/>
    <x v="1"/>
    <s v="Clean Alternative Fuel Vehicle Eligible"/>
    <s v="208"/>
    <s v="0"/>
    <s v="35"/>
    <n v="166186233"/>
    <s v="POINT (-122.92333 47.03779)"/>
    <x v="0"/>
    <s v="53067011901"/>
  </r>
  <r>
    <x v="519"/>
    <x v="2"/>
    <s v="Everett"/>
    <s v="WA"/>
    <n v="98208"/>
    <x v="5"/>
    <x v="20"/>
    <s v="MODEL S"/>
    <x v="1"/>
    <s v="Clean Alternative Fuel Vehicle Eligible"/>
    <s v="210"/>
    <s v="0"/>
    <s v="44"/>
    <n v="475732358"/>
    <s v="POINT (-122.18637 47.89251)"/>
    <x v="0"/>
    <s v="53061041607"/>
  </r>
  <r>
    <x v="520"/>
    <x v="2"/>
    <s v="Bothell"/>
    <s v="WA"/>
    <n v="98012"/>
    <x v="12"/>
    <x v="20"/>
    <s v="MODEL S"/>
    <x v="1"/>
    <s v="Clean Alternative Fuel Vehicle Eligible"/>
    <s v="270"/>
    <s v="0"/>
    <s v="44"/>
    <n v="8861128"/>
    <s v="POINT (-122.21061 47.83448)"/>
    <x v="0"/>
    <s v="53061052007"/>
  </r>
  <r>
    <x v="521"/>
    <x v="2"/>
    <s v="Lynnwood"/>
    <s v="WA"/>
    <n v="98036"/>
    <x v="8"/>
    <x v="20"/>
    <s v="MODEL S"/>
    <x v="1"/>
    <s v="Clean Alternative Fuel Vehicle Eligible"/>
    <s v="208"/>
    <s v="0"/>
    <s v="32"/>
    <n v="264654967"/>
    <s v="POINT (-122.29245 47.82557)"/>
    <x v="0"/>
    <s v="53061051930"/>
  </r>
  <r>
    <x v="522"/>
    <x v="2"/>
    <s v="Snohomish"/>
    <s v="WA"/>
    <n v="98290"/>
    <x v="9"/>
    <x v="20"/>
    <s v="MODEL S"/>
    <x v="1"/>
    <s v="Clean Alternative Fuel Vehicle Eligible"/>
    <s v="210"/>
    <s v="0"/>
    <s v="39"/>
    <n v="228536416"/>
    <s v="POINT (-122.09305 47.91265)"/>
    <x v="0"/>
    <s v="53061053603"/>
  </r>
  <r>
    <x v="523"/>
    <x v="1"/>
    <s v="Bothell"/>
    <s v="WA"/>
    <n v="98034"/>
    <x v="10"/>
    <x v="20"/>
    <s v="MODEL S"/>
    <x v="1"/>
    <s v="Clean Alternative Fuel Vehicle Eligible"/>
    <s v="249"/>
    <s v="0"/>
    <s v="45"/>
    <n v="475992653"/>
    <s v="POINT (-122.22901 47.72201)"/>
    <x v="1"/>
    <s v="53033022001"/>
  </r>
  <r>
    <x v="523"/>
    <x v="1"/>
    <s v="Seattle"/>
    <s v="WA"/>
    <n v="98199"/>
    <x v="10"/>
    <x v="20"/>
    <s v="MODEL S"/>
    <x v="1"/>
    <s v="Clean Alternative Fuel Vehicle Eligible"/>
    <s v="249"/>
    <s v="0"/>
    <s v="36"/>
    <n v="476248307"/>
    <s v="POINT (-122.40092 47.65908)"/>
    <x v="4"/>
    <s v="53033005600"/>
  </r>
  <r>
    <x v="524"/>
    <x v="3"/>
    <s v="Yakima"/>
    <s v="WA"/>
    <n v="98902"/>
    <x v="12"/>
    <x v="20"/>
    <s v="MODEL S"/>
    <x v="1"/>
    <s v="Clean Alternative Fuel Vehicle Eligible"/>
    <s v="270"/>
    <s v="0"/>
    <s v="15"/>
    <n v="474882180"/>
    <s v="POINT (-120.51904 46.59783)"/>
    <x v="2"/>
    <s v="53077000301"/>
  </r>
  <r>
    <x v="525"/>
    <x v="2"/>
    <s v="Edmonds"/>
    <s v="WA"/>
    <n v="98026"/>
    <x v="9"/>
    <x v="20"/>
    <s v="MODEL S"/>
    <x v="1"/>
    <s v="Clean Alternative Fuel Vehicle Eligible"/>
    <s v="210"/>
    <s v="0"/>
    <s v="21"/>
    <n v="204828767"/>
    <s v="POINT (-122.31768 47.87166)"/>
    <x v="0"/>
    <s v="53061042004"/>
  </r>
  <r>
    <x v="525"/>
    <x v="1"/>
    <s v="Seattle"/>
    <s v="WA"/>
    <n v="98102"/>
    <x v="9"/>
    <x v="20"/>
    <s v="MODEL S"/>
    <x v="1"/>
    <s v="Clean Alternative Fuel Vehicle Eligible"/>
    <s v="210"/>
    <s v="0"/>
    <s v="43"/>
    <n v="316332929"/>
    <s v="POINT (-122.32427 47.63433)"/>
    <x v="4"/>
    <s v="53033006500"/>
  </r>
  <r>
    <x v="526"/>
    <x v="2"/>
    <s v="Snohomish"/>
    <s v="WA"/>
    <n v="98290"/>
    <x v="10"/>
    <x v="20"/>
    <s v="MODEL S"/>
    <x v="1"/>
    <s v="Clean Alternative Fuel Vehicle Eligible"/>
    <s v="249"/>
    <s v="0"/>
    <s v="44"/>
    <n v="267926368"/>
    <s v="POINT (-122.09305 47.91265)"/>
    <x v="0"/>
    <s v="53061052502"/>
  </r>
  <r>
    <x v="526"/>
    <x v="2"/>
    <s v="Edmonds"/>
    <s v="WA"/>
    <n v="98026"/>
    <x v="10"/>
    <x v="20"/>
    <s v="MODEL S"/>
    <x v="1"/>
    <s v="Clean Alternative Fuel Vehicle Eligible"/>
    <s v="249"/>
    <s v="0"/>
    <s v="21"/>
    <n v="286581200"/>
    <s v="POINT (-122.31768 47.87166)"/>
    <x v="0"/>
    <s v="53061050200"/>
  </r>
  <r>
    <x v="527"/>
    <x v="2"/>
    <s v="Mukilteo"/>
    <s v="WA"/>
    <n v="98275"/>
    <x v="12"/>
    <x v="20"/>
    <s v="MODEL S"/>
    <x v="1"/>
    <s v="Clean Alternative Fuel Vehicle Eligible"/>
    <s v="270"/>
    <s v="0"/>
    <s v="21"/>
    <n v="236424583"/>
    <s v="POINT (-122.29196 47.89908)"/>
    <x v="0"/>
    <s v="53061042001"/>
  </r>
  <r>
    <x v="528"/>
    <x v="1"/>
    <s v="Redmond"/>
    <s v="WA"/>
    <n v="98052"/>
    <x v="12"/>
    <x v="20"/>
    <s v="MODEL S"/>
    <x v="1"/>
    <s v="Clean Alternative Fuel Vehicle Eligible"/>
    <s v="270"/>
    <s v="0"/>
    <s v="48"/>
    <n v="478027903"/>
    <s v="POINT (-122.13158 47.67858)"/>
    <x v="1"/>
    <s v="53033022902"/>
  </r>
  <r>
    <x v="529"/>
    <x v="2"/>
    <s v="Snohomish"/>
    <s v="WA"/>
    <n v="98290"/>
    <x v="5"/>
    <x v="20"/>
    <s v="MODEL S"/>
    <x v="1"/>
    <s v="Clean Alternative Fuel Vehicle Eligible"/>
    <s v="210"/>
    <s v="0"/>
    <s v="44"/>
    <n v="171866313"/>
    <s v="POINT (-122.09305 47.91265)"/>
    <x v="0"/>
    <s v="53061052502"/>
  </r>
  <r>
    <x v="530"/>
    <x v="0"/>
    <s v="Port Orchard"/>
    <s v="WA"/>
    <n v="98366"/>
    <x v="10"/>
    <x v="20"/>
    <s v="MODEL S"/>
    <x v="1"/>
    <s v="Clean Alternative Fuel Vehicle Eligible"/>
    <s v="249"/>
    <s v="0"/>
    <s v="26"/>
    <n v="177571971"/>
    <s v="POINT (-122.63847 47.54103)"/>
    <x v="0"/>
    <s v="53035092200"/>
  </r>
  <r>
    <x v="531"/>
    <x v="14"/>
    <s v="Walla Walla"/>
    <s v="WA"/>
    <n v="99362"/>
    <x v="11"/>
    <x v="20"/>
    <s v="MODEL S"/>
    <x v="1"/>
    <s v="Clean Alternative Fuel Vehicle Eligible"/>
    <s v="330"/>
    <s v="0"/>
    <s v="16"/>
    <n v="127229105"/>
    <s v="POINT (-118.34261 46.07068)"/>
    <x v="2"/>
    <s v="53071920901"/>
  </r>
  <r>
    <x v="531"/>
    <x v="17"/>
    <s v="Friday Harbor"/>
    <s v="WA"/>
    <n v="98250"/>
    <x v="11"/>
    <x v="20"/>
    <s v="MODEL S"/>
    <x v="1"/>
    <s v="Clean Alternative Fuel Vehicle Eligible"/>
    <s v="330"/>
    <s v="0"/>
    <s v="40"/>
    <n v="6397107"/>
    <s v="POINT (-123.01648 48.53448)"/>
    <x v="16"/>
    <s v="53055960301"/>
  </r>
  <r>
    <x v="532"/>
    <x v="0"/>
    <s v="Port Orchard"/>
    <s v="WA"/>
    <n v="98367"/>
    <x v="10"/>
    <x v="20"/>
    <s v="MODEL S"/>
    <x v="1"/>
    <s v="Clean Alternative Fuel Vehicle Eligible"/>
    <s v="249"/>
    <s v="0"/>
    <s v="26"/>
    <n v="475154907"/>
    <s v="POINT (-122.70348 47.52028)"/>
    <x v="0"/>
    <s v="53035092101"/>
  </r>
  <r>
    <x v="533"/>
    <x v="2"/>
    <s v="Bothell"/>
    <s v="WA"/>
    <n v="98012"/>
    <x v="12"/>
    <x v="20"/>
    <s v="MODEL S"/>
    <x v="1"/>
    <s v="Clean Alternative Fuel Vehicle Eligible"/>
    <s v="270"/>
    <s v="0"/>
    <s v="44"/>
    <n v="249931048"/>
    <s v="POINT (-122.21061 47.83448)"/>
    <x v="0"/>
    <s v="53061052007"/>
  </r>
  <r>
    <x v="534"/>
    <x v="1"/>
    <s v="Seattle"/>
    <s v="WA"/>
    <n v="98125"/>
    <x v="5"/>
    <x v="20"/>
    <s v="MODEL S"/>
    <x v="1"/>
    <s v="Clean Alternative Fuel Vehicle Eligible"/>
    <s v="210"/>
    <s v="0"/>
    <s v="46"/>
    <n v="9949922"/>
    <s v="POINT (-122.30253 47.72656)"/>
    <x v="4"/>
    <s v="53033000700"/>
  </r>
  <r>
    <x v="535"/>
    <x v="1"/>
    <s v="Renton"/>
    <s v="WA"/>
    <n v="98059"/>
    <x v="5"/>
    <x v="20"/>
    <s v="MODEL S"/>
    <x v="1"/>
    <s v="Clean Alternative Fuel Vehicle Eligible"/>
    <s v="210"/>
    <s v="0"/>
    <s v="11"/>
    <n v="174494631"/>
    <s v="POINT (-122.16335 47.53505)"/>
    <x v="1"/>
    <s v="53033025602"/>
  </r>
  <r>
    <x v="536"/>
    <x v="7"/>
    <s v="Tumwater"/>
    <s v="WA"/>
    <n v="98501"/>
    <x v="10"/>
    <x v="20"/>
    <s v="MODEL S"/>
    <x v="1"/>
    <s v="Clean Alternative Fuel Vehicle Eligible"/>
    <s v="249"/>
    <s v="0"/>
    <s v="22"/>
    <n v="209855187"/>
    <s v="POINT (-122.89165 47.03954)"/>
    <x v="0"/>
    <s v="53067010802"/>
  </r>
  <r>
    <x v="537"/>
    <x v="1"/>
    <s v="Kent"/>
    <s v="WA"/>
    <n v="98042"/>
    <x v="8"/>
    <x v="20"/>
    <s v="MODEL S"/>
    <x v="1"/>
    <s v="Clean Alternative Fuel Vehicle Eligible"/>
    <s v="208"/>
    <s v="0"/>
    <s v="5"/>
    <n v="288697055"/>
    <s v="POINT (-122.09124 47.33778)"/>
    <x v="1"/>
    <s v="53033031601"/>
  </r>
  <r>
    <x v="538"/>
    <x v="7"/>
    <s v="Lacey"/>
    <s v="WA"/>
    <n v="98516"/>
    <x v="5"/>
    <x v="20"/>
    <s v="MODEL S"/>
    <x v="1"/>
    <s v="Clean Alternative Fuel Vehicle Eligible"/>
    <s v="210"/>
    <s v="0"/>
    <s v="22"/>
    <n v="349844813"/>
    <s v="POINT (-122.78158 47.05335)"/>
    <x v="0"/>
    <s v="53067012224"/>
  </r>
  <r>
    <x v="539"/>
    <x v="1"/>
    <s v="Seattle"/>
    <s v="WA"/>
    <n v="98125"/>
    <x v="0"/>
    <x v="20"/>
    <s v="MODEL S"/>
    <x v="1"/>
    <s v="Eligibility unknown as battery range has not been researched"/>
    <s v="0"/>
    <s v="0"/>
    <s v="46"/>
    <n v="233738144"/>
    <s v="POINT (-122.30253 47.72656)"/>
    <x v="4"/>
    <s v="53033002200"/>
  </r>
  <r>
    <x v="540"/>
    <x v="1"/>
    <s v="Medina"/>
    <s v="WA"/>
    <n v="98039"/>
    <x v="3"/>
    <x v="20"/>
    <s v="MODEL S"/>
    <x v="1"/>
    <s v="Eligibility unknown as battery range has not been researched"/>
    <s v="0"/>
    <s v="0"/>
    <s v="48"/>
    <n v="265762402"/>
    <s v="POINT (-122.23892 47.61613)"/>
    <x v="1"/>
    <s v="53033024200"/>
  </r>
  <r>
    <x v="541"/>
    <x v="1"/>
    <s v="Issaquah"/>
    <s v="WA"/>
    <n v="98029"/>
    <x v="3"/>
    <x v="20"/>
    <s v="MODEL S"/>
    <x v="1"/>
    <s v="Eligibility unknown as battery range has not been researched"/>
    <s v="0"/>
    <s v="0"/>
    <s v="5"/>
    <n v="277950872"/>
    <s v="POINT (-122.00292 47.54748)"/>
    <x v="1"/>
    <s v="53033032221"/>
  </r>
  <r>
    <x v="542"/>
    <x v="3"/>
    <s v="Moxee"/>
    <s v="WA"/>
    <n v="98936"/>
    <x v="0"/>
    <x v="20"/>
    <s v="MODEL S"/>
    <x v="1"/>
    <s v="Eligibility unknown as battery range has not been researched"/>
    <s v="0"/>
    <s v="0"/>
    <s v="15"/>
    <n v="236432542"/>
    <s v="POINT (-120.39197 46.55621)"/>
    <x v="2"/>
    <s v="53077001702"/>
  </r>
  <r>
    <x v="543"/>
    <x v="0"/>
    <s v="Bremerton"/>
    <s v="WA"/>
    <n v="98311"/>
    <x v="2"/>
    <x v="20"/>
    <s v="MODEL S"/>
    <x v="1"/>
    <s v="Eligibility unknown as battery range has not been researched"/>
    <s v="0"/>
    <s v="0"/>
    <s v="23"/>
    <n v="196425127"/>
    <s v="POINT (-122.60915 47.62631)"/>
    <x v="0"/>
    <s v="53035091701"/>
  </r>
  <r>
    <x v="543"/>
    <x v="1"/>
    <s v="Seattle"/>
    <s v="WA"/>
    <n v="98116"/>
    <x v="2"/>
    <x v="20"/>
    <s v="MODEL S"/>
    <x v="1"/>
    <s v="Eligibility unknown as battery range has not been researched"/>
    <s v="0"/>
    <s v="0"/>
    <s v="34"/>
    <n v="277868195"/>
    <s v="POINT (-122.41067 47.57894)"/>
    <x v="4"/>
    <s v="53033009701"/>
  </r>
  <r>
    <x v="544"/>
    <x v="25"/>
    <s v="Cle Elum"/>
    <s v="WA"/>
    <n v="98922"/>
    <x v="1"/>
    <x v="20"/>
    <s v="MODEL S"/>
    <x v="1"/>
    <s v="Eligibility unknown as battery range has not been researched"/>
    <s v="0"/>
    <s v="0"/>
    <s v="13"/>
    <n v="175942700"/>
    <s v="POINT (-120.93943 47.195)"/>
    <x v="0"/>
    <s v="53037975104"/>
  </r>
  <r>
    <x v="545"/>
    <x v="1"/>
    <s v="Issaquah"/>
    <s v="WA"/>
    <n v="98027"/>
    <x v="6"/>
    <x v="20"/>
    <s v="MODEL S"/>
    <x v="1"/>
    <s v="Clean Alternative Fuel Vehicle Eligible"/>
    <s v="208"/>
    <s v="69900"/>
    <s v="5"/>
    <n v="178040334"/>
    <s v="POINT (-122.03439 47.5301)"/>
    <x v="1"/>
    <s v="53033031904"/>
  </r>
  <r>
    <x v="546"/>
    <x v="7"/>
    <s v="Olympia"/>
    <s v="WA"/>
    <n v="98516"/>
    <x v="6"/>
    <x v="20"/>
    <s v="MODEL S"/>
    <x v="1"/>
    <s v="Clean Alternative Fuel Vehicle Eligible"/>
    <s v="208"/>
    <s v="69900"/>
    <s v="22"/>
    <n v="187558416"/>
    <s v="POINT (-122.78158 47.05335)"/>
    <x v="0"/>
    <s v="53067012221"/>
  </r>
  <r>
    <x v="547"/>
    <x v="0"/>
    <s v="Bremerton"/>
    <s v="WA"/>
    <n v="98312"/>
    <x v="8"/>
    <x v="20"/>
    <s v="MODEL S"/>
    <x v="1"/>
    <s v="Clean Alternative Fuel Vehicle Eligible"/>
    <s v="208"/>
    <s v="0"/>
    <s v="26"/>
    <n v="237052427"/>
    <s v="POINT (-122.65223 47.57192)"/>
    <x v="0"/>
    <s v="53035080600"/>
  </r>
  <r>
    <x v="548"/>
    <x v="2"/>
    <s v="Mukilteo"/>
    <s v="WA"/>
    <n v="98275"/>
    <x v="8"/>
    <x v="20"/>
    <s v="MODEL S"/>
    <x v="1"/>
    <s v="Clean Alternative Fuel Vehicle Eligible"/>
    <s v="208"/>
    <s v="0"/>
    <s v="21"/>
    <n v="238385255"/>
    <s v="POINT (-122.29196 47.89908)"/>
    <x v="0"/>
    <s v="53061042001"/>
  </r>
  <r>
    <x v="548"/>
    <x v="1"/>
    <s v="Covington"/>
    <s v="WA"/>
    <n v="98042"/>
    <x v="8"/>
    <x v="20"/>
    <s v="MODEL S"/>
    <x v="1"/>
    <s v="Clean Alternative Fuel Vehicle Eligible"/>
    <s v="208"/>
    <s v="0"/>
    <s v="47"/>
    <n v="136859838"/>
    <s v="POINT (-122.09124 47.33778)"/>
    <x v="1"/>
    <s v="53033031709"/>
  </r>
  <r>
    <x v="549"/>
    <x v="2"/>
    <s v="Bothell"/>
    <s v="WA"/>
    <n v="98021"/>
    <x v="8"/>
    <x v="20"/>
    <s v="MODEL S"/>
    <x v="1"/>
    <s v="Clean Alternative Fuel Vehicle Eligible"/>
    <s v="208"/>
    <s v="0"/>
    <s v="1"/>
    <n v="199402794"/>
    <s v="POINT (-122.18384 47.8031)"/>
    <x v="0"/>
    <s v="53061051937"/>
  </r>
  <r>
    <x v="550"/>
    <x v="3"/>
    <s v="Selah"/>
    <s v="WA"/>
    <n v="98942"/>
    <x v="8"/>
    <x v="20"/>
    <s v="MODEL S"/>
    <x v="1"/>
    <s v="Clean Alternative Fuel Vehicle Eligible"/>
    <s v="208"/>
    <s v="0"/>
    <s v="15"/>
    <n v="258112970"/>
    <s v="POINT (-120.53145 46.65405)"/>
    <x v="2"/>
    <s v="53077003200"/>
  </r>
  <r>
    <x v="551"/>
    <x v="2"/>
    <s v="Mill Creek"/>
    <s v="WA"/>
    <n v="98012"/>
    <x v="5"/>
    <x v="20"/>
    <s v="MODEL X"/>
    <x v="1"/>
    <s v="Clean Alternative Fuel Vehicle Eligible"/>
    <s v="200"/>
    <s v="0"/>
    <s v="44"/>
    <n v="230862306"/>
    <s v="POINT (-122.21061 47.83448)"/>
    <x v="0"/>
    <s v="53061041704"/>
  </r>
  <r>
    <x v="552"/>
    <x v="1"/>
    <s v="Redmond"/>
    <s v="WA"/>
    <n v="98053"/>
    <x v="11"/>
    <x v="20"/>
    <s v="MODEL X"/>
    <x v="1"/>
    <s v="Clean Alternative Fuel Vehicle Eligible"/>
    <s v="293"/>
    <s v="0"/>
    <s v="45"/>
    <n v="3561995"/>
    <s v="POINT (-122.03287 47.68555)"/>
    <x v="1"/>
    <s v="53033032333"/>
  </r>
  <r>
    <x v="553"/>
    <x v="1"/>
    <s v="Burien"/>
    <s v="WA"/>
    <n v="98168"/>
    <x v="9"/>
    <x v="20"/>
    <s v="MODEL X"/>
    <x v="1"/>
    <s v="Clean Alternative Fuel Vehicle Eligible"/>
    <s v="200"/>
    <s v="0"/>
    <s v="33"/>
    <n v="114388263"/>
    <s v="POINT (-122.3317 47.50314)"/>
    <x v="4"/>
    <s v="53033026400"/>
  </r>
  <r>
    <x v="554"/>
    <x v="2"/>
    <s v="Lynnwood"/>
    <s v="WA"/>
    <n v="98036"/>
    <x v="9"/>
    <x v="20"/>
    <s v="MODEL X"/>
    <x v="1"/>
    <s v="Clean Alternative Fuel Vehicle Eligible"/>
    <s v="200"/>
    <s v="0"/>
    <s v="21"/>
    <n v="349046701"/>
    <s v="POINT (-122.29245 47.82557)"/>
    <x v="0"/>
    <s v="53061051922"/>
  </r>
  <r>
    <x v="555"/>
    <x v="1"/>
    <s v="Kirkland"/>
    <s v="WA"/>
    <n v="98033"/>
    <x v="11"/>
    <x v="20"/>
    <s v="MODEL X"/>
    <x v="1"/>
    <s v="Clean Alternative Fuel Vehicle Eligible"/>
    <s v="293"/>
    <s v="0"/>
    <s v="45"/>
    <n v="103252845"/>
    <s v="POINT (-122.2066 47.67887)"/>
    <x v="1"/>
    <s v="53033022603"/>
  </r>
  <r>
    <x v="556"/>
    <x v="2"/>
    <s v="Snohomish"/>
    <s v="WA"/>
    <n v="98296"/>
    <x v="11"/>
    <x v="20"/>
    <s v="MODEL X"/>
    <x v="1"/>
    <s v="Clean Alternative Fuel Vehicle Eligible"/>
    <s v="293"/>
    <s v="0"/>
    <s v="1"/>
    <n v="249693839"/>
    <s v="POINT (-122.1389 47.87115)"/>
    <x v="0"/>
    <s v="53061052114"/>
  </r>
  <r>
    <x v="557"/>
    <x v="1"/>
    <s v="Bellevue"/>
    <s v="WA"/>
    <n v="98005"/>
    <x v="11"/>
    <x v="20"/>
    <s v="MODEL X"/>
    <x v="1"/>
    <s v="Clean Alternative Fuel Vehicle Eligible"/>
    <s v="293"/>
    <s v="0"/>
    <s v="41"/>
    <n v="6304763"/>
    <s v="POINT (-122.1621 47.64441)"/>
    <x v="1"/>
    <s v="53033023500"/>
  </r>
  <r>
    <x v="558"/>
    <x v="1"/>
    <s v="Renton"/>
    <s v="WA"/>
    <n v="98055"/>
    <x v="11"/>
    <x v="20"/>
    <s v="MODEL X"/>
    <x v="1"/>
    <s v="Clean Alternative Fuel Vehicle Eligible"/>
    <s v="293"/>
    <s v="0"/>
    <s v="33"/>
    <n v="260690769"/>
    <s v="POINT (-122.20784 47.46004)"/>
    <x v="1"/>
    <s v="53033029309"/>
  </r>
  <r>
    <x v="559"/>
    <x v="1"/>
    <s v="Bellevue"/>
    <s v="WA"/>
    <n v="98004"/>
    <x v="12"/>
    <x v="20"/>
    <s v="MODEL X"/>
    <x v="1"/>
    <s v="Clean Alternative Fuel Vehicle Eligible"/>
    <s v="289"/>
    <s v="0"/>
    <s v="48"/>
    <n v="102073086"/>
    <s v="POINT (-122.1872 47.61001)"/>
    <x v="1"/>
    <s v="53033024001"/>
  </r>
  <r>
    <x v="560"/>
    <x v="16"/>
    <s v="Shelton"/>
    <s v="WA"/>
    <n v="98584"/>
    <x v="11"/>
    <x v="20"/>
    <s v="MODEL X"/>
    <x v="1"/>
    <s v="Clean Alternative Fuel Vehicle Eligible"/>
    <s v="289"/>
    <s v="0"/>
    <s v="35"/>
    <n v="275577641"/>
    <s v="POINT (-123.10565 47.21248)"/>
    <x v="14"/>
    <s v="53045961000"/>
  </r>
  <r>
    <x v="561"/>
    <x v="2"/>
    <s v="Edmonds"/>
    <s v="WA"/>
    <n v="98020"/>
    <x v="9"/>
    <x v="20"/>
    <s v="MODEL X"/>
    <x v="1"/>
    <s v="Clean Alternative Fuel Vehicle Eligible"/>
    <s v="200"/>
    <s v="0"/>
    <s v="21"/>
    <n v="252939879"/>
    <s v="POINT (-122.37689 47.81116)"/>
    <x v="0"/>
    <s v="53061050403"/>
  </r>
  <r>
    <x v="562"/>
    <x v="1"/>
    <s v="Kent"/>
    <s v="WA"/>
    <n v="98031"/>
    <x v="10"/>
    <x v="20"/>
    <s v="MODEL X"/>
    <x v="1"/>
    <s v="Clean Alternative Fuel Vehicle Eligible"/>
    <s v="238"/>
    <s v="0"/>
    <s v="47"/>
    <n v="276969668"/>
    <s v="POINT (-122.17743 47.41185)"/>
    <x v="1"/>
    <s v="53033029407"/>
  </r>
  <r>
    <x v="563"/>
    <x v="1"/>
    <s v="Newcastle"/>
    <s v="WA"/>
    <n v="98056"/>
    <x v="10"/>
    <x v="20"/>
    <s v="MODEL X"/>
    <x v="1"/>
    <s v="Clean Alternative Fuel Vehicle Eligible"/>
    <s v="238"/>
    <s v="0"/>
    <s v="41"/>
    <n v="277875496"/>
    <s v="POINT (-122.2044 47.52136)"/>
    <x v="1"/>
    <s v="53033024703"/>
  </r>
  <r>
    <x v="564"/>
    <x v="2"/>
    <s v="Everett"/>
    <s v="WA"/>
    <n v="98201"/>
    <x v="9"/>
    <x v="20"/>
    <s v="MODEL X"/>
    <x v="1"/>
    <s v="Clean Alternative Fuel Vehicle Eligible"/>
    <s v="200"/>
    <s v="0"/>
    <s v="38"/>
    <n v="122175511"/>
    <s v="POINT (-122.20596 47.97659)"/>
    <x v="0"/>
    <s v="53061040800"/>
  </r>
  <r>
    <x v="565"/>
    <x v="1"/>
    <s v="Seattle"/>
    <s v="WA"/>
    <n v="98125"/>
    <x v="12"/>
    <x v="20"/>
    <s v="MODEL X"/>
    <x v="1"/>
    <s v="Clean Alternative Fuel Vehicle Eligible"/>
    <s v="289"/>
    <s v="0"/>
    <s v="46"/>
    <n v="133793404"/>
    <s v="POINT (-122.30253 47.72656)"/>
    <x v="1"/>
    <s v="53033000900"/>
  </r>
  <r>
    <x v="566"/>
    <x v="3"/>
    <s v="Yakima"/>
    <s v="WA"/>
    <n v="98903"/>
    <x v="10"/>
    <x v="20"/>
    <s v="MODEL X"/>
    <x v="1"/>
    <s v="Clean Alternative Fuel Vehicle Eligible"/>
    <s v="238"/>
    <s v="0"/>
    <s v="14"/>
    <n v="209125255"/>
    <s v="POINT (-120.47777 46.55666)"/>
    <x v="2"/>
    <s v="53077002803"/>
  </r>
  <r>
    <x v="567"/>
    <x v="1"/>
    <s v="Redmond"/>
    <s v="WA"/>
    <n v="98052"/>
    <x v="11"/>
    <x v="20"/>
    <s v="MODEL X"/>
    <x v="1"/>
    <s v="Clean Alternative Fuel Vehicle Eligible"/>
    <s v="293"/>
    <s v="0"/>
    <s v="48"/>
    <n v="7863481"/>
    <s v="POINT (-122.13158 47.67858)"/>
    <x v="1"/>
    <s v="53033022803"/>
  </r>
  <r>
    <x v="568"/>
    <x v="2"/>
    <s v="Monroe"/>
    <s v="WA"/>
    <n v="98272"/>
    <x v="9"/>
    <x v="20"/>
    <s v="MODEL X"/>
    <x v="1"/>
    <s v="Clean Alternative Fuel Vehicle Eligible"/>
    <s v="200"/>
    <s v="0"/>
    <s v="39"/>
    <n v="224949889"/>
    <s v="POINT (-121.98087 47.8526)"/>
    <x v="0"/>
    <s v="53061052203"/>
  </r>
  <r>
    <x v="569"/>
    <x v="1"/>
    <s v="Seattle"/>
    <s v="WA"/>
    <n v="98116"/>
    <x v="12"/>
    <x v="20"/>
    <s v="MODEL X"/>
    <x v="1"/>
    <s v="Clean Alternative Fuel Vehicle Eligible"/>
    <s v="289"/>
    <s v="0"/>
    <s v="34"/>
    <n v="282968647"/>
    <s v="POINT (-122.41067 47.57894)"/>
    <x v="4"/>
    <s v="53033009702"/>
  </r>
  <r>
    <x v="570"/>
    <x v="13"/>
    <s v="Moses Lake"/>
    <s v="WA"/>
    <n v="98837"/>
    <x v="10"/>
    <x v="20"/>
    <s v="MODEL X"/>
    <x v="1"/>
    <s v="Clean Alternative Fuel Vehicle Eligible"/>
    <s v="238"/>
    <s v="0"/>
    <s v="13"/>
    <n v="168598034"/>
    <s v="POINT (-119.2771 47.13196)"/>
    <x v="10"/>
    <s v="53025011001"/>
  </r>
  <r>
    <x v="571"/>
    <x v="3"/>
    <s v="Yakima"/>
    <s v="WA"/>
    <n v="98903"/>
    <x v="9"/>
    <x v="20"/>
    <s v="MODEL X"/>
    <x v="1"/>
    <s v="Clean Alternative Fuel Vehicle Eligible"/>
    <s v="200"/>
    <s v="0"/>
    <s v="14"/>
    <n v="261035071"/>
    <s v="POINT (-120.47777 46.55666)"/>
    <x v="2"/>
    <s v="53077002801"/>
  </r>
  <r>
    <x v="572"/>
    <x v="11"/>
    <s v="Mount Vernon"/>
    <s v="WA"/>
    <n v="98274"/>
    <x v="10"/>
    <x v="20"/>
    <s v="MODEL X"/>
    <x v="1"/>
    <s v="Clean Alternative Fuel Vehicle Eligible"/>
    <s v="238"/>
    <s v="0"/>
    <s v="10"/>
    <n v="475226090"/>
    <s v="POINT (-122.32355 48.41566)"/>
    <x v="0"/>
    <s v="53057952403"/>
  </r>
  <r>
    <x v="573"/>
    <x v="15"/>
    <s v="Spokane"/>
    <s v="WA"/>
    <n v="99224"/>
    <x v="1"/>
    <x v="20"/>
    <s v="MODEL Y"/>
    <x v="1"/>
    <s v="Eligibility unknown as battery range has not been researched"/>
    <s v="0"/>
    <s v="0"/>
    <s v="6"/>
    <n v="183301576"/>
    <s v="POINT (-117.46996 47.59431)"/>
    <x v="15"/>
    <s v="53063003900"/>
  </r>
  <r>
    <x v="574"/>
    <x v="1"/>
    <s v="Federal Way"/>
    <s v="WA"/>
    <n v="98023"/>
    <x v="1"/>
    <x v="20"/>
    <s v="MODEL Y"/>
    <x v="1"/>
    <s v="Eligibility unknown as battery range has not been researched"/>
    <s v="0"/>
    <s v="0"/>
    <s v="30"/>
    <n v="182441689"/>
    <s v="POINT (-122.34059 47.32478)"/>
    <x v="1"/>
    <s v="53033030308"/>
  </r>
  <r>
    <x v="575"/>
    <x v="30"/>
    <s v="Pasco"/>
    <s v="WA"/>
    <n v="99301"/>
    <x v="1"/>
    <x v="20"/>
    <s v="MODEL Y"/>
    <x v="1"/>
    <s v="Eligibility unknown as battery range has not been researched"/>
    <s v="0"/>
    <s v="0"/>
    <s v="9"/>
    <n v="151303330"/>
    <s v="POINT (-119.09467 46.23542)"/>
    <x v="33"/>
    <s v="53021020605"/>
  </r>
  <r>
    <x v="576"/>
    <x v="1"/>
    <s v="Seattle"/>
    <s v="WA"/>
    <n v="98116"/>
    <x v="1"/>
    <x v="20"/>
    <s v="MODEL Y"/>
    <x v="1"/>
    <s v="Eligibility unknown as battery range has not been researched"/>
    <s v="0"/>
    <s v="0"/>
    <s v="34"/>
    <n v="152571688"/>
    <s v="POINT (-122.41067 47.57894)"/>
    <x v="4"/>
    <s v="53033009801"/>
  </r>
  <r>
    <x v="577"/>
    <x v="1"/>
    <s v="Bellevue"/>
    <s v="WA"/>
    <n v="98005"/>
    <x v="1"/>
    <x v="20"/>
    <s v="MODEL Y"/>
    <x v="1"/>
    <s v="Eligibility unknown as battery range has not been researched"/>
    <s v="0"/>
    <s v="0"/>
    <s v="48"/>
    <n v="271114770"/>
    <s v="POINT (-122.1621 47.64441)"/>
    <x v="1"/>
    <s v="53033023701"/>
  </r>
  <r>
    <x v="578"/>
    <x v="2"/>
    <s v="Monroe"/>
    <s v="WA"/>
    <n v="98272"/>
    <x v="1"/>
    <x v="20"/>
    <s v="MODEL Y"/>
    <x v="1"/>
    <s v="Eligibility unknown as battery range has not been researched"/>
    <s v="0"/>
    <s v="0"/>
    <s v="39"/>
    <n v="260821823"/>
    <s v="POINT (-121.98087 47.8526)"/>
    <x v="0"/>
    <s v="53061052203"/>
  </r>
  <r>
    <x v="578"/>
    <x v="2"/>
    <s v="Arlington"/>
    <s v="WA"/>
    <n v="98223"/>
    <x v="1"/>
    <x v="20"/>
    <s v="MODEL Y"/>
    <x v="1"/>
    <s v="Eligibility unknown as battery range has not been researched"/>
    <s v="0"/>
    <s v="0"/>
    <s v="39"/>
    <n v="132170244"/>
    <s v="POINT (-122.1264 48.19471)"/>
    <x v="0"/>
    <s v="53061053505"/>
  </r>
  <r>
    <x v="578"/>
    <x v="1"/>
    <s v="Federal Way"/>
    <s v="WA"/>
    <n v="98023"/>
    <x v="1"/>
    <x v="20"/>
    <s v="MODEL Y"/>
    <x v="1"/>
    <s v="Eligibility unknown as battery range has not been researched"/>
    <s v="0"/>
    <s v="0"/>
    <s v="30"/>
    <n v="148409936"/>
    <s v="POINT (-122.34059 47.32478)"/>
    <x v="1"/>
    <s v="53033030305"/>
  </r>
  <r>
    <x v="578"/>
    <x v="1"/>
    <s v="Kirkland"/>
    <s v="WA"/>
    <n v="98034"/>
    <x v="1"/>
    <x v="20"/>
    <s v="MODEL Y"/>
    <x v="1"/>
    <s v="Eligibility unknown as battery range has not been researched"/>
    <s v="0"/>
    <s v="0"/>
    <s v="1"/>
    <n v="141985056"/>
    <s v="POINT (-122.22901 47.72201)"/>
    <x v="1"/>
    <s v="53033022203"/>
  </r>
  <r>
    <x v="579"/>
    <x v="2"/>
    <s v="Bothell"/>
    <s v="WA"/>
    <n v="98012"/>
    <x v="11"/>
    <x v="20"/>
    <s v="MODEL Y"/>
    <x v="1"/>
    <s v="Clean Alternative Fuel Vehicle Eligible"/>
    <s v="291"/>
    <s v="0"/>
    <s v="1"/>
    <n v="111592477"/>
    <s v="POINT (-122.21061 47.83448)"/>
    <x v="0"/>
    <s v="53061052009"/>
  </r>
  <r>
    <x v="579"/>
    <x v="6"/>
    <s v="Tacoma"/>
    <s v="WA"/>
    <n v="98406"/>
    <x v="11"/>
    <x v="20"/>
    <s v="MODEL Y"/>
    <x v="1"/>
    <s v="Clean Alternative Fuel Vehicle Eligible"/>
    <s v="291"/>
    <s v="0"/>
    <s v="27"/>
    <n v="124418395"/>
    <s v="POINT (-122.52082 47.26887)"/>
    <x v="11"/>
    <s v="53053060500"/>
  </r>
  <r>
    <x v="580"/>
    <x v="1"/>
    <s v="Newcastle"/>
    <s v="WA"/>
    <n v="98056"/>
    <x v="1"/>
    <x v="20"/>
    <s v="MODEL Y"/>
    <x v="1"/>
    <s v="Eligibility unknown as battery range has not been researched"/>
    <s v="0"/>
    <s v="0"/>
    <s v="41"/>
    <n v="142513689"/>
    <s v="POINT (-122.2044 47.52136)"/>
    <x v="1"/>
    <s v="53033025001"/>
  </r>
  <r>
    <x v="581"/>
    <x v="2"/>
    <s v="Woodinville"/>
    <s v="WA"/>
    <n v="98072"/>
    <x v="11"/>
    <x v="20"/>
    <s v="MODEL Y"/>
    <x v="1"/>
    <s v="Clean Alternative Fuel Vehicle Eligible"/>
    <s v="291"/>
    <s v="0"/>
    <s v="1"/>
    <n v="113007681"/>
    <s v="POINT (-122.15545 47.75448)"/>
    <x v="0"/>
    <s v="53061051926"/>
  </r>
  <r>
    <x v="582"/>
    <x v="1"/>
    <s v="Bellevue"/>
    <s v="WA"/>
    <n v="98004"/>
    <x v="1"/>
    <x v="20"/>
    <s v="MODEL Y"/>
    <x v="1"/>
    <s v="Eligibility unknown as battery range has not been researched"/>
    <s v="0"/>
    <s v="0"/>
    <s v="41"/>
    <n v="175605391"/>
    <s v="POINT (-122.1872 47.61001)"/>
    <x v="1"/>
    <s v="53033023902"/>
  </r>
  <r>
    <x v="582"/>
    <x v="1"/>
    <s v="Federal Way"/>
    <s v="WA"/>
    <n v="98003"/>
    <x v="1"/>
    <x v="20"/>
    <s v="MODEL Y"/>
    <x v="1"/>
    <s v="Eligibility unknown as battery range has not been researched"/>
    <s v="0"/>
    <s v="0"/>
    <s v="30"/>
    <n v="148614154"/>
    <s v="POINT (-122.3303 47.30151)"/>
    <x v="1"/>
    <s v="53033030102"/>
  </r>
  <r>
    <x v="583"/>
    <x v="1"/>
    <s v="Federal Way"/>
    <s v="WA"/>
    <n v="98023"/>
    <x v="1"/>
    <x v="20"/>
    <s v="MODEL Y"/>
    <x v="1"/>
    <s v="Eligibility unknown as battery range has not been researched"/>
    <s v="0"/>
    <s v="0"/>
    <s v="30"/>
    <n v="272623424"/>
    <s v="POINT (-122.34059 47.32478)"/>
    <x v="1"/>
    <s v="53033030102"/>
  </r>
  <r>
    <x v="583"/>
    <x v="1"/>
    <s v="Renton"/>
    <s v="WA"/>
    <n v="98056"/>
    <x v="1"/>
    <x v="20"/>
    <s v="MODEL Y"/>
    <x v="1"/>
    <s v="Eligibility unknown as battery range has not been researched"/>
    <s v="0"/>
    <s v="0"/>
    <s v="11"/>
    <n v="268332844"/>
    <s v="POINT (-122.2044 47.52136)"/>
    <x v="1"/>
    <s v="53033025601"/>
  </r>
  <r>
    <x v="584"/>
    <x v="7"/>
    <s v="Olympia"/>
    <s v="WA"/>
    <n v="98502"/>
    <x v="11"/>
    <x v="20"/>
    <s v="MODEL Y"/>
    <x v="1"/>
    <s v="Clean Alternative Fuel Vehicle Eligible"/>
    <s v="291"/>
    <s v="0"/>
    <s v="22"/>
    <n v="117818424"/>
    <s v="POINT (-122.92333 47.03779)"/>
    <x v="0"/>
    <s v="53067012002"/>
  </r>
  <r>
    <x v="584"/>
    <x v="2"/>
    <s v="Edmonds"/>
    <s v="WA"/>
    <n v="98026"/>
    <x v="11"/>
    <x v="20"/>
    <s v="MODEL Y"/>
    <x v="1"/>
    <s v="Clean Alternative Fuel Vehicle Eligible"/>
    <s v="291"/>
    <s v="0"/>
    <s v="21"/>
    <n v="255119693"/>
    <s v="POINT (-122.31768 47.87166)"/>
    <x v="0"/>
    <s v="53061042003"/>
  </r>
  <r>
    <x v="585"/>
    <x v="7"/>
    <s v="Lacey"/>
    <s v="WA"/>
    <n v="98503"/>
    <x v="1"/>
    <x v="20"/>
    <s v="MODEL Y"/>
    <x v="1"/>
    <s v="Eligibility unknown as battery range has not been researched"/>
    <s v="0"/>
    <s v="0"/>
    <s v="22"/>
    <n v="177558510"/>
    <s v="POINT (-122.82324 47.04437)"/>
    <x v="0"/>
    <s v="53067011628"/>
  </r>
  <r>
    <x v="585"/>
    <x v="1"/>
    <s v="Kent"/>
    <s v="WA"/>
    <n v="98030"/>
    <x v="1"/>
    <x v="20"/>
    <s v="MODEL Y"/>
    <x v="1"/>
    <s v="Eligibility unknown as battery range has not been researched"/>
    <s v="0"/>
    <s v="0"/>
    <s v="47"/>
    <n v="181027157"/>
    <s v="POINT (-122.224 47.37943)"/>
    <x v="1"/>
    <s v="53033029603"/>
  </r>
  <r>
    <x v="586"/>
    <x v="2"/>
    <s v="Mill Creek"/>
    <s v="WA"/>
    <n v="98012"/>
    <x v="11"/>
    <x v="20"/>
    <s v="MODEL Y"/>
    <x v="1"/>
    <s v="Clean Alternative Fuel Vehicle Eligible"/>
    <s v="291"/>
    <s v="0"/>
    <s v="44"/>
    <n v="269811055"/>
    <s v="POINT (-122.21061 47.83448)"/>
    <x v="0"/>
    <s v="53061041704"/>
  </r>
  <r>
    <x v="586"/>
    <x v="25"/>
    <s v="Ellensburg"/>
    <s v="WA"/>
    <n v="98926"/>
    <x v="11"/>
    <x v="20"/>
    <s v="MODEL Y"/>
    <x v="1"/>
    <s v="Clean Alternative Fuel Vehicle Eligible"/>
    <s v="291"/>
    <s v="0"/>
    <s v="13"/>
    <n v="109743966"/>
    <s v="POINT (-120.54872 46.99703)"/>
    <x v="0"/>
    <s v="53037975300"/>
  </r>
  <r>
    <x v="586"/>
    <x v="1"/>
    <s v="Seattle"/>
    <s v="WA"/>
    <n v="98101"/>
    <x v="11"/>
    <x v="20"/>
    <s v="MODEL Y"/>
    <x v="1"/>
    <s v="Clean Alternative Fuel Vehicle Eligible"/>
    <s v="291"/>
    <s v="0"/>
    <s v="43"/>
    <n v="144098104"/>
    <s v="POINT (-122.34223 47.61085)"/>
    <x v="4"/>
    <s v="53033008200"/>
  </r>
  <r>
    <x v="587"/>
    <x v="1"/>
    <s v="Bellevue"/>
    <s v="WA"/>
    <n v="98007"/>
    <x v="1"/>
    <x v="20"/>
    <s v="MODEL Y"/>
    <x v="1"/>
    <s v="Eligibility unknown as battery range has not been researched"/>
    <s v="0"/>
    <s v="0"/>
    <s v="48"/>
    <n v="157655648"/>
    <s v="POINT (-122.12056 47.61334)"/>
    <x v="1"/>
    <s v="53033023300"/>
  </r>
  <r>
    <x v="587"/>
    <x v="4"/>
    <s v="Ridgefield"/>
    <s v="WA"/>
    <n v="98642"/>
    <x v="1"/>
    <x v="20"/>
    <s v="MODEL Y"/>
    <x v="1"/>
    <s v="Eligibility unknown as battery range has not been researched"/>
    <s v="0"/>
    <s v="0"/>
    <s v="18"/>
    <n v="177578544"/>
    <s v="POINT (-122.74595 45.81539)"/>
    <x v="3"/>
    <s v="53011040305"/>
  </r>
  <r>
    <x v="587"/>
    <x v="1"/>
    <s v="Federal Way"/>
    <s v="WA"/>
    <n v="98023"/>
    <x v="1"/>
    <x v="20"/>
    <s v="MODEL Y"/>
    <x v="1"/>
    <s v="Eligibility unknown as battery range has not been researched"/>
    <s v="0"/>
    <s v="0"/>
    <s v="30"/>
    <n v="166229801"/>
    <s v="POINT (-122.34059 47.32478)"/>
    <x v="1"/>
    <s v="53033030201"/>
  </r>
  <r>
    <x v="588"/>
    <x v="5"/>
    <s v="Clinton"/>
    <s v="WA"/>
    <n v="98236"/>
    <x v="11"/>
    <x v="20"/>
    <s v="MODEL Y"/>
    <x v="1"/>
    <s v="Clean Alternative Fuel Vehicle Eligible"/>
    <s v="291"/>
    <s v="0"/>
    <s v="10"/>
    <n v="125931403"/>
    <s v="POINT (-122.35803 47.9796)"/>
    <x v="0"/>
    <s v="53029972100"/>
  </r>
  <r>
    <x v="589"/>
    <x v="19"/>
    <s v="Port Townsend"/>
    <s v="WA"/>
    <n v="98368"/>
    <x v="1"/>
    <x v="20"/>
    <s v="MODEL Y"/>
    <x v="1"/>
    <s v="Eligibility unknown as battery range has not been researched"/>
    <s v="0"/>
    <s v="0"/>
    <s v="24"/>
    <n v="220701561"/>
    <s v="POINT (-122.77263 48.1212)"/>
    <x v="19"/>
    <s v="53031950400"/>
  </r>
  <r>
    <x v="589"/>
    <x v="1"/>
    <s v="Seattle"/>
    <s v="WA"/>
    <n v="98109"/>
    <x v="1"/>
    <x v="20"/>
    <s v="MODEL Y"/>
    <x v="1"/>
    <s v="Eligibility unknown as battery range has not been researched"/>
    <s v="0"/>
    <s v="0"/>
    <s v="43"/>
    <n v="272087728"/>
    <s v="POINT (-122.35022 47.63824)"/>
    <x v="4"/>
    <s v="53033007303"/>
  </r>
  <r>
    <x v="590"/>
    <x v="10"/>
    <s v="Chelan"/>
    <s v="WA"/>
    <n v="98816"/>
    <x v="11"/>
    <x v="20"/>
    <s v="MODEL Y"/>
    <x v="1"/>
    <s v="Clean Alternative Fuel Vehicle Eligible"/>
    <s v="291"/>
    <s v="0"/>
    <s v="12"/>
    <n v="112406542"/>
    <s v="POINT (-120.01454 47.83985)"/>
    <x v="8"/>
    <s v="53007960301"/>
  </r>
  <r>
    <x v="591"/>
    <x v="1"/>
    <s v="Seattle"/>
    <s v="WA"/>
    <n v="98125"/>
    <x v="1"/>
    <x v="20"/>
    <s v="MODEL Y"/>
    <x v="1"/>
    <s v="Eligibility unknown as battery range has not been researched"/>
    <s v="0"/>
    <s v="0"/>
    <s v="46"/>
    <n v="148976621"/>
    <s v="POINT (-122.30253 47.72656)"/>
    <x v="4"/>
    <s v="53033000900"/>
  </r>
  <r>
    <x v="591"/>
    <x v="1"/>
    <s v="Seattle"/>
    <s v="WA"/>
    <n v="98109"/>
    <x v="1"/>
    <x v="20"/>
    <s v="MODEL Y"/>
    <x v="1"/>
    <s v="Eligibility unknown as battery range has not been researched"/>
    <s v="0"/>
    <s v="0"/>
    <s v="36"/>
    <n v="137341004"/>
    <s v="POINT (-122.35022 47.63824)"/>
    <x v="4"/>
    <s v="53033007101"/>
  </r>
  <r>
    <x v="591"/>
    <x v="1"/>
    <s v="Seattle"/>
    <s v="WA"/>
    <n v="98109"/>
    <x v="1"/>
    <x v="20"/>
    <s v="MODEL Y"/>
    <x v="1"/>
    <s v="Eligibility unknown as battery range has not been researched"/>
    <s v="0"/>
    <s v="0"/>
    <s v="43"/>
    <n v="151246896"/>
    <s v="POINT (-122.35022 47.63824)"/>
    <x v="4"/>
    <s v="53033007303"/>
  </r>
  <r>
    <x v="592"/>
    <x v="1"/>
    <s v="Redmond"/>
    <s v="WA"/>
    <n v="98052"/>
    <x v="11"/>
    <x v="20"/>
    <s v="MODEL Y"/>
    <x v="1"/>
    <s v="Clean Alternative Fuel Vehicle Eligible"/>
    <s v="291"/>
    <s v="0"/>
    <s v="45"/>
    <n v="127391246"/>
    <s v="POINT (-122.13158 47.67858)"/>
    <x v="1"/>
    <s v="53033032322"/>
  </r>
  <r>
    <x v="592"/>
    <x v="1"/>
    <s v="Bellevue"/>
    <s v="WA"/>
    <n v="98004"/>
    <x v="11"/>
    <x v="20"/>
    <s v="MODEL Y"/>
    <x v="1"/>
    <s v="Clean Alternative Fuel Vehicle Eligible"/>
    <s v="291"/>
    <s v="0"/>
    <s v="48"/>
    <n v="238042066"/>
    <s v="POINT (-122.1872 47.61001)"/>
    <x v="1"/>
    <s v="53033023805"/>
  </r>
  <r>
    <x v="593"/>
    <x v="3"/>
    <s v="Selah"/>
    <s v="WA"/>
    <n v="98942"/>
    <x v="1"/>
    <x v="20"/>
    <s v="MODEL Y"/>
    <x v="1"/>
    <s v="Eligibility unknown as battery range has not been researched"/>
    <s v="0"/>
    <s v="0"/>
    <s v="15"/>
    <n v="236581355"/>
    <s v="POINT (-120.53145 46.65405)"/>
    <x v="2"/>
    <s v="53077003200"/>
  </r>
  <r>
    <x v="593"/>
    <x v="1"/>
    <s v="Federal Way"/>
    <s v="WA"/>
    <n v="98023"/>
    <x v="1"/>
    <x v="20"/>
    <s v="MODEL Y"/>
    <x v="1"/>
    <s v="Eligibility unknown as battery range has not been researched"/>
    <s v="0"/>
    <s v="0"/>
    <s v="30"/>
    <n v="280422285"/>
    <s v="POINT (-122.34059 47.32478)"/>
    <x v="1"/>
    <s v="53033030312"/>
  </r>
  <r>
    <x v="593"/>
    <x v="1"/>
    <s v="Renton"/>
    <s v="WA"/>
    <n v="98056"/>
    <x v="1"/>
    <x v="20"/>
    <s v="MODEL Y"/>
    <x v="1"/>
    <s v="Eligibility unknown as battery range has not been researched"/>
    <s v="0"/>
    <s v="0"/>
    <s v="41"/>
    <n v="179341802"/>
    <s v="POINT (-122.2044 47.52136)"/>
    <x v="1"/>
    <s v="53033024703"/>
  </r>
  <r>
    <x v="593"/>
    <x v="4"/>
    <s v="Vancouver"/>
    <s v="WA"/>
    <n v="98686"/>
    <x v="1"/>
    <x v="20"/>
    <s v="MODEL Y"/>
    <x v="1"/>
    <s v="Eligibility unknown as battery range has not been researched"/>
    <s v="0"/>
    <s v="0"/>
    <s v="17"/>
    <n v="180503123"/>
    <s v="POINT (-122.62731 45.71668)"/>
    <x v="3"/>
    <s v="53011040811"/>
  </r>
  <r>
    <x v="593"/>
    <x v="1"/>
    <s v="Seattle"/>
    <s v="WA"/>
    <n v="98115"/>
    <x v="1"/>
    <x v="20"/>
    <s v="MODEL Y"/>
    <x v="1"/>
    <s v="Eligibility unknown as battery range has not been researched"/>
    <s v="0"/>
    <s v="0"/>
    <s v="46"/>
    <n v="142050324"/>
    <s v="POINT (-122.31676 47.68156)"/>
    <x v="4"/>
    <s v="53033002600"/>
  </r>
  <r>
    <x v="594"/>
    <x v="2"/>
    <s v="Edmonds"/>
    <s v="WA"/>
    <n v="98026"/>
    <x v="11"/>
    <x v="20"/>
    <s v="MODEL Y"/>
    <x v="1"/>
    <s v="Clean Alternative Fuel Vehicle Eligible"/>
    <s v="291"/>
    <s v="0"/>
    <s v="21"/>
    <n v="110978696"/>
    <s v="POINT (-122.31768 47.87166)"/>
    <x v="0"/>
    <s v="53061050300"/>
  </r>
  <r>
    <x v="594"/>
    <x v="6"/>
    <s v="Gig Harbor"/>
    <s v="WA"/>
    <n v="98332"/>
    <x v="11"/>
    <x v="20"/>
    <s v="MODEL Y"/>
    <x v="1"/>
    <s v="Clean Alternative Fuel Vehicle Eligible"/>
    <s v="291"/>
    <s v="0"/>
    <s v="26"/>
    <n v="117820888"/>
    <s v="POINT (-122.59044 47.34236)"/>
    <x v="11"/>
    <s v="53053072508"/>
  </r>
  <r>
    <x v="595"/>
    <x v="2"/>
    <s v="Snohomish"/>
    <s v="WA"/>
    <n v="98290"/>
    <x v="11"/>
    <x v="20"/>
    <s v="MODEL Y"/>
    <x v="1"/>
    <s v="Clean Alternative Fuel Vehicle Eligible"/>
    <s v="291"/>
    <s v="0"/>
    <s v="44"/>
    <n v="262259161"/>
    <s v="POINT (-122.09305 47.91265)"/>
    <x v="0"/>
    <s v="53061052401"/>
  </r>
  <r>
    <x v="596"/>
    <x v="1"/>
    <s v="Kirkland"/>
    <s v="WA"/>
    <n v="98033"/>
    <x v="1"/>
    <x v="20"/>
    <s v="MODEL Y"/>
    <x v="1"/>
    <s v="Eligibility unknown as battery range has not been researched"/>
    <s v="0"/>
    <s v="0"/>
    <s v="48"/>
    <n v="180706543"/>
    <s v="POINT (-122.2066 47.67887)"/>
    <x v="1"/>
    <s v="53033022701"/>
  </r>
  <r>
    <x v="596"/>
    <x v="4"/>
    <s v="Washougal"/>
    <s v="WA"/>
    <n v="98671"/>
    <x v="1"/>
    <x v="20"/>
    <s v="MODEL Y"/>
    <x v="1"/>
    <s v="Eligibility unknown as battery range has not been researched"/>
    <s v="0"/>
    <s v="0"/>
    <s v="18"/>
    <n v="264809590"/>
    <s v="POINT (-122.35341 45.57923)"/>
    <x v="3"/>
    <s v="53011040605"/>
  </r>
  <r>
    <x v="596"/>
    <x v="1"/>
    <s v="Kirkland"/>
    <s v="WA"/>
    <n v="98034"/>
    <x v="1"/>
    <x v="20"/>
    <s v="MODEL Y"/>
    <x v="1"/>
    <s v="Eligibility unknown as battery range has not been researched"/>
    <s v="0"/>
    <s v="0"/>
    <s v="1"/>
    <n v="132358082"/>
    <s v="POINT (-122.22901 47.72201)"/>
    <x v="1"/>
    <s v="53033022203"/>
  </r>
  <r>
    <x v="597"/>
    <x v="2"/>
    <s v="Bothell"/>
    <s v="WA"/>
    <n v="98012"/>
    <x v="11"/>
    <x v="20"/>
    <s v="MODEL Y"/>
    <x v="1"/>
    <s v="Clean Alternative Fuel Vehicle Eligible"/>
    <s v="291"/>
    <s v="0"/>
    <s v="1"/>
    <n v="122587244"/>
    <s v="POINT (-122.21061 47.83448)"/>
    <x v="0"/>
    <s v="53061052107"/>
  </r>
  <r>
    <x v="598"/>
    <x v="2"/>
    <s v="Lynnwood"/>
    <s v="WA"/>
    <n v="98036"/>
    <x v="11"/>
    <x v="20"/>
    <s v="MODEL Y"/>
    <x v="1"/>
    <s v="Clean Alternative Fuel Vehicle Eligible"/>
    <s v="291"/>
    <s v="0"/>
    <s v="32"/>
    <n v="109601292"/>
    <s v="POINT (-122.29245 47.82557)"/>
    <x v="0"/>
    <s v="53061051401"/>
  </r>
  <r>
    <x v="598"/>
    <x v="0"/>
    <s v="Port Orchard"/>
    <s v="WA"/>
    <n v="98367"/>
    <x v="11"/>
    <x v="20"/>
    <s v="MODEL Y"/>
    <x v="1"/>
    <s v="Clean Alternative Fuel Vehicle Eligible"/>
    <s v="291"/>
    <s v="0"/>
    <s v="35"/>
    <n v="269322882"/>
    <s v="POINT (-122.70348 47.52028)"/>
    <x v="0"/>
    <s v="53035092901"/>
  </r>
  <r>
    <x v="599"/>
    <x v="1"/>
    <s v="Renton"/>
    <s v="WA"/>
    <n v="98055"/>
    <x v="1"/>
    <x v="20"/>
    <s v="MODEL Y"/>
    <x v="1"/>
    <s v="Eligibility unknown as battery range has not been researched"/>
    <s v="0"/>
    <s v="0"/>
    <s v="11"/>
    <n v="267762862"/>
    <s v="POINT (-122.20784 47.46004)"/>
    <x v="1"/>
    <s v="53033025805"/>
  </r>
  <r>
    <x v="600"/>
    <x v="7"/>
    <s v="Olympia"/>
    <s v="WA"/>
    <n v="98506"/>
    <x v="1"/>
    <x v="20"/>
    <s v="MODEL Y"/>
    <x v="1"/>
    <s v="Eligibility unknown as battery range has not been researched"/>
    <s v="0"/>
    <s v="0"/>
    <s v="22"/>
    <n v="166430981"/>
    <s v="POINT (-122.87741 47.05997)"/>
    <x v="0"/>
    <s v="53067010200"/>
  </r>
  <r>
    <x v="601"/>
    <x v="2"/>
    <s v="Bothell"/>
    <s v="WA"/>
    <n v="98021"/>
    <x v="11"/>
    <x v="20"/>
    <s v="MODEL Y"/>
    <x v="1"/>
    <s v="Clean Alternative Fuel Vehicle Eligible"/>
    <s v="291"/>
    <s v="0"/>
    <s v="1"/>
    <n v="104577658"/>
    <s v="POINT (-122.18384 47.8031)"/>
    <x v="0"/>
    <s v="53061051937"/>
  </r>
  <r>
    <x v="602"/>
    <x v="1"/>
    <s v="Renton"/>
    <s v="WA"/>
    <n v="98055"/>
    <x v="1"/>
    <x v="20"/>
    <s v="MODEL Y"/>
    <x v="1"/>
    <s v="Eligibility unknown as battery range has not been researched"/>
    <s v="0"/>
    <s v="0"/>
    <s v="11"/>
    <n v="183011636"/>
    <s v="POINT (-122.20784 47.46004)"/>
    <x v="1"/>
    <s v="53033025806"/>
  </r>
  <r>
    <x v="603"/>
    <x v="1"/>
    <s v="Auburn"/>
    <s v="WA"/>
    <n v="98092"/>
    <x v="11"/>
    <x v="20"/>
    <s v="MODEL Y"/>
    <x v="1"/>
    <s v="Clean Alternative Fuel Vehicle Eligible"/>
    <s v="291"/>
    <s v="0"/>
    <s v="31"/>
    <n v="281495217"/>
    <s v="POINT (-122.18497 47.28825)"/>
    <x v="1"/>
    <s v="53033031204"/>
  </r>
  <r>
    <x v="604"/>
    <x v="2"/>
    <s v="Bothell"/>
    <s v="WA"/>
    <n v="98012"/>
    <x v="4"/>
    <x v="13"/>
    <s v="XM"/>
    <x v="0"/>
    <s v="Clean Alternative Fuel Vehicle Eligible"/>
    <s v="31"/>
    <s v="0"/>
    <s v="1"/>
    <n v="281998678"/>
    <s v="POINT (-122.21061 47.83448)"/>
    <x v="0"/>
    <s v="53061051934"/>
  </r>
  <r>
    <x v="605"/>
    <x v="8"/>
    <s v="Chehalis"/>
    <s v="WA"/>
    <n v="98532"/>
    <x v="3"/>
    <x v="13"/>
    <s v="XM"/>
    <x v="0"/>
    <s v="Clean Alternative Fuel Vehicle Eligible"/>
    <s v="31"/>
    <s v="0"/>
    <s v="20"/>
    <n v="274567408"/>
    <s v="POINT (-122.96462 46.6621)"/>
    <x v="1"/>
    <s v="53041971400"/>
  </r>
  <r>
    <x v="606"/>
    <x v="1"/>
    <s v="Kirkland"/>
    <s v="WA"/>
    <n v="98034"/>
    <x v="2"/>
    <x v="21"/>
    <s v="R1T"/>
    <x v="1"/>
    <s v="Eligibility unknown as battery range has not been researched"/>
    <s v="0"/>
    <s v="0"/>
    <s v="45"/>
    <n v="228260224"/>
    <s v="POINT (-122.22901 47.72201)"/>
    <x v="1"/>
    <s v="53033021903"/>
  </r>
  <r>
    <x v="607"/>
    <x v="1"/>
    <s v="Seattle"/>
    <s v="WA"/>
    <n v="98199"/>
    <x v="0"/>
    <x v="21"/>
    <s v="R1T"/>
    <x v="1"/>
    <s v="Eligibility unknown as battery range has not been researched"/>
    <s v="0"/>
    <s v="0"/>
    <s v="36"/>
    <n v="275357967"/>
    <s v="POINT (-122.40092 47.65908)"/>
    <x v="4"/>
    <s v="53033005801"/>
  </r>
  <r>
    <x v="608"/>
    <x v="0"/>
    <s v="Seabeck"/>
    <s v="WA"/>
    <n v="98380"/>
    <x v="0"/>
    <x v="21"/>
    <s v="R1T"/>
    <x v="1"/>
    <s v="Eligibility unknown as battery range has not been researched"/>
    <s v="0"/>
    <s v="0"/>
    <s v="35"/>
    <n v="267014016"/>
    <s v="POINT (-122.81585 47.64509)"/>
    <x v="0"/>
    <s v="53035091301"/>
  </r>
  <r>
    <x v="609"/>
    <x v="6"/>
    <s v="Gig Harbor"/>
    <s v="WA"/>
    <n v="98335"/>
    <x v="0"/>
    <x v="21"/>
    <s v="R1T"/>
    <x v="1"/>
    <s v="Eligibility unknown as battery range has not been researched"/>
    <s v="0"/>
    <s v="0"/>
    <s v="26"/>
    <n v="237963806"/>
    <s v="POINT (-122.58009 47.328)"/>
    <x v="11"/>
    <s v="53053072407"/>
  </r>
  <r>
    <x v="610"/>
    <x v="3"/>
    <s v="Selah"/>
    <s v="WA"/>
    <n v="98942"/>
    <x v="2"/>
    <x v="21"/>
    <s v="R1T"/>
    <x v="1"/>
    <s v="Eligibility unknown as battery range has not been researched"/>
    <s v="0"/>
    <s v="0"/>
    <s v="13"/>
    <n v="209239264"/>
    <s v="POINT (-120.53145 46.65405)"/>
    <x v="2"/>
    <s v="53077003004"/>
  </r>
  <r>
    <x v="611"/>
    <x v="15"/>
    <s v="Spokane"/>
    <s v="WA"/>
    <n v="99204"/>
    <x v="0"/>
    <x v="21"/>
    <s v="R1T"/>
    <x v="1"/>
    <s v="Eligibility unknown as battery range has not been researched"/>
    <s v="0"/>
    <s v="0"/>
    <s v="3"/>
    <n v="239885509"/>
    <s v="POINT (-117.42571 47.64779)"/>
    <x v="15"/>
    <s v="53063004100"/>
  </r>
  <r>
    <x v="612"/>
    <x v="0"/>
    <s v="Bainbridge Island"/>
    <s v="WA"/>
    <n v="98110"/>
    <x v="0"/>
    <x v="21"/>
    <s v="R1T"/>
    <x v="1"/>
    <s v="Eligibility unknown as battery range has not been researched"/>
    <s v="0"/>
    <s v="0"/>
    <s v="23"/>
    <n v="256278802"/>
    <s v="POINT (-122.521 47.62732)"/>
    <x v="0"/>
    <s v="53035091001"/>
  </r>
  <r>
    <x v="613"/>
    <x v="2"/>
    <s v="Monroe"/>
    <s v="WA"/>
    <n v="98272"/>
    <x v="4"/>
    <x v="21"/>
    <s v="R1T"/>
    <x v="1"/>
    <s v="Eligibility unknown as battery range has not been researched"/>
    <s v="0"/>
    <s v="0"/>
    <s v="39"/>
    <n v="279222177"/>
    <s v="POINT (-121.98087 47.8526)"/>
    <x v="0"/>
    <s v="53061052206"/>
  </r>
  <r>
    <x v="614"/>
    <x v="1"/>
    <s v="Renton"/>
    <s v="WA"/>
    <n v="98059"/>
    <x v="4"/>
    <x v="21"/>
    <s v="R1T"/>
    <x v="1"/>
    <s v="Eligibility unknown as battery range has not been researched"/>
    <s v="0"/>
    <s v="0"/>
    <s v="11"/>
    <n v="273802462"/>
    <s v="POINT (-122.16335 47.53505)"/>
    <x v="1"/>
    <s v="53033025101"/>
  </r>
  <r>
    <x v="614"/>
    <x v="1"/>
    <s v="Seattle"/>
    <s v="WA"/>
    <n v="98116"/>
    <x v="4"/>
    <x v="21"/>
    <s v="R1T"/>
    <x v="1"/>
    <s v="Eligibility unknown as battery range has not been researched"/>
    <s v="0"/>
    <s v="0"/>
    <s v="34"/>
    <n v="282392554"/>
    <s v="POINT (-122.41067 47.57894)"/>
    <x v="4"/>
    <s v="53033009701"/>
  </r>
  <r>
    <x v="615"/>
    <x v="0"/>
    <s v="Poulsbo"/>
    <s v="WA"/>
    <n v="98370"/>
    <x v="0"/>
    <x v="21"/>
    <s v="R1T"/>
    <x v="1"/>
    <s v="Eligibility unknown as battery range has not been researched"/>
    <s v="0"/>
    <s v="0"/>
    <s v="23"/>
    <n v="260254466"/>
    <s v="POINT (-122.64681 47.73689)"/>
    <x v="0"/>
    <s v="53035940100"/>
  </r>
  <r>
    <x v="615"/>
    <x v="0"/>
    <s v="Port Orchard"/>
    <s v="WA"/>
    <n v="98367"/>
    <x v="0"/>
    <x v="21"/>
    <s v="R1T"/>
    <x v="1"/>
    <s v="Eligibility unknown as battery range has not been researched"/>
    <s v="0"/>
    <s v="0"/>
    <s v="26"/>
    <n v="262439131"/>
    <s v="POINT (-122.70348 47.52028)"/>
    <x v="0"/>
    <s v="53035092902"/>
  </r>
  <r>
    <x v="616"/>
    <x v="1"/>
    <s v="Covington"/>
    <s v="WA"/>
    <n v="98042"/>
    <x v="4"/>
    <x v="21"/>
    <s v="R1T"/>
    <x v="1"/>
    <s v="Eligibility unknown as battery range has not been researched"/>
    <s v="0"/>
    <s v="0"/>
    <s v="47"/>
    <n v="278669324"/>
    <s v="POINT (-122.09124 47.33778)"/>
    <x v="1"/>
    <s v="53033032005"/>
  </r>
  <r>
    <x v="617"/>
    <x v="22"/>
    <s v="Bellingham"/>
    <s v="WA"/>
    <n v="98225"/>
    <x v="4"/>
    <x v="21"/>
    <s v="R1T"/>
    <x v="1"/>
    <s v="Eligibility unknown as battery range has not been researched"/>
    <s v="0"/>
    <s v="0"/>
    <s v="40"/>
    <n v="284903755"/>
    <s v="POINT (-122.47091 48.75256)"/>
    <x v="23"/>
    <s v="53073001102"/>
  </r>
  <r>
    <x v="618"/>
    <x v="1"/>
    <s v="Medina"/>
    <s v="WA"/>
    <n v="98039"/>
    <x v="0"/>
    <x v="21"/>
    <s v="R1T"/>
    <x v="1"/>
    <s v="Eligibility unknown as battery range has not been researched"/>
    <s v="0"/>
    <s v="0"/>
    <s v="48"/>
    <n v="259350745"/>
    <s v="POINT (-122.23892 47.61613)"/>
    <x v="1"/>
    <s v="53033024200"/>
  </r>
  <r>
    <x v="619"/>
    <x v="0"/>
    <s v="Poulsbo"/>
    <s v="WA"/>
    <n v="98370"/>
    <x v="4"/>
    <x v="21"/>
    <s v="R1T"/>
    <x v="1"/>
    <s v="Eligibility unknown as battery range has not been researched"/>
    <s v="0"/>
    <s v="0"/>
    <s v="23"/>
    <n v="282839574"/>
    <s v="POINT (-122.64681 47.73689)"/>
    <x v="0"/>
    <s v="53035940100"/>
  </r>
  <r>
    <x v="620"/>
    <x v="1"/>
    <s v="Federal Way"/>
    <s v="WA"/>
    <n v="98023"/>
    <x v="3"/>
    <x v="21"/>
    <s v="R1T"/>
    <x v="1"/>
    <s v="Eligibility unknown as battery range has not been researched"/>
    <s v="0"/>
    <s v="0"/>
    <s v="30"/>
    <n v="272854151"/>
    <s v="POINT (-122.34059 47.32478)"/>
    <x v="1"/>
    <s v="53033030306"/>
  </r>
  <r>
    <x v="621"/>
    <x v="1"/>
    <s v="Woodinville"/>
    <s v="WA"/>
    <n v="98072"/>
    <x v="3"/>
    <x v="20"/>
    <s v="CYBERTRUCK"/>
    <x v="1"/>
    <s v="Eligibility unknown as battery range has not been researched"/>
    <s v="0"/>
    <s v="0"/>
    <s v="45"/>
    <n v="267407339"/>
    <s v="POINT (-122.15545 47.75448)"/>
    <x v="1"/>
    <s v="53033032319"/>
  </r>
  <r>
    <x v="622"/>
    <x v="2"/>
    <s v="Lynnwood"/>
    <s v="WA"/>
    <n v="98036"/>
    <x v="3"/>
    <x v="20"/>
    <s v="CYBERTRUCK"/>
    <x v="1"/>
    <s v="Eligibility unknown as battery range has not been researched"/>
    <s v="0"/>
    <s v="0"/>
    <s v="1"/>
    <n v="271587809"/>
    <s v="POINT (-122.29245 47.82557)"/>
    <x v="0"/>
    <s v="53061051913"/>
  </r>
  <r>
    <x v="623"/>
    <x v="6"/>
    <s v="Tacoma"/>
    <s v="WA"/>
    <n v="98404"/>
    <x v="4"/>
    <x v="20"/>
    <s v="CYBERTRUCK"/>
    <x v="1"/>
    <s v="Eligibility unknown as battery range has not been researched"/>
    <s v="0"/>
    <s v="0"/>
    <s v="27"/>
    <n v="283168308"/>
    <s v="POINT (-122.41249 47.21584)"/>
    <x v="11"/>
    <s v="53053940006"/>
  </r>
  <r>
    <x v="624"/>
    <x v="1"/>
    <s v="Algona"/>
    <s v="WA"/>
    <n v="98001"/>
    <x v="4"/>
    <x v="20"/>
    <s v="CYBERTRUCK"/>
    <x v="1"/>
    <s v="Eligibility unknown as battery range has not been researched"/>
    <s v="0"/>
    <s v="0"/>
    <s v="30"/>
    <n v="284100036"/>
    <s v="POINT (-122.23035 47.3074)"/>
    <x v="1"/>
    <s v="53033030901"/>
  </r>
  <r>
    <x v="625"/>
    <x v="1"/>
    <s v="Seattle"/>
    <s v="WA"/>
    <n v="98104"/>
    <x v="3"/>
    <x v="20"/>
    <s v="CYBERTRUCK"/>
    <x v="1"/>
    <s v="Eligibility unknown as battery range has not been researched"/>
    <s v="0"/>
    <s v="0"/>
    <s v="43"/>
    <n v="263300355"/>
    <s v="POINT (-122.32945 47.60357)"/>
    <x v="4"/>
    <s v="53033008102"/>
  </r>
  <r>
    <x v="626"/>
    <x v="4"/>
    <s v="Battle Ground"/>
    <s v="WA"/>
    <n v="98604"/>
    <x v="3"/>
    <x v="20"/>
    <s v="CYBERTRUCK"/>
    <x v="1"/>
    <s v="Eligibility unknown as battery range has not been researched"/>
    <s v="0"/>
    <s v="0"/>
    <s v="18"/>
    <n v="283006069"/>
    <s v="POINT (-122.5331 45.78092)"/>
    <x v="3"/>
    <s v="53011040414"/>
  </r>
  <r>
    <x v="626"/>
    <x v="1"/>
    <s v="Seattle"/>
    <s v="WA"/>
    <n v="98144"/>
    <x v="3"/>
    <x v="20"/>
    <s v="CYBERTRUCK"/>
    <x v="1"/>
    <s v="Eligibility unknown as battery range has not been researched"/>
    <s v="0"/>
    <s v="0"/>
    <s v="37"/>
    <n v="270015315"/>
    <s v="POINT (-122.30866 47.57874)"/>
    <x v="4"/>
    <s v="53033008900"/>
  </r>
  <r>
    <x v="627"/>
    <x v="19"/>
    <s v="Port Townsend"/>
    <s v="WA"/>
    <n v="98368"/>
    <x v="3"/>
    <x v="20"/>
    <s v="CYBERTRUCK"/>
    <x v="1"/>
    <s v="Eligibility unknown as battery range has not been researched"/>
    <s v="0"/>
    <s v="0"/>
    <s v="24"/>
    <n v="274260003"/>
    <s v="POINT (-122.77263 48.1212)"/>
    <x v="19"/>
    <s v="53031950501"/>
  </r>
  <r>
    <x v="628"/>
    <x v="3"/>
    <s v="Wapato"/>
    <s v="WA"/>
    <n v="98951"/>
    <x v="4"/>
    <x v="22"/>
    <s v="EX90"/>
    <x v="1"/>
    <s v="Eligibility unknown as battery range has not been researched"/>
    <s v="0"/>
    <s v="0"/>
    <s v="14"/>
    <n v="277350608"/>
    <s v="POINT (-120.42083 46.44779)"/>
    <x v="2"/>
    <s v="53077940001"/>
  </r>
  <r>
    <x v="629"/>
    <x v="0"/>
    <s v="Port Orchard"/>
    <s v="WA"/>
    <n v="98367"/>
    <x v="11"/>
    <x v="22"/>
    <s v="S60"/>
    <x v="0"/>
    <s v="Not eligible due to low battery range"/>
    <s v="22"/>
    <s v="0"/>
    <s v="26"/>
    <n v="121973022"/>
    <s v="POINT (-122.70348 47.52028)"/>
    <x v="0"/>
    <s v="53035092802"/>
  </r>
  <r>
    <x v="630"/>
    <x v="6"/>
    <s v="Puyallup"/>
    <s v="WA"/>
    <n v="98371"/>
    <x v="0"/>
    <x v="22"/>
    <s v="S60"/>
    <x v="0"/>
    <s v="Clean Alternative Fuel Vehicle Eligible"/>
    <s v="41"/>
    <s v="0"/>
    <s v="25"/>
    <n v="227126210"/>
    <s v="POINT (-122.29521 47.19045)"/>
    <x v="1"/>
    <s v="53053073404"/>
  </r>
  <r>
    <x v="631"/>
    <x v="1"/>
    <s v="Seattle"/>
    <s v="WA"/>
    <n v="98112"/>
    <x v="0"/>
    <x v="21"/>
    <s v="R1S"/>
    <x v="1"/>
    <s v="Eligibility unknown as battery range has not been researched"/>
    <s v="0"/>
    <s v="0"/>
    <s v="43"/>
    <n v="245514048"/>
    <s v="POINT (-122.30207 47.64085)"/>
    <x v="4"/>
    <s v="53033006400"/>
  </r>
  <r>
    <x v="632"/>
    <x v="3"/>
    <s v="Yakima"/>
    <s v="WA"/>
    <n v="98908"/>
    <x v="0"/>
    <x v="21"/>
    <s v="R1S"/>
    <x v="1"/>
    <s v="Eligibility unknown as battery range has not been researched"/>
    <s v="0"/>
    <s v="0"/>
    <s v="14"/>
    <n v="277637818"/>
    <s v="POINT (-120.60199 46.59817)"/>
    <x v="2"/>
    <s v="53077000401"/>
  </r>
  <r>
    <x v="633"/>
    <x v="3"/>
    <s v="Yakima"/>
    <s v="WA"/>
    <n v="98908"/>
    <x v="0"/>
    <x v="21"/>
    <s v="R1S"/>
    <x v="1"/>
    <s v="Eligibility unknown as battery range has not been researched"/>
    <s v="0"/>
    <s v="0"/>
    <s v="14"/>
    <n v="260269474"/>
    <s v="POINT (-120.60199 46.59817)"/>
    <x v="2"/>
    <s v="53077000402"/>
  </r>
  <r>
    <x v="634"/>
    <x v="1"/>
    <s v="Sammamish"/>
    <s v="WA"/>
    <n v="98075"/>
    <x v="0"/>
    <x v="21"/>
    <s v="R1S"/>
    <x v="1"/>
    <s v="Eligibility unknown as battery range has not been researched"/>
    <s v="0"/>
    <s v="0"/>
    <s v="41"/>
    <n v="258689532"/>
    <s v="POINT (-122.03539 47.61344)"/>
    <x v="1"/>
    <s v="53033032218"/>
  </r>
  <r>
    <x v="635"/>
    <x v="3"/>
    <s v="Selah"/>
    <s v="WA"/>
    <n v="98942"/>
    <x v="0"/>
    <x v="21"/>
    <s v="R1S"/>
    <x v="1"/>
    <s v="Eligibility unknown as battery range has not been researched"/>
    <s v="0"/>
    <s v="0"/>
    <s v="15"/>
    <n v="272363724"/>
    <s v="POINT (-120.53145 46.65405)"/>
    <x v="2"/>
    <s v="53077003100"/>
  </r>
  <r>
    <x v="636"/>
    <x v="1"/>
    <s v="Seattle"/>
    <s v="WA"/>
    <n v="98116"/>
    <x v="0"/>
    <x v="21"/>
    <s v="R1S"/>
    <x v="1"/>
    <s v="Eligibility unknown as battery range has not been researched"/>
    <s v="0"/>
    <s v="0"/>
    <s v="34"/>
    <n v="244417442"/>
    <s v="POINT (-122.41067 47.57894)"/>
    <x v="4"/>
    <s v="53033009801"/>
  </r>
  <r>
    <x v="637"/>
    <x v="1"/>
    <s v="Seattle"/>
    <s v="WA"/>
    <n v="98133"/>
    <x v="3"/>
    <x v="21"/>
    <s v="R1S"/>
    <x v="1"/>
    <s v="Eligibility unknown as battery range has not been researched"/>
    <s v="0"/>
    <s v="0"/>
    <s v="32"/>
    <n v="262340109"/>
    <s v="POINT (-122.35029 47.71871)"/>
    <x v="4"/>
    <s v="53033000402"/>
  </r>
  <r>
    <x v="638"/>
    <x v="1"/>
    <s v="Seattle"/>
    <s v="WA"/>
    <n v="98133"/>
    <x v="3"/>
    <x v="21"/>
    <s v="R1S"/>
    <x v="1"/>
    <s v="Eligibility unknown as battery range has not been researched"/>
    <s v="0"/>
    <s v="0"/>
    <s v="32"/>
    <n v="261521424"/>
    <s v="POINT (-122.35029 47.71871)"/>
    <x v="4"/>
    <s v="53033001400"/>
  </r>
  <r>
    <x v="639"/>
    <x v="1"/>
    <s v="Seattle"/>
    <s v="WA"/>
    <n v="98133"/>
    <x v="4"/>
    <x v="21"/>
    <s v="R1S"/>
    <x v="1"/>
    <s v="Eligibility unknown as battery range has not been researched"/>
    <s v="0"/>
    <s v="0"/>
    <s v="32"/>
    <n v="282092737"/>
    <s v="POINT (-122.35029 47.71871)"/>
    <x v="4"/>
    <s v="53033000403"/>
  </r>
  <r>
    <x v="640"/>
    <x v="1"/>
    <s v="Redmond"/>
    <s v="WA"/>
    <n v="98052"/>
    <x v="4"/>
    <x v="21"/>
    <s v="R1S"/>
    <x v="1"/>
    <s v="Eligibility unknown as battery range has not been researched"/>
    <s v="0"/>
    <s v="0"/>
    <s v="45"/>
    <n v="282441085"/>
    <s v="POINT (-122.13158 47.67858)"/>
    <x v="1"/>
    <s v="53033032323"/>
  </r>
  <r>
    <x v="641"/>
    <x v="17"/>
    <s v="Friday Harbor"/>
    <s v="WA"/>
    <n v="98250"/>
    <x v="4"/>
    <x v="21"/>
    <s v="R1S"/>
    <x v="1"/>
    <s v="Eligibility unknown as battery range has not been researched"/>
    <s v="0"/>
    <s v="0"/>
    <s v="40"/>
    <n v="283236278"/>
    <s v="POINT (-123.01648 48.53448)"/>
    <x v="16"/>
    <s v="53055960400"/>
  </r>
  <r>
    <x v="642"/>
    <x v="1"/>
    <s v="Bellevue"/>
    <s v="WA"/>
    <n v="98005"/>
    <x v="3"/>
    <x v="21"/>
    <s v="R1S"/>
    <x v="1"/>
    <s v="Eligibility unknown as battery range has not been researched"/>
    <s v="0"/>
    <s v="0"/>
    <s v="48"/>
    <n v="265888430"/>
    <s v="POINT (-122.1621 47.64441)"/>
    <x v="1"/>
    <s v="53033023701"/>
  </r>
  <r>
    <x v="643"/>
    <x v="3"/>
    <s v="Moxee"/>
    <s v="WA"/>
    <n v="98936"/>
    <x v="4"/>
    <x v="21"/>
    <s v="R1S"/>
    <x v="1"/>
    <s v="Eligibility unknown as battery range has not been researched"/>
    <s v="0"/>
    <s v="0"/>
    <s v="15"/>
    <n v="272545192"/>
    <s v="POINT (-120.39197 46.55621)"/>
    <x v="2"/>
    <s v="53077001702"/>
  </r>
  <r>
    <x v="644"/>
    <x v="1"/>
    <s v="Sammamish"/>
    <s v="WA"/>
    <n v="98075"/>
    <x v="3"/>
    <x v="21"/>
    <s v="R1S"/>
    <x v="1"/>
    <s v="Eligibility unknown as battery range has not been researched"/>
    <s v="0"/>
    <s v="0"/>
    <s v="41"/>
    <n v="264435755"/>
    <s v="POINT (-122.03539 47.61344)"/>
    <x v="1"/>
    <s v="53033032207"/>
  </r>
  <r>
    <x v="645"/>
    <x v="2"/>
    <s v="Lynnwood"/>
    <s v="WA"/>
    <n v="98037"/>
    <x v="4"/>
    <x v="21"/>
    <s v="R1S"/>
    <x v="1"/>
    <s v="Eligibility unknown as battery range has not been researched"/>
    <s v="0"/>
    <s v="0"/>
    <s v="21"/>
    <n v="280393879"/>
    <s v="POINT (-122.27734 47.83785)"/>
    <x v="0"/>
    <s v="53061051601"/>
  </r>
  <r>
    <x v="646"/>
    <x v="1"/>
    <s v="Snoqualmie"/>
    <s v="WA"/>
    <n v="98065"/>
    <x v="4"/>
    <x v="21"/>
    <s v="R1S"/>
    <x v="1"/>
    <s v="Eligibility unknown as battery range has not been researched"/>
    <s v="0"/>
    <s v="0"/>
    <s v="5"/>
    <n v="277535037"/>
    <s v="POINT (-121.82432 47.52716)"/>
    <x v="1"/>
    <s v="53033032604"/>
  </r>
  <r>
    <x v="647"/>
    <x v="1"/>
    <s v="Kirkland"/>
    <s v="WA"/>
    <n v="98033"/>
    <x v="4"/>
    <x v="21"/>
    <s v="R1S"/>
    <x v="1"/>
    <s v="Eligibility unknown as battery range has not been researched"/>
    <s v="0"/>
    <s v="0"/>
    <s v="48"/>
    <n v="281648391"/>
    <s v="POINT (-122.2066 47.67887)"/>
    <x v="1"/>
    <s v="53033022501"/>
  </r>
  <r>
    <x v="648"/>
    <x v="25"/>
    <s v="Cle Elum"/>
    <s v="WA"/>
    <n v="98922"/>
    <x v="4"/>
    <x v="21"/>
    <s v="R1S"/>
    <x v="1"/>
    <s v="Eligibility unknown as battery range has not been researched"/>
    <s v="0"/>
    <s v="0"/>
    <s v="13"/>
    <n v="281697181"/>
    <s v="POINT (-120.93943 47.195)"/>
    <x v="0"/>
    <s v="53037975101"/>
  </r>
  <r>
    <x v="649"/>
    <x v="1"/>
    <s v="Seattle"/>
    <s v="WA"/>
    <n v="98122"/>
    <x v="4"/>
    <x v="21"/>
    <s v="R1S"/>
    <x v="1"/>
    <s v="Eligibility unknown as battery range has not been researched"/>
    <s v="0"/>
    <s v="0"/>
    <s v="37"/>
    <n v="276980042"/>
    <s v="POINT (-122.31009 47.60803)"/>
    <x v="4"/>
    <s v="53033007902"/>
  </r>
  <r>
    <x v="650"/>
    <x v="1"/>
    <s v="Seattle"/>
    <s v="WA"/>
    <n v="98146"/>
    <x v="4"/>
    <x v="21"/>
    <s v="R1S"/>
    <x v="1"/>
    <s v="Eligibility unknown as battery range has not been researched"/>
    <s v="0"/>
    <s v="0"/>
    <s v="34"/>
    <n v="274397896"/>
    <s v="POINT (-122.36178 47.49408)"/>
    <x v="4"/>
    <s v="53033026700"/>
  </r>
  <r>
    <x v="651"/>
    <x v="1"/>
    <s v="Seattle"/>
    <s v="WA"/>
    <n v="98125"/>
    <x v="0"/>
    <x v="20"/>
    <s v="MODEL X"/>
    <x v="1"/>
    <s v="Eligibility unknown as battery range has not been researched"/>
    <s v="0"/>
    <s v="0"/>
    <s v="46"/>
    <n v="258057957"/>
    <s v="POINT (-122.30253 47.72656)"/>
    <x v="4"/>
    <s v="53033000900"/>
  </r>
  <r>
    <x v="652"/>
    <x v="2"/>
    <s v="Bothell"/>
    <s v="WA"/>
    <n v="98021"/>
    <x v="2"/>
    <x v="20"/>
    <s v="MODEL X"/>
    <x v="1"/>
    <s v="Eligibility unknown as battery range has not been researched"/>
    <s v="0"/>
    <s v="0"/>
    <s v="1"/>
    <n v="208182236"/>
    <s v="POINT (-122.18384 47.8031)"/>
    <x v="0"/>
    <s v="53061051922"/>
  </r>
  <r>
    <x v="653"/>
    <x v="1"/>
    <s v="Sammamish"/>
    <s v="WA"/>
    <n v="98075"/>
    <x v="3"/>
    <x v="20"/>
    <s v="MODEL X"/>
    <x v="1"/>
    <s v="Eligibility unknown as battery range has not been researched"/>
    <s v="0"/>
    <s v="0"/>
    <s v="41"/>
    <n v="263159536"/>
    <s v="POINT (-122.03539 47.61344)"/>
    <x v="1"/>
    <s v="53033032211"/>
  </r>
  <r>
    <x v="654"/>
    <x v="1"/>
    <s v="Kirkland"/>
    <s v="WA"/>
    <n v="98033"/>
    <x v="4"/>
    <x v="20"/>
    <s v="MODEL X"/>
    <x v="1"/>
    <s v="Eligibility unknown as battery range has not been researched"/>
    <s v="0"/>
    <s v="0"/>
    <s v="48"/>
    <n v="278675365"/>
    <s v="POINT (-122.2066 47.67887)"/>
    <x v="1"/>
    <s v="53033022502"/>
  </r>
  <r>
    <x v="655"/>
    <x v="1"/>
    <s v="Duvall"/>
    <s v="WA"/>
    <n v="98019"/>
    <x v="0"/>
    <x v="20"/>
    <s v="MODEL X"/>
    <x v="1"/>
    <s v="Eligibility unknown as battery range has not been researched"/>
    <s v="0"/>
    <s v="0"/>
    <s v="45"/>
    <n v="255518763"/>
    <s v="POINT (-121.98609 47.74068)"/>
    <x v="1"/>
    <s v="53033032402"/>
  </r>
  <r>
    <x v="656"/>
    <x v="1"/>
    <s v="Seattle"/>
    <s v="WA"/>
    <n v="98103"/>
    <x v="2"/>
    <x v="20"/>
    <s v="MODEL X"/>
    <x v="1"/>
    <s v="Eligibility unknown as battery range has not been researched"/>
    <s v="0"/>
    <s v="0"/>
    <s v="43"/>
    <n v="213712432"/>
    <s v="POINT (-122.35436 47.67596)"/>
    <x v="4"/>
    <s v="53033005402"/>
  </r>
  <r>
    <x v="657"/>
    <x v="1"/>
    <s v="Sammamish"/>
    <s v="WA"/>
    <n v="98075"/>
    <x v="0"/>
    <x v="20"/>
    <s v="MODEL X"/>
    <x v="1"/>
    <s v="Eligibility unknown as battery range has not been researched"/>
    <s v="0"/>
    <s v="0"/>
    <s v="41"/>
    <n v="249780807"/>
    <s v="POINT (-122.03539 47.61344)"/>
    <x v="1"/>
    <s v="53033032207"/>
  </r>
  <r>
    <x v="658"/>
    <x v="1"/>
    <s v="Bellevue"/>
    <s v="WA"/>
    <n v="98008"/>
    <x v="0"/>
    <x v="20"/>
    <s v="MODEL X"/>
    <x v="1"/>
    <s v="Eligibility unknown as battery range has not been researched"/>
    <s v="0"/>
    <s v="0"/>
    <s v="48"/>
    <n v="240808081"/>
    <s v="POINT (-122.11867 47.63131)"/>
    <x v="1"/>
    <s v="53033022901"/>
  </r>
  <r>
    <x v="659"/>
    <x v="2"/>
    <s v="Lynnwood"/>
    <s v="WA"/>
    <n v="98087"/>
    <x v="2"/>
    <x v="20"/>
    <s v="MODEL X"/>
    <x v="1"/>
    <s v="Eligibility unknown as battery range has not been researched"/>
    <s v="0"/>
    <s v="0"/>
    <s v="21"/>
    <n v="283380702"/>
    <s v="POINT (-122.27981 47.85727)"/>
    <x v="0"/>
    <s v="53061041703"/>
  </r>
  <r>
    <x v="660"/>
    <x v="1"/>
    <s v="Federal Way"/>
    <s v="WA"/>
    <n v="98023"/>
    <x v="0"/>
    <x v="20"/>
    <s v="MODEL X"/>
    <x v="1"/>
    <s v="Eligibility unknown as battery range has not been researched"/>
    <s v="0"/>
    <s v="0"/>
    <s v="30"/>
    <n v="244716125"/>
    <s v="POINT (-122.34059 47.32478)"/>
    <x v="1"/>
    <s v="53033030308"/>
  </r>
  <r>
    <x v="661"/>
    <x v="1"/>
    <s v="Kirkland"/>
    <s v="WA"/>
    <n v="98033"/>
    <x v="0"/>
    <x v="20"/>
    <s v="MODEL X"/>
    <x v="1"/>
    <s v="Eligibility unknown as battery range has not been researched"/>
    <s v="0"/>
    <s v="0"/>
    <s v="48"/>
    <n v="224507377"/>
    <s v="POINT (-122.2066 47.67887)"/>
    <x v="1"/>
    <s v="53033022603"/>
  </r>
  <r>
    <x v="662"/>
    <x v="1"/>
    <s v="Carnation"/>
    <s v="WA"/>
    <n v="98014"/>
    <x v="0"/>
    <x v="20"/>
    <s v="MODEL X"/>
    <x v="1"/>
    <s v="Eligibility unknown as battery range has not been researched"/>
    <s v="0"/>
    <s v="0"/>
    <s v="5"/>
    <n v="257142077"/>
    <s v="POINT (-121.91353 47.64901)"/>
    <x v="17"/>
    <s v="53033032500"/>
  </r>
  <r>
    <x v="663"/>
    <x v="1"/>
    <s v="Bellevue"/>
    <s v="WA"/>
    <n v="98004"/>
    <x v="3"/>
    <x v="20"/>
    <s v="MODEL X"/>
    <x v="1"/>
    <s v="Eligibility unknown as battery range has not been researched"/>
    <s v="0"/>
    <s v="0"/>
    <s v="48"/>
    <n v="270820896"/>
    <s v="POINT (-122.1872 47.61001)"/>
    <x v="1"/>
    <s v="53033024001"/>
  </r>
  <r>
    <x v="664"/>
    <x v="4"/>
    <s v="Vancouver"/>
    <s v="WA"/>
    <n v="98685"/>
    <x v="0"/>
    <x v="20"/>
    <s v="MODEL Y"/>
    <x v="1"/>
    <s v="Eligibility unknown as battery range has not been researched"/>
    <s v="0"/>
    <s v="0"/>
    <s v="18"/>
    <n v="261502412"/>
    <s v="POINT (-122.70303 45.70954)"/>
    <x v="3"/>
    <s v="53011040908"/>
  </r>
  <r>
    <x v="665"/>
    <x v="1"/>
    <s v="Kent"/>
    <s v="WA"/>
    <n v="98032"/>
    <x v="4"/>
    <x v="20"/>
    <s v="MODEL Y"/>
    <x v="1"/>
    <s v="Eligibility unknown as battery range has not been researched"/>
    <s v="0"/>
    <s v="0"/>
    <s v="33"/>
    <n v="278101330"/>
    <s v="POINT (-122.23741 47.3807)"/>
    <x v="1"/>
    <s v="53033029205"/>
  </r>
  <r>
    <x v="665"/>
    <x v="1"/>
    <s v="Snoqualmie"/>
    <s v="WA"/>
    <n v="98065"/>
    <x v="4"/>
    <x v="20"/>
    <s v="MODEL Y"/>
    <x v="1"/>
    <s v="Eligibility unknown as battery range has not been researched"/>
    <s v="0"/>
    <s v="0"/>
    <s v="5"/>
    <n v="274683804"/>
    <s v="POINT (-121.82432 47.52716)"/>
    <x v="1"/>
    <s v="53033032603"/>
  </r>
  <r>
    <x v="666"/>
    <x v="1"/>
    <s v="Kirkland"/>
    <s v="WA"/>
    <n v="98033"/>
    <x v="2"/>
    <x v="20"/>
    <s v="MODEL Y"/>
    <x v="1"/>
    <s v="Eligibility unknown as battery range has not been researched"/>
    <s v="0"/>
    <s v="0"/>
    <s v="48"/>
    <n v="183304551"/>
    <s v="POINT (-122.2066 47.67887)"/>
    <x v="1"/>
    <s v="53033022501"/>
  </r>
  <r>
    <x v="667"/>
    <x v="1"/>
    <s v="Kent"/>
    <s v="WA"/>
    <n v="98030"/>
    <x v="0"/>
    <x v="20"/>
    <s v="MODEL Y"/>
    <x v="1"/>
    <s v="Eligibility unknown as battery range has not been researched"/>
    <s v="0"/>
    <s v="0"/>
    <s v="47"/>
    <n v="221427608"/>
    <s v="POINT (-122.224 47.37943)"/>
    <x v="1"/>
    <s v="53033029507"/>
  </r>
  <r>
    <x v="667"/>
    <x v="1"/>
    <s v="Federal Way"/>
    <s v="WA"/>
    <n v="98003"/>
    <x v="0"/>
    <x v="20"/>
    <s v="MODEL Y"/>
    <x v="1"/>
    <s v="Eligibility unknown as battery range has not been researched"/>
    <s v="0"/>
    <s v="0"/>
    <s v="30"/>
    <n v="283080948"/>
    <s v="POINT (-122.3303 47.30151)"/>
    <x v="1"/>
    <s v="53033030003"/>
  </r>
  <r>
    <x v="668"/>
    <x v="1"/>
    <s v="Seattle"/>
    <s v="WA"/>
    <n v="98105"/>
    <x v="3"/>
    <x v="20"/>
    <s v="MODEL Y"/>
    <x v="1"/>
    <s v="Eligibility unknown as battery range has not been researched"/>
    <s v="0"/>
    <s v="0"/>
    <s v="46"/>
    <n v="268573133"/>
    <s v="POINT (-122.31307 47.66127)"/>
    <x v="1"/>
    <s v="53033004201"/>
  </r>
  <r>
    <x v="669"/>
    <x v="1"/>
    <s v="Seattle"/>
    <s v="WA"/>
    <n v="98108"/>
    <x v="0"/>
    <x v="20"/>
    <s v="MODEL Y"/>
    <x v="1"/>
    <s v="Eligibility unknown as battery range has not been researched"/>
    <s v="0"/>
    <s v="0"/>
    <s v="11"/>
    <n v="259702145"/>
    <s v="POINT (-122.30346 47.55379)"/>
    <x v="4"/>
    <s v="53033011700"/>
  </r>
  <r>
    <x v="670"/>
    <x v="1"/>
    <s v="Snoqualmie"/>
    <s v="WA"/>
    <n v="98065"/>
    <x v="3"/>
    <x v="20"/>
    <s v="MODEL Y"/>
    <x v="1"/>
    <s v="Eligibility unknown as battery range has not been researched"/>
    <s v="0"/>
    <s v="0"/>
    <s v="5"/>
    <n v="265661070"/>
    <s v="POINT (-121.82432 47.52716)"/>
    <x v="1"/>
    <s v="53033032604"/>
  </r>
  <r>
    <x v="671"/>
    <x v="23"/>
    <s v="Kennewick"/>
    <s v="WA"/>
    <n v="99337"/>
    <x v="4"/>
    <x v="20"/>
    <s v="MODEL Y"/>
    <x v="1"/>
    <s v="Eligibility unknown as battery range has not been researched"/>
    <s v="0"/>
    <s v="0"/>
    <s v="8"/>
    <n v="278386307"/>
    <s v="POINT (-119.14432 46.18741)"/>
    <x v="31"/>
    <s v="53005011100"/>
  </r>
  <r>
    <x v="672"/>
    <x v="3"/>
    <s v="Yakima"/>
    <s v="WA"/>
    <n v="98902"/>
    <x v="2"/>
    <x v="20"/>
    <s v="MODEL Y"/>
    <x v="1"/>
    <s v="Eligibility unknown as battery range has not been researched"/>
    <s v="0"/>
    <s v="0"/>
    <s v="14"/>
    <n v="216932075"/>
    <s v="POINT (-120.51904 46.59783)"/>
    <x v="2"/>
    <s v="53077000500"/>
  </r>
  <r>
    <x v="672"/>
    <x v="4"/>
    <s v="Ridgefield"/>
    <s v="WA"/>
    <n v="98642"/>
    <x v="2"/>
    <x v="20"/>
    <s v="MODEL Y"/>
    <x v="1"/>
    <s v="Eligibility unknown as battery range has not been researched"/>
    <s v="0"/>
    <s v="0"/>
    <s v="18"/>
    <n v="220735889"/>
    <s v="POINT (-122.74595 45.81539)"/>
    <x v="3"/>
    <s v="53011040305"/>
  </r>
  <r>
    <x v="673"/>
    <x v="1"/>
    <s v="Redmond"/>
    <s v="WA"/>
    <n v="98052"/>
    <x v="0"/>
    <x v="20"/>
    <s v="MODEL Y"/>
    <x v="1"/>
    <s v="Eligibility unknown as battery range has not been researched"/>
    <s v="0"/>
    <s v="0"/>
    <s v="45"/>
    <n v="259094860"/>
    <s v="POINT (-122.13158 47.67858)"/>
    <x v="1"/>
    <s v="53033032321"/>
  </r>
  <r>
    <x v="673"/>
    <x v="1"/>
    <s v="Seattle"/>
    <s v="WA"/>
    <n v="98199"/>
    <x v="0"/>
    <x v="20"/>
    <s v="MODEL Y"/>
    <x v="1"/>
    <s v="Eligibility unknown as battery range has not been researched"/>
    <s v="0"/>
    <s v="0"/>
    <s v="36"/>
    <n v="255428155"/>
    <s v="POINT (-122.40092 47.65908)"/>
    <x v="4"/>
    <s v="53033005700"/>
  </r>
  <r>
    <x v="673"/>
    <x v="6"/>
    <s v="Puyallup"/>
    <s v="WA"/>
    <n v="98371"/>
    <x v="0"/>
    <x v="20"/>
    <s v="MODEL Y"/>
    <x v="1"/>
    <s v="Eligibility unknown as battery range has not been researched"/>
    <s v="0"/>
    <s v="0"/>
    <s v="25"/>
    <n v="260102937"/>
    <s v="POINT (-122.29521 47.19045)"/>
    <x v="1"/>
    <s v="53053073404"/>
  </r>
  <r>
    <x v="674"/>
    <x v="15"/>
    <s v="Mead"/>
    <s v="WA"/>
    <n v="99021"/>
    <x v="3"/>
    <x v="20"/>
    <s v="MODEL Y"/>
    <x v="1"/>
    <s v="Eligibility unknown as battery range has not been researched"/>
    <s v="0"/>
    <s v="0"/>
    <s v="4"/>
    <n v="265051727"/>
    <s v="POINT (-117.35586 47.7628)"/>
    <x v="12"/>
    <s v="53063010204"/>
  </r>
  <r>
    <x v="675"/>
    <x v="4"/>
    <s v="Camas"/>
    <s v="WA"/>
    <n v="98607"/>
    <x v="0"/>
    <x v="20"/>
    <s v="MODEL Y"/>
    <x v="1"/>
    <s v="Eligibility unknown as battery range has not been researched"/>
    <s v="0"/>
    <s v="0"/>
    <s v="18"/>
    <n v="225990390"/>
    <s v="POINT (-122.40199 45.58694)"/>
    <x v="3"/>
    <s v="53011041325"/>
  </r>
  <r>
    <x v="676"/>
    <x v="1"/>
    <s v="Bellevue"/>
    <s v="WA"/>
    <n v="98005"/>
    <x v="3"/>
    <x v="20"/>
    <s v="MODEL Y"/>
    <x v="1"/>
    <s v="Eligibility unknown as battery range has not been researched"/>
    <s v="0"/>
    <s v="0"/>
    <s v="48"/>
    <n v="265046449"/>
    <s v="POINT (-122.1621 47.64441)"/>
    <x v="1"/>
    <s v="53033022805"/>
  </r>
  <r>
    <x v="677"/>
    <x v="1"/>
    <s v="Kirkland"/>
    <s v="WA"/>
    <n v="98033"/>
    <x v="2"/>
    <x v="20"/>
    <s v="MODEL Y"/>
    <x v="1"/>
    <s v="Eligibility unknown as battery range has not been researched"/>
    <s v="0"/>
    <s v="0"/>
    <s v="45"/>
    <n v="194995734"/>
    <s v="POINT (-122.2066 47.67887)"/>
    <x v="1"/>
    <s v="53033022402"/>
  </r>
  <r>
    <x v="677"/>
    <x v="1"/>
    <s v="Seattle"/>
    <s v="WA"/>
    <n v="98119"/>
    <x v="2"/>
    <x v="20"/>
    <s v="MODEL Y"/>
    <x v="1"/>
    <s v="Eligibility unknown as battery range has not been researched"/>
    <s v="0"/>
    <s v="0"/>
    <s v="36"/>
    <n v="214916208"/>
    <s v="POINT (-122.3684 47.64586)"/>
    <x v="4"/>
    <s v="53033005902"/>
  </r>
  <r>
    <x v="678"/>
    <x v="1"/>
    <s v="Newcastle"/>
    <s v="WA"/>
    <n v="98056"/>
    <x v="0"/>
    <x v="20"/>
    <s v="MODEL Y"/>
    <x v="1"/>
    <s v="Eligibility unknown as battery range has not been researched"/>
    <s v="0"/>
    <s v="0"/>
    <s v="41"/>
    <n v="225996291"/>
    <s v="POINT (-122.2044 47.52136)"/>
    <x v="1"/>
    <s v="53033024703"/>
  </r>
  <r>
    <x v="678"/>
    <x v="4"/>
    <s v="Battle Ground"/>
    <s v="WA"/>
    <n v="98604"/>
    <x v="0"/>
    <x v="20"/>
    <s v="MODEL Y"/>
    <x v="1"/>
    <s v="Eligibility unknown as battery range has not been researched"/>
    <s v="0"/>
    <s v="0"/>
    <s v="18"/>
    <n v="224419275"/>
    <s v="POINT (-122.5331 45.78092)"/>
    <x v="3"/>
    <s v="53011040414"/>
  </r>
  <r>
    <x v="679"/>
    <x v="1"/>
    <s v="Federal Way"/>
    <s v="WA"/>
    <n v="98003"/>
    <x v="3"/>
    <x v="20"/>
    <s v="MODEL Y"/>
    <x v="1"/>
    <s v="Eligibility unknown as battery range has not been researched"/>
    <s v="0"/>
    <s v="0"/>
    <s v="30"/>
    <n v="261416613"/>
    <s v="POINT (-122.3303 47.30151)"/>
    <x v="1"/>
    <s v="53033030005"/>
  </r>
  <r>
    <x v="679"/>
    <x v="1"/>
    <s v="Seattle"/>
    <s v="WA"/>
    <n v="98117"/>
    <x v="3"/>
    <x v="20"/>
    <s v="MODEL Y"/>
    <x v="1"/>
    <s v="Eligibility unknown as battery range has not been researched"/>
    <s v="0"/>
    <s v="0"/>
    <s v="36"/>
    <n v="267711181"/>
    <s v="POINT (-122.38418 47.70044)"/>
    <x v="4"/>
    <s v="53033003100"/>
  </r>
  <r>
    <x v="679"/>
    <x v="1"/>
    <s v="Kirkland"/>
    <s v="WA"/>
    <n v="98034"/>
    <x v="3"/>
    <x v="20"/>
    <s v="MODEL Y"/>
    <x v="1"/>
    <s v="Eligibility unknown as battery range has not been researched"/>
    <s v="0"/>
    <s v="0"/>
    <s v="45"/>
    <n v="270963458"/>
    <s v="POINT (-122.22901 47.72201)"/>
    <x v="1"/>
    <s v="53033022003"/>
  </r>
  <r>
    <x v="680"/>
    <x v="2"/>
    <s v="Bothell"/>
    <s v="WA"/>
    <n v="98012"/>
    <x v="2"/>
    <x v="20"/>
    <s v="MODEL Y"/>
    <x v="1"/>
    <s v="Eligibility unknown as battery range has not been researched"/>
    <s v="0"/>
    <s v="0"/>
    <s v="1"/>
    <n v="210032602"/>
    <s v="POINT (-122.21061 47.83448)"/>
    <x v="0"/>
    <s v="53061052107"/>
  </r>
  <r>
    <x v="680"/>
    <x v="1"/>
    <s v="Redmond"/>
    <s v="WA"/>
    <n v="98052"/>
    <x v="2"/>
    <x v="20"/>
    <s v="MODEL Y"/>
    <x v="1"/>
    <s v="Eligibility unknown as battery range has not been researched"/>
    <s v="0"/>
    <s v="0"/>
    <s v="45"/>
    <n v="194612400"/>
    <s v="POINT (-122.13158 47.67858)"/>
    <x v="1"/>
    <s v="53033022605"/>
  </r>
  <r>
    <x v="681"/>
    <x v="1"/>
    <s v="Issaquah"/>
    <s v="WA"/>
    <n v="98027"/>
    <x v="0"/>
    <x v="20"/>
    <s v="MODEL Y"/>
    <x v="1"/>
    <s v="Eligibility unknown as battery range has not been researched"/>
    <s v="0"/>
    <s v="0"/>
    <s v="5"/>
    <n v="260994527"/>
    <s v="POINT (-122.03439 47.5301)"/>
    <x v="1"/>
    <s v="53033032102"/>
  </r>
  <r>
    <x v="681"/>
    <x v="1"/>
    <s v="Newcastle"/>
    <s v="WA"/>
    <n v="98056"/>
    <x v="0"/>
    <x v="20"/>
    <s v="MODEL Y"/>
    <x v="1"/>
    <s v="Eligibility unknown as battery range has not been researched"/>
    <s v="0"/>
    <s v="0"/>
    <s v="41"/>
    <n v="244242848"/>
    <s v="POINT (-122.2044 47.52136)"/>
    <x v="1"/>
    <s v="53033024703"/>
  </r>
  <r>
    <x v="681"/>
    <x v="4"/>
    <s v="Vancouver"/>
    <s v="WA"/>
    <n v="98684"/>
    <x v="0"/>
    <x v="20"/>
    <s v="MODEL Y"/>
    <x v="1"/>
    <s v="Eligibility unknown as battery range has not been researched"/>
    <s v="0"/>
    <s v="0"/>
    <s v="17"/>
    <n v="260677539"/>
    <s v="POINT (-122.48723 45.63701)"/>
    <x v="3"/>
    <s v="53011041317"/>
  </r>
  <r>
    <x v="682"/>
    <x v="2"/>
    <s v="Stanwood"/>
    <s v="WA"/>
    <n v="98292"/>
    <x v="3"/>
    <x v="20"/>
    <s v="MODEL Y"/>
    <x v="1"/>
    <s v="Eligibility unknown as battery range has not been researched"/>
    <s v="0"/>
    <s v="0"/>
    <s v="10"/>
    <n v="262431844"/>
    <s v="POINT (-122.37265 48.24159)"/>
    <x v="5"/>
    <s v="53061053301"/>
  </r>
  <r>
    <x v="683"/>
    <x v="1"/>
    <s v="Redmond"/>
    <s v="WA"/>
    <n v="98053"/>
    <x v="4"/>
    <x v="20"/>
    <s v="MODEL Y"/>
    <x v="1"/>
    <s v="Eligibility unknown as battery range has not been researched"/>
    <s v="0"/>
    <s v="0"/>
    <s v="45"/>
    <n v="276833378"/>
    <s v="POINT (-122.03287 47.68555)"/>
    <x v="1"/>
    <s v="53033032332"/>
  </r>
  <r>
    <x v="683"/>
    <x v="7"/>
    <s v="Olympia"/>
    <s v="WA"/>
    <n v="98513"/>
    <x v="4"/>
    <x v="20"/>
    <s v="MODEL Y"/>
    <x v="1"/>
    <s v="Eligibility unknown as battery range has not been researched"/>
    <s v="0"/>
    <s v="0"/>
    <s v="2"/>
    <n v="279998295"/>
    <s v="POINT (-122.81754 46.98876)"/>
    <x v="0"/>
    <s v="53067012332"/>
  </r>
  <r>
    <x v="684"/>
    <x v="1"/>
    <s v="Seattle"/>
    <s v="WA"/>
    <n v="98125"/>
    <x v="3"/>
    <x v="20"/>
    <s v="MODEL Y"/>
    <x v="1"/>
    <s v="Eligibility unknown as battery range has not been researched"/>
    <s v="0"/>
    <s v="0"/>
    <s v="46"/>
    <n v="275113184"/>
    <s v="POINT (-122.30253 47.72656)"/>
    <x v="4"/>
    <s v="53033000700"/>
  </r>
  <r>
    <x v="684"/>
    <x v="1"/>
    <s v="Bellevue"/>
    <s v="WA"/>
    <n v="98005"/>
    <x v="3"/>
    <x v="20"/>
    <s v="MODEL Y"/>
    <x v="1"/>
    <s v="Eligibility unknown as battery range has not been researched"/>
    <s v="0"/>
    <s v="0"/>
    <s v="41"/>
    <n v="262720853"/>
    <s v="POINT (-122.1621 47.64441)"/>
    <x v="1"/>
    <s v="53033023601"/>
  </r>
  <r>
    <x v="684"/>
    <x v="1"/>
    <s v="Kent"/>
    <s v="WA"/>
    <n v="98030"/>
    <x v="3"/>
    <x v="20"/>
    <s v="MODEL Y"/>
    <x v="1"/>
    <s v="Eligibility unknown as battery range has not been researched"/>
    <s v="0"/>
    <s v="0"/>
    <s v="47"/>
    <n v="267548270"/>
    <s v="POINT (-122.224 47.37943)"/>
    <x v="1"/>
    <s v="53033029504"/>
  </r>
  <r>
    <x v="685"/>
    <x v="1"/>
    <s v="Renton"/>
    <s v="WA"/>
    <n v="98058"/>
    <x v="4"/>
    <x v="20"/>
    <s v="MODEL Y"/>
    <x v="1"/>
    <s v="Eligibility unknown as battery range has not been researched"/>
    <s v="0"/>
    <s v="0"/>
    <s v="47"/>
    <n v="278253265"/>
    <s v="POINT (-122.08747 47.4466)"/>
    <x v="1"/>
    <s v="53033031906"/>
  </r>
  <r>
    <x v="686"/>
    <x v="4"/>
    <s v="Vancouver"/>
    <s v="WA"/>
    <n v="98664"/>
    <x v="3"/>
    <x v="20"/>
    <s v="MODEL Y"/>
    <x v="1"/>
    <s v="Eligibility unknown as battery range has not been researched"/>
    <s v="0"/>
    <s v="0"/>
    <s v="49"/>
    <n v="268361936"/>
    <s v="POINT (-122.59219 45.62158)"/>
    <x v="3"/>
    <s v="53011041206"/>
  </r>
  <r>
    <x v="687"/>
    <x v="2"/>
    <s v="Lynnwood"/>
    <s v="WA"/>
    <n v="98036"/>
    <x v="4"/>
    <x v="20"/>
    <s v="MODEL Y"/>
    <x v="1"/>
    <s v="Eligibility unknown as battery range has not been researched"/>
    <s v="0"/>
    <s v="0"/>
    <s v="32"/>
    <n v="277779638"/>
    <s v="POINT (-122.29245 47.82557)"/>
    <x v="0"/>
    <s v="53061051402"/>
  </r>
  <r>
    <x v="688"/>
    <x v="1"/>
    <s v="Bellevue"/>
    <s v="WA"/>
    <n v="98006"/>
    <x v="2"/>
    <x v="20"/>
    <s v="MODEL Y"/>
    <x v="1"/>
    <s v="Eligibility unknown as battery range has not been researched"/>
    <s v="0"/>
    <s v="0"/>
    <s v="41"/>
    <n v="192507535"/>
    <s v="POINT (-122.12096 47.55584)"/>
    <x v="1"/>
    <s v="53033024800"/>
  </r>
  <r>
    <x v="688"/>
    <x v="1"/>
    <s v="Redmond"/>
    <s v="WA"/>
    <n v="98052"/>
    <x v="2"/>
    <x v="20"/>
    <s v="MODEL Y"/>
    <x v="1"/>
    <s v="Eligibility unknown as battery range has not been researched"/>
    <s v="0"/>
    <s v="0"/>
    <s v="45"/>
    <n v="207162070"/>
    <s v="POINT (-122.13158 47.67858)"/>
    <x v="1"/>
    <s v="53033032323"/>
  </r>
  <r>
    <x v="689"/>
    <x v="1"/>
    <s v="Redmond"/>
    <s v="WA"/>
    <n v="98052"/>
    <x v="0"/>
    <x v="20"/>
    <s v="MODEL Y"/>
    <x v="1"/>
    <s v="Eligibility unknown as battery range has not been researched"/>
    <s v="0"/>
    <s v="0"/>
    <s v="45"/>
    <n v="260502126"/>
    <s v="POINT (-122.13158 47.67858)"/>
    <x v="1"/>
    <s v="53033032322"/>
  </r>
  <r>
    <x v="690"/>
    <x v="1"/>
    <s v="Kirkland"/>
    <s v="WA"/>
    <n v="98034"/>
    <x v="3"/>
    <x v="20"/>
    <s v="MODEL Y"/>
    <x v="1"/>
    <s v="Eligibility unknown as battery range has not been researched"/>
    <s v="0"/>
    <s v="0"/>
    <s v="45"/>
    <n v="268611857"/>
    <s v="POINT (-122.22901 47.72201)"/>
    <x v="1"/>
    <s v="53033022603"/>
  </r>
  <r>
    <x v="691"/>
    <x v="7"/>
    <s v="Lacey"/>
    <s v="WA"/>
    <n v="98513"/>
    <x v="14"/>
    <x v="20"/>
    <s v="MODEL Y"/>
    <x v="1"/>
    <s v="Eligibility unknown as battery range has not been researched"/>
    <s v="0"/>
    <s v="0"/>
    <s v="22"/>
    <n v="283417648"/>
    <s v="POINT (-122.81754 46.98876)"/>
    <x v="0"/>
    <s v="53067011623"/>
  </r>
  <r>
    <x v="692"/>
    <x v="1"/>
    <s v="Federal Way"/>
    <s v="WA"/>
    <n v="98023"/>
    <x v="4"/>
    <x v="20"/>
    <s v="MODEL Y"/>
    <x v="1"/>
    <s v="Eligibility unknown as battery range has not been researched"/>
    <s v="0"/>
    <s v="0"/>
    <s v="30"/>
    <n v="276855869"/>
    <s v="POINT (-122.34059 47.32478)"/>
    <x v="1"/>
    <s v="53033030305"/>
  </r>
  <r>
    <x v="693"/>
    <x v="2"/>
    <s v="Bothell"/>
    <s v="WA"/>
    <n v="98012"/>
    <x v="3"/>
    <x v="20"/>
    <s v="MODEL Y"/>
    <x v="1"/>
    <s v="Eligibility unknown as battery range has not been researched"/>
    <s v="0"/>
    <s v="0"/>
    <s v="44"/>
    <n v="265104507"/>
    <s v="POINT (-122.21061 47.83448)"/>
    <x v="0"/>
    <s v="53061052007"/>
  </r>
  <r>
    <x v="694"/>
    <x v="1"/>
    <s v="Kirkland"/>
    <s v="WA"/>
    <n v="98034"/>
    <x v="4"/>
    <x v="20"/>
    <s v="MODEL Y"/>
    <x v="1"/>
    <s v="Eligibility unknown as battery range has not been researched"/>
    <s v="0"/>
    <s v="0"/>
    <s v="1"/>
    <n v="275451865"/>
    <s v="POINT (-122.22901 47.72201)"/>
    <x v="1"/>
    <s v="53033022205"/>
  </r>
  <r>
    <x v="695"/>
    <x v="1"/>
    <s v="Seatac"/>
    <s v="WA"/>
    <n v="98168"/>
    <x v="4"/>
    <x v="20"/>
    <s v="MODEL Y"/>
    <x v="1"/>
    <s v="Eligibility unknown as battery range has not been researched"/>
    <s v="0"/>
    <s v="0"/>
    <s v="33"/>
    <n v="277169469"/>
    <s v="POINT (-122.3317 47.50314)"/>
    <x v="4"/>
    <s v="53033028100"/>
  </r>
  <r>
    <x v="696"/>
    <x v="1"/>
    <s v="Seattle"/>
    <s v="WA"/>
    <n v="98199"/>
    <x v="0"/>
    <x v="20"/>
    <s v="MODEL Y"/>
    <x v="1"/>
    <s v="Eligibility unknown as battery range has not been researched"/>
    <s v="0"/>
    <s v="0"/>
    <s v="36"/>
    <n v="260955201"/>
    <s v="POINT (-122.40092 47.65908)"/>
    <x v="4"/>
    <s v="53033005700"/>
  </r>
  <r>
    <x v="697"/>
    <x v="0"/>
    <s v="Port Orchard"/>
    <s v="WA"/>
    <n v="98366"/>
    <x v="14"/>
    <x v="20"/>
    <s v="MODEL Y"/>
    <x v="1"/>
    <s v="Eligibility unknown as battery range has not been researched"/>
    <s v="0"/>
    <s v="0"/>
    <s v="26"/>
    <n v="282170521"/>
    <s v="POINT (-122.63847 47.54103)"/>
    <x v="0"/>
    <s v="53035092300"/>
  </r>
  <r>
    <x v="697"/>
    <x v="1"/>
    <s v="Seattle"/>
    <s v="WA"/>
    <n v="98116"/>
    <x v="14"/>
    <x v="20"/>
    <s v="MODEL Y"/>
    <x v="1"/>
    <s v="Eligibility unknown as battery range has not been researched"/>
    <s v="0"/>
    <s v="0"/>
    <s v="34"/>
    <n v="284612590"/>
    <s v="POINT (-122.41067 47.57894)"/>
    <x v="4"/>
    <s v="53033009801"/>
  </r>
  <r>
    <x v="698"/>
    <x v="1"/>
    <s v="Kirkland"/>
    <s v="WA"/>
    <n v="98034"/>
    <x v="4"/>
    <x v="20"/>
    <s v="MODEL Y"/>
    <x v="1"/>
    <s v="Eligibility unknown as battery range has not been researched"/>
    <s v="0"/>
    <s v="0"/>
    <s v="45"/>
    <n v="284950627"/>
    <s v="POINT (-122.22901 47.72201)"/>
    <x v="1"/>
    <s v="53033021903"/>
  </r>
  <r>
    <x v="699"/>
    <x v="1"/>
    <s v="Sammamish"/>
    <s v="WA"/>
    <n v="98029"/>
    <x v="4"/>
    <x v="20"/>
    <s v="MODEL Y"/>
    <x v="1"/>
    <s v="Eligibility unknown as battery range has not been researched"/>
    <s v="0"/>
    <s v="0"/>
    <s v="5"/>
    <n v="278696393"/>
    <s v="POINT (-122.00292 47.54748)"/>
    <x v="1"/>
    <s v="53033032211"/>
  </r>
  <r>
    <x v="699"/>
    <x v="1"/>
    <s v="Auburn"/>
    <s v="WA"/>
    <n v="98092"/>
    <x v="4"/>
    <x v="20"/>
    <s v="MODEL Y"/>
    <x v="1"/>
    <s v="Eligibility unknown as battery range has not been researched"/>
    <s v="0"/>
    <s v="0"/>
    <s v="47"/>
    <n v="273974249"/>
    <s v="POINT (-122.18497 47.28825)"/>
    <x v="1"/>
    <s v="53033029602"/>
  </r>
  <r>
    <x v="700"/>
    <x v="2"/>
    <s v="Woodinville"/>
    <s v="WA"/>
    <n v="98077"/>
    <x v="2"/>
    <x v="20"/>
    <s v="MODEL Y"/>
    <x v="1"/>
    <s v="Eligibility unknown as battery range has not been researched"/>
    <s v="0"/>
    <s v="0"/>
    <s v="1"/>
    <n v="205293812"/>
    <s v="POINT (-122.07326 47.75425)"/>
    <x v="0"/>
    <s v="53061051912"/>
  </r>
  <r>
    <x v="700"/>
    <x v="2"/>
    <s v="Bothell"/>
    <s v="WA"/>
    <n v="98021"/>
    <x v="2"/>
    <x v="20"/>
    <s v="MODEL Y"/>
    <x v="1"/>
    <s v="Eligibility unknown as battery range has not been researched"/>
    <s v="0"/>
    <s v="0"/>
    <s v="1"/>
    <n v="220245742"/>
    <s v="POINT (-122.18384 47.8031)"/>
    <x v="0"/>
    <s v="53061051926"/>
  </r>
  <r>
    <x v="701"/>
    <x v="0"/>
    <s v="Bremerton"/>
    <s v="WA"/>
    <n v="98311"/>
    <x v="0"/>
    <x v="20"/>
    <s v="MODEL Y"/>
    <x v="1"/>
    <s v="Eligibility unknown as battery range has not been researched"/>
    <s v="0"/>
    <s v="0"/>
    <s v="23"/>
    <n v="229642976"/>
    <s v="POINT (-122.60915 47.62631)"/>
    <x v="0"/>
    <s v="53035091701"/>
  </r>
  <r>
    <x v="701"/>
    <x v="6"/>
    <s v="University Place"/>
    <s v="WA"/>
    <n v="98466"/>
    <x v="0"/>
    <x v="20"/>
    <s v="MODEL Y"/>
    <x v="1"/>
    <s v="Eligibility unknown as battery range has not been researched"/>
    <s v="0"/>
    <s v="0"/>
    <s v="28"/>
    <n v="252393095"/>
    <s v="POINT (-122.5381 47.2326)"/>
    <x v="11"/>
    <s v="53053072313"/>
  </r>
  <r>
    <x v="701"/>
    <x v="2"/>
    <s v="Bothell"/>
    <s v="WA"/>
    <n v="98012"/>
    <x v="0"/>
    <x v="20"/>
    <s v="MODEL Y"/>
    <x v="1"/>
    <s v="Eligibility unknown as battery range has not been researched"/>
    <s v="0"/>
    <s v="0"/>
    <s v="1"/>
    <n v="249830703"/>
    <s v="POINT (-122.21061 47.83448)"/>
    <x v="0"/>
    <s v="53061051934"/>
  </r>
  <r>
    <x v="701"/>
    <x v="2"/>
    <s v="Lynnwood"/>
    <s v="WA"/>
    <n v="98087"/>
    <x v="0"/>
    <x v="20"/>
    <s v="MODEL Y"/>
    <x v="1"/>
    <s v="Eligibility unknown as battery range has not been researched"/>
    <s v="0"/>
    <s v="0"/>
    <s v="21"/>
    <n v="258252977"/>
    <s v="POINT (-122.27981 47.85727)"/>
    <x v="0"/>
    <s v="53061041816"/>
  </r>
  <r>
    <x v="701"/>
    <x v="1"/>
    <s v="Bellevue"/>
    <s v="WA"/>
    <n v="98004"/>
    <x v="0"/>
    <x v="20"/>
    <s v="MODEL Y"/>
    <x v="1"/>
    <s v="Eligibility unknown as battery range has not been researched"/>
    <s v="0"/>
    <s v="0"/>
    <s v="41"/>
    <n v="228480493"/>
    <s v="POINT (-122.1872 47.61001)"/>
    <x v="1"/>
    <s v="53033023801"/>
  </r>
  <r>
    <x v="702"/>
    <x v="1"/>
    <s v="Redmond"/>
    <s v="WA"/>
    <n v="98052"/>
    <x v="3"/>
    <x v="20"/>
    <s v="MODEL Y"/>
    <x v="1"/>
    <s v="Eligibility unknown as battery range has not been researched"/>
    <s v="0"/>
    <s v="0"/>
    <s v="45"/>
    <n v="272460212"/>
    <s v="POINT (-122.13158 47.67858)"/>
    <x v="1"/>
    <s v="53033032321"/>
  </r>
  <r>
    <x v="702"/>
    <x v="2"/>
    <s v="Granite Falls"/>
    <s v="WA"/>
    <n v="98252"/>
    <x v="3"/>
    <x v="20"/>
    <s v="MODEL Y"/>
    <x v="1"/>
    <s v="Eligibility unknown as battery range has not been researched"/>
    <s v="0"/>
    <s v="0"/>
    <s v="39"/>
    <n v="265132213"/>
    <s v="POINT (-121.96931 48.08157)"/>
    <x v="0"/>
    <s v="53061053604"/>
  </r>
  <r>
    <x v="702"/>
    <x v="1"/>
    <s v="Maple Valley"/>
    <s v="WA"/>
    <n v="98038"/>
    <x v="3"/>
    <x v="20"/>
    <s v="MODEL Y"/>
    <x v="1"/>
    <s v="Eligibility unknown as battery range has not been researched"/>
    <s v="0"/>
    <s v="0"/>
    <s v="5"/>
    <n v="262506009"/>
    <s v="POINT (-122.04526 47.39394)"/>
    <x v="1"/>
    <s v="53033032003"/>
  </r>
  <r>
    <x v="703"/>
    <x v="4"/>
    <s v="Vancouver"/>
    <s v="WA"/>
    <n v="98665"/>
    <x v="4"/>
    <x v="20"/>
    <s v="MODEL Y"/>
    <x v="1"/>
    <s v="Eligibility unknown as battery range has not been researched"/>
    <s v="0"/>
    <s v="0"/>
    <s v="49"/>
    <n v="273563055"/>
    <s v="POINT (-122.64443 45.67871)"/>
    <x v="3"/>
    <s v="53011041010"/>
  </r>
  <r>
    <x v="704"/>
    <x v="1"/>
    <s v="Seattle"/>
    <s v="WA"/>
    <n v="98146"/>
    <x v="14"/>
    <x v="20"/>
    <s v="MODEL Y"/>
    <x v="1"/>
    <s v="Eligibility unknown as battery range has not been researched"/>
    <s v="0"/>
    <s v="0"/>
    <s v="34"/>
    <n v="285140670"/>
    <s v="POINT (-122.36178 47.49408)"/>
    <x v="4"/>
    <s v="53033012000"/>
  </r>
  <r>
    <x v="705"/>
    <x v="1"/>
    <s v="Bellevue"/>
    <s v="WA"/>
    <n v="98006"/>
    <x v="2"/>
    <x v="20"/>
    <s v="MODEL Y"/>
    <x v="1"/>
    <s v="Eligibility unknown as battery range has not been researched"/>
    <s v="0"/>
    <s v="0"/>
    <s v="41"/>
    <n v="205664238"/>
    <s v="POINT (-122.12096 47.55584)"/>
    <x v="1"/>
    <s v="53033024704"/>
  </r>
  <r>
    <x v="705"/>
    <x v="2"/>
    <s v="Everett"/>
    <s v="WA"/>
    <n v="98208"/>
    <x v="2"/>
    <x v="20"/>
    <s v="MODEL Y"/>
    <x v="1"/>
    <s v="Eligibility unknown as battery range has not been researched"/>
    <s v="0"/>
    <s v="0"/>
    <s v="44"/>
    <n v="202029705"/>
    <s v="POINT (-122.18637 47.89251)"/>
    <x v="0"/>
    <s v="53061041606"/>
  </r>
  <r>
    <x v="706"/>
    <x v="29"/>
    <s v="Longview"/>
    <s v="WA"/>
    <n v="98632"/>
    <x v="0"/>
    <x v="20"/>
    <s v="MODEL Y"/>
    <x v="1"/>
    <s v="Eligibility unknown as battery range has not been researched"/>
    <s v="0"/>
    <s v="0"/>
    <s v="19"/>
    <n v="245569320"/>
    <s v="POINT (-122.95058 46.14681)"/>
    <x v="30"/>
    <s v="53015000802"/>
  </r>
  <r>
    <x v="707"/>
    <x v="0"/>
    <s v="Bremerton"/>
    <s v="WA"/>
    <n v="98337"/>
    <x v="3"/>
    <x v="20"/>
    <s v="MODEL Y"/>
    <x v="1"/>
    <s v="Eligibility unknown as battery range has not been researched"/>
    <s v="0"/>
    <s v="0"/>
    <s v="26"/>
    <n v="262383285"/>
    <s v="POINT (-122.62749 47.565)"/>
    <x v="0"/>
    <s v="53035080500"/>
  </r>
  <r>
    <x v="707"/>
    <x v="1"/>
    <s v="Seattle"/>
    <s v="WA"/>
    <n v="98178"/>
    <x v="3"/>
    <x v="20"/>
    <s v="MODEL Y"/>
    <x v="1"/>
    <s v="Eligibility unknown as battery range has not been researched"/>
    <s v="0"/>
    <s v="0"/>
    <s v="37"/>
    <n v="273489877"/>
    <s v="POINT (-122.23825 47.49461)"/>
    <x v="1"/>
    <s v="53033026101"/>
  </r>
  <r>
    <x v="708"/>
    <x v="1"/>
    <s v="Bellevue"/>
    <s v="WA"/>
    <n v="98004"/>
    <x v="4"/>
    <x v="20"/>
    <s v="MODEL Y"/>
    <x v="1"/>
    <s v="Eligibility unknown as battery range has not been researched"/>
    <s v="0"/>
    <s v="0"/>
    <s v="41"/>
    <n v="276649124"/>
    <s v="POINT (-122.1872 47.61001)"/>
    <x v="1"/>
    <s v="53033023807"/>
  </r>
  <r>
    <x v="708"/>
    <x v="1"/>
    <s v="Seattle"/>
    <s v="WA"/>
    <n v="98118"/>
    <x v="4"/>
    <x v="20"/>
    <s v="MODEL Y"/>
    <x v="1"/>
    <s v="Eligibility unknown as battery range has not been researched"/>
    <s v="0"/>
    <s v="0"/>
    <s v="37"/>
    <n v="276840294"/>
    <s v="POINT (-122.2668 47.55115)"/>
    <x v="4"/>
    <s v="53033010102"/>
  </r>
  <r>
    <x v="709"/>
    <x v="1"/>
    <s v="Bothell"/>
    <s v="WA"/>
    <n v="98011"/>
    <x v="14"/>
    <x v="20"/>
    <s v="MODEL Y"/>
    <x v="1"/>
    <s v="Eligibility unknown as battery range has not been researched"/>
    <s v="0"/>
    <s v="0"/>
    <s v="1"/>
    <n v="279319169"/>
    <s v="POINT (-122.20563 47.76144)"/>
    <x v="1"/>
    <s v="53033021905"/>
  </r>
  <r>
    <x v="710"/>
    <x v="2"/>
    <s v="Bothell"/>
    <s v="WA"/>
    <n v="98012"/>
    <x v="2"/>
    <x v="20"/>
    <s v="MODEL Y"/>
    <x v="1"/>
    <s v="Eligibility unknown as battery range has not been researched"/>
    <s v="0"/>
    <s v="0"/>
    <s v="44"/>
    <n v="196481575"/>
    <s v="POINT (-122.21061 47.83448)"/>
    <x v="0"/>
    <s v="53061052007"/>
  </r>
  <r>
    <x v="710"/>
    <x v="6"/>
    <s v="Gig Harbor"/>
    <s v="WA"/>
    <n v="98335"/>
    <x v="2"/>
    <x v="20"/>
    <s v="MODEL Y"/>
    <x v="1"/>
    <s v="Eligibility unknown as battery range has not been researched"/>
    <s v="0"/>
    <s v="0"/>
    <s v="26"/>
    <n v="186096291"/>
    <s v="POINT (-122.58009 47.328)"/>
    <x v="11"/>
    <s v="53053072408"/>
  </r>
  <r>
    <x v="711"/>
    <x v="0"/>
    <s v="Bainbridge Island"/>
    <s v="WA"/>
    <n v="98110"/>
    <x v="0"/>
    <x v="20"/>
    <s v="MODEL Y"/>
    <x v="1"/>
    <s v="Eligibility unknown as battery range has not been researched"/>
    <s v="0"/>
    <s v="0"/>
    <s v="23"/>
    <n v="255193669"/>
    <s v="POINT (-122.521 47.62732)"/>
    <x v="0"/>
    <s v="53035090800"/>
  </r>
  <r>
    <x v="711"/>
    <x v="1"/>
    <s v="Redmond"/>
    <s v="WA"/>
    <n v="98053"/>
    <x v="0"/>
    <x v="20"/>
    <s v="MODEL Y"/>
    <x v="1"/>
    <s v="Eligibility unknown as battery range has not been researched"/>
    <s v="0"/>
    <s v="0"/>
    <s v="45"/>
    <n v="225733063"/>
    <s v="POINT (-122.03287 47.68555)"/>
    <x v="1"/>
    <s v="53033032315"/>
  </r>
  <r>
    <x v="711"/>
    <x v="1"/>
    <s v="Tukwila"/>
    <s v="WA"/>
    <n v="98178"/>
    <x v="0"/>
    <x v="20"/>
    <s v="MODEL Y"/>
    <x v="1"/>
    <s v="Eligibility unknown as battery range has not been researched"/>
    <s v="0"/>
    <s v="0"/>
    <s v="11"/>
    <n v="260353782"/>
    <s v="POINT (-122.23825 47.49461)"/>
    <x v="4"/>
    <s v="53033026300"/>
  </r>
  <r>
    <x v="712"/>
    <x v="1"/>
    <s v="Auburn"/>
    <s v="WA"/>
    <n v="98092"/>
    <x v="3"/>
    <x v="20"/>
    <s v="MODEL Y"/>
    <x v="1"/>
    <s v="Eligibility unknown as battery range has not been researched"/>
    <s v="0"/>
    <s v="0"/>
    <s v="47"/>
    <n v="269954212"/>
    <s v="POINT (-122.18497 47.28825)"/>
    <x v="1"/>
    <s v="53033031207"/>
  </r>
  <r>
    <x v="713"/>
    <x v="1"/>
    <s v="Seattle"/>
    <s v="WA"/>
    <n v="98119"/>
    <x v="4"/>
    <x v="20"/>
    <s v="MODEL Y"/>
    <x v="1"/>
    <s v="Eligibility unknown as battery range has not been researched"/>
    <s v="0"/>
    <s v="0"/>
    <s v="36"/>
    <n v="276997878"/>
    <s v="POINT (-122.3684 47.64586)"/>
    <x v="4"/>
    <s v="53033006000"/>
  </r>
  <r>
    <x v="714"/>
    <x v="0"/>
    <s v="Bremerton"/>
    <s v="WA"/>
    <n v="98311"/>
    <x v="2"/>
    <x v="20"/>
    <s v="MODEL Y"/>
    <x v="1"/>
    <s v="Eligibility unknown as battery range has not been researched"/>
    <s v="0"/>
    <s v="0"/>
    <s v="23"/>
    <n v="205039621"/>
    <s v="POINT (-122.60915 47.62631)"/>
    <x v="0"/>
    <s v="53035091500"/>
  </r>
  <r>
    <x v="714"/>
    <x v="1"/>
    <s v="Black Diamond"/>
    <s v="WA"/>
    <n v="98010"/>
    <x v="2"/>
    <x v="20"/>
    <s v="MODEL Y"/>
    <x v="1"/>
    <s v="Eligibility unknown as battery range has not been researched"/>
    <s v="0"/>
    <s v="0"/>
    <s v="5"/>
    <n v="218674396"/>
    <s v="POINT (-122.00143 47.30893)"/>
    <x v="1"/>
    <s v="53033031603"/>
  </r>
  <r>
    <x v="714"/>
    <x v="1"/>
    <s v="Bellevue"/>
    <s v="WA"/>
    <n v="98005"/>
    <x v="2"/>
    <x v="20"/>
    <s v="MODEL Y"/>
    <x v="1"/>
    <s v="Eligibility unknown as battery range has not been researched"/>
    <s v="0"/>
    <s v="0"/>
    <s v="41"/>
    <n v="198614573"/>
    <s v="POINT (-122.1621 47.64441)"/>
    <x v="1"/>
    <s v="53033023500"/>
  </r>
  <r>
    <x v="714"/>
    <x v="13"/>
    <s v="Moses Lake"/>
    <s v="WA"/>
    <n v="98837"/>
    <x v="2"/>
    <x v="20"/>
    <s v="MODEL Y"/>
    <x v="1"/>
    <s v="Eligibility unknown as battery range has not been researched"/>
    <s v="0"/>
    <s v="0"/>
    <s v="13"/>
    <n v="223584133"/>
    <s v="POINT (-119.2771 47.13196)"/>
    <x v="10"/>
    <s v="53025011101"/>
  </r>
  <r>
    <x v="715"/>
    <x v="1"/>
    <s v="Auburn"/>
    <s v="WA"/>
    <n v="98092"/>
    <x v="0"/>
    <x v="20"/>
    <s v="MODEL Y"/>
    <x v="1"/>
    <s v="Eligibility unknown as battery range has not been researched"/>
    <s v="0"/>
    <s v="0"/>
    <s v="47"/>
    <n v="252730502"/>
    <s v="POINT (-122.18497 47.28825)"/>
    <x v="1"/>
    <s v="53033029602"/>
  </r>
  <r>
    <x v="715"/>
    <x v="1"/>
    <s v="Sammamish"/>
    <s v="WA"/>
    <n v="98075"/>
    <x v="0"/>
    <x v="20"/>
    <s v="MODEL Y"/>
    <x v="1"/>
    <s v="Eligibility unknown as battery range has not been researched"/>
    <s v="0"/>
    <s v="0"/>
    <s v="41"/>
    <n v="251467401"/>
    <s v="POINT (-122.03539 47.61344)"/>
    <x v="1"/>
    <s v="53033032215"/>
  </r>
  <r>
    <x v="716"/>
    <x v="1"/>
    <s v="Kirkland"/>
    <s v="WA"/>
    <n v="98034"/>
    <x v="3"/>
    <x v="20"/>
    <s v="MODEL Y"/>
    <x v="1"/>
    <s v="Eligibility unknown as battery range has not been researched"/>
    <s v="0"/>
    <s v="0"/>
    <s v="45"/>
    <n v="279930269"/>
    <s v="POINT (-122.22901 47.72201)"/>
    <x v="1"/>
    <s v="53033021903"/>
  </r>
  <r>
    <x v="716"/>
    <x v="1"/>
    <s v="Bellevue"/>
    <s v="WA"/>
    <n v="98004"/>
    <x v="3"/>
    <x v="20"/>
    <s v="MODEL Y"/>
    <x v="1"/>
    <s v="Eligibility unknown as battery range has not been researched"/>
    <s v="0"/>
    <s v="0"/>
    <s v="48"/>
    <n v="285086686"/>
    <s v="POINT (-122.1872 47.61001)"/>
    <x v="1"/>
    <s v="53033023805"/>
  </r>
  <r>
    <x v="717"/>
    <x v="2"/>
    <s v="Snohomish"/>
    <s v="WA"/>
    <n v="98290"/>
    <x v="14"/>
    <x v="20"/>
    <s v="MODEL Y"/>
    <x v="1"/>
    <s v="Eligibility unknown as battery range has not been researched"/>
    <s v="0"/>
    <s v="0"/>
    <s v="39"/>
    <n v="285265074"/>
    <s v="POINT (-122.09305 47.91265)"/>
    <x v="0"/>
    <s v="53061052203"/>
  </r>
  <r>
    <x v="717"/>
    <x v="6"/>
    <s v="Puyallup"/>
    <s v="WA"/>
    <n v="98373"/>
    <x v="14"/>
    <x v="20"/>
    <s v="MODEL Y"/>
    <x v="1"/>
    <s v="Eligibility unknown as battery range has not been researched"/>
    <s v="0"/>
    <s v="0"/>
    <s v="25"/>
    <n v="283414757"/>
    <s v="POINT (-122.2988 47.13795)"/>
    <x v="1"/>
    <s v="53053071207"/>
  </r>
  <r>
    <x v="717"/>
    <x v="6"/>
    <s v="Roy"/>
    <s v="WA"/>
    <n v="98580"/>
    <x v="14"/>
    <x v="20"/>
    <s v="MODEL Y"/>
    <x v="1"/>
    <s v="Eligibility unknown as battery range has not been researched"/>
    <s v="0"/>
    <s v="0"/>
    <s v="2"/>
    <n v="282472305"/>
    <s v="POINT (-122.54332 47.00328)"/>
    <x v="1"/>
    <s v="53053073006"/>
  </r>
  <r>
    <x v="717"/>
    <x v="6"/>
    <s v="Buckley"/>
    <s v="WA"/>
    <n v="98321"/>
    <x v="14"/>
    <x v="20"/>
    <s v="MODEL Y"/>
    <x v="1"/>
    <s v="Eligibility unknown as battery range has not been researched"/>
    <s v="0"/>
    <s v="0"/>
    <s v="31"/>
    <n v="282575527"/>
    <s v="POINT (-122.02523 47.16299)"/>
    <x v="1"/>
    <s v="53053070311"/>
  </r>
  <r>
    <x v="718"/>
    <x v="1"/>
    <s v="Bellevue"/>
    <s v="WA"/>
    <n v="98005"/>
    <x v="0"/>
    <x v="20"/>
    <s v="MODEL Y"/>
    <x v="1"/>
    <s v="Eligibility unknown as battery range has not been researched"/>
    <s v="0"/>
    <s v="0"/>
    <s v="48"/>
    <n v="237891433"/>
    <s v="POINT (-122.1621 47.64441)"/>
    <x v="1"/>
    <s v="53033023701"/>
  </r>
  <r>
    <x v="718"/>
    <x v="8"/>
    <s v="Centralia"/>
    <s v="WA"/>
    <n v="98531"/>
    <x v="0"/>
    <x v="20"/>
    <s v="MODEL Y"/>
    <x v="1"/>
    <s v="Eligibility unknown as battery range has not been researched"/>
    <s v="0"/>
    <s v="0"/>
    <s v="20"/>
    <n v="263820826"/>
    <s v="POINT (-122.95266 46.72895)"/>
    <x v="6"/>
    <s v="53041970300"/>
  </r>
  <r>
    <x v="718"/>
    <x v="2"/>
    <s v="Brier"/>
    <s v="WA"/>
    <n v="98036"/>
    <x v="0"/>
    <x v="20"/>
    <s v="MODEL Y"/>
    <x v="1"/>
    <s v="Eligibility unknown as battery range has not been researched"/>
    <s v="0"/>
    <s v="0"/>
    <s v="1"/>
    <n v="221447572"/>
    <s v="POINT (-122.29245 47.82557)"/>
    <x v="0"/>
    <s v="53061051913"/>
  </r>
  <r>
    <x v="718"/>
    <x v="1"/>
    <s v="Seattle"/>
    <s v="WA"/>
    <n v="98112"/>
    <x v="0"/>
    <x v="20"/>
    <s v="MODEL Y"/>
    <x v="1"/>
    <s v="Eligibility unknown as battery range has not been researched"/>
    <s v="0"/>
    <s v="0"/>
    <s v="43"/>
    <n v="249806336"/>
    <s v="POINT (-122.30207 47.64085)"/>
    <x v="4"/>
    <s v="53033006400"/>
  </r>
  <r>
    <x v="718"/>
    <x v="2"/>
    <s v="Everett"/>
    <s v="WA"/>
    <n v="98204"/>
    <x v="0"/>
    <x v="20"/>
    <s v="MODEL Y"/>
    <x v="1"/>
    <s v="Eligibility unknown as battery range has not been researched"/>
    <s v="0"/>
    <s v="0"/>
    <s v="21"/>
    <n v="255473319"/>
    <s v="POINT (-122.27557 47.88936)"/>
    <x v="0"/>
    <s v="53061041901"/>
  </r>
  <r>
    <x v="719"/>
    <x v="1"/>
    <s v="Seattle"/>
    <s v="WA"/>
    <n v="98119"/>
    <x v="3"/>
    <x v="20"/>
    <s v="MODEL Y"/>
    <x v="1"/>
    <s v="Eligibility unknown as battery range has not been researched"/>
    <s v="0"/>
    <s v="0"/>
    <s v="36"/>
    <n v="273751292"/>
    <s v="POINT (-122.3684 47.64586)"/>
    <x v="4"/>
    <s v="53033007101"/>
  </r>
  <r>
    <x v="719"/>
    <x v="1"/>
    <s v="Kirkland"/>
    <s v="WA"/>
    <n v="98034"/>
    <x v="3"/>
    <x v="20"/>
    <s v="MODEL Y"/>
    <x v="1"/>
    <s v="Eligibility unknown as battery range has not been researched"/>
    <s v="0"/>
    <s v="0"/>
    <s v="45"/>
    <n v="267567282"/>
    <s v="POINT (-122.22901 47.72201)"/>
    <x v="1"/>
    <s v="53033022005"/>
  </r>
  <r>
    <x v="719"/>
    <x v="0"/>
    <s v="Silverdale"/>
    <s v="WA"/>
    <n v="98383"/>
    <x v="3"/>
    <x v="20"/>
    <s v="MODEL Y"/>
    <x v="1"/>
    <s v="Eligibility unknown as battery range has not been researched"/>
    <s v="0"/>
    <s v="0"/>
    <s v="23"/>
    <n v="265245578"/>
    <s v="POINT (-122.69275 47.65171)"/>
    <x v="0"/>
    <s v="53035091205"/>
  </r>
  <r>
    <x v="720"/>
    <x v="2"/>
    <s v="Bothell"/>
    <s v="WA"/>
    <n v="98021"/>
    <x v="2"/>
    <x v="20"/>
    <s v="MODEL Y"/>
    <x v="1"/>
    <s v="Eligibility unknown as battery range has not been researched"/>
    <s v="0"/>
    <s v="0"/>
    <s v="1"/>
    <n v="207328523"/>
    <s v="POINT (-122.18384 47.8031)"/>
    <x v="0"/>
    <s v="53061051918"/>
  </r>
  <r>
    <x v="720"/>
    <x v="2"/>
    <s v="Bothell"/>
    <s v="WA"/>
    <n v="98021"/>
    <x v="2"/>
    <x v="20"/>
    <s v="MODEL Y"/>
    <x v="1"/>
    <s v="Eligibility unknown as battery range has not been researched"/>
    <s v="0"/>
    <s v="0"/>
    <s v="1"/>
    <n v="202065174"/>
    <s v="POINT (-122.18384 47.8031)"/>
    <x v="0"/>
    <s v="53061051926"/>
  </r>
  <r>
    <x v="720"/>
    <x v="1"/>
    <s v="Federal Way"/>
    <s v="WA"/>
    <n v="98023"/>
    <x v="2"/>
    <x v="20"/>
    <s v="MODEL Y"/>
    <x v="1"/>
    <s v="Eligibility unknown as battery range has not been researched"/>
    <s v="0"/>
    <s v="0"/>
    <s v="30"/>
    <n v="212376720"/>
    <s v="POINT (-122.34059 47.32478)"/>
    <x v="1"/>
    <s v="53033030304"/>
  </r>
  <r>
    <x v="721"/>
    <x v="2"/>
    <s v="Monroe"/>
    <s v="WA"/>
    <n v="98272"/>
    <x v="0"/>
    <x v="20"/>
    <s v="MODEL Y"/>
    <x v="1"/>
    <s v="Eligibility unknown as battery range has not been researched"/>
    <s v="0"/>
    <s v="0"/>
    <s v="39"/>
    <n v="229452996"/>
    <s v="POINT (-121.98087 47.8526)"/>
    <x v="0"/>
    <s v="53061052203"/>
  </r>
  <r>
    <x v="721"/>
    <x v="1"/>
    <s v="Seattle"/>
    <s v="WA"/>
    <n v="98116"/>
    <x v="0"/>
    <x v="20"/>
    <s v="MODEL Y"/>
    <x v="1"/>
    <s v="Eligibility unknown as battery range has not been researched"/>
    <s v="0"/>
    <s v="0"/>
    <s v="34"/>
    <n v="227282359"/>
    <s v="POINT (-122.41067 47.57894)"/>
    <x v="4"/>
    <s v="53033009801"/>
  </r>
  <r>
    <x v="721"/>
    <x v="1"/>
    <s v="Redmond"/>
    <s v="WA"/>
    <n v="98052"/>
    <x v="0"/>
    <x v="20"/>
    <s v="MODEL Y"/>
    <x v="1"/>
    <s v="Eligibility unknown as battery range has not been researched"/>
    <s v="0"/>
    <s v="0"/>
    <s v="48"/>
    <n v="240729394"/>
    <s v="POINT (-122.13158 47.67858)"/>
    <x v="1"/>
    <s v="53033032331"/>
  </r>
  <r>
    <x v="721"/>
    <x v="1"/>
    <s v="Federal Way"/>
    <s v="WA"/>
    <n v="98023"/>
    <x v="0"/>
    <x v="20"/>
    <s v="MODEL Y"/>
    <x v="1"/>
    <s v="Eligibility unknown as battery range has not been researched"/>
    <s v="0"/>
    <s v="0"/>
    <s v="30"/>
    <n v="255293223"/>
    <s v="POINT (-122.34059 47.32478)"/>
    <x v="1"/>
    <s v="53033030101"/>
  </r>
  <r>
    <x v="721"/>
    <x v="1"/>
    <s v="Kirkland"/>
    <s v="WA"/>
    <n v="98033"/>
    <x v="0"/>
    <x v="20"/>
    <s v="MODEL Y"/>
    <x v="1"/>
    <s v="Eligibility unknown as battery range has not been researched"/>
    <s v="0"/>
    <s v="0"/>
    <s v="48"/>
    <n v="256427160"/>
    <s v="POINT (-122.2066 47.67887)"/>
    <x v="1"/>
    <s v="53033022603"/>
  </r>
  <r>
    <x v="721"/>
    <x v="1"/>
    <s v="Redmond"/>
    <s v="WA"/>
    <n v="98052"/>
    <x v="0"/>
    <x v="20"/>
    <s v="MODEL Y"/>
    <x v="1"/>
    <s v="Eligibility unknown as battery range has not been researched"/>
    <s v="0"/>
    <s v="0"/>
    <s v="45"/>
    <n v="249751967"/>
    <s v="POINT (-122.13158 47.67858)"/>
    <x v="1"/>
    <s v="53033032323"/>
  </r>
  <r>
    <x v="721"/>
    <x v="2"/>
    <s v="Woodway"/>
    <s v="WA"/>
    <n v="98020"/>
    <x v="0"/>
    <x v="20"/>
    <s v="MODEL Y"/>
    <x v="1"/>
    <s v="Eligibility unknown as battery range has not been researched"/>
    <s v="0"/>
    <s v="0"/>
    <s v="32"/>
    <n v="260474868"/>
    <s v="POINT (-122.37689 47.81116)"/>
    <x v="0"/>
    <s v="53061050600"/>
  </r>
  <r>
    <x v="722"/>
    <x v="1"/>
    <s v="Bellevue"/>
    <s v="WA"/>
    <n v="98004"/>
    <x v="3"/>
    <x v="20"/>
    <s v="MODEL Y"/>
    <x v="1"/>
    <s v="Eligibility unknown as battery range has not been researched"/>
    <s v="0"/>
    <s v="0"/>
    <s v="41"/>
    <n v="270725654"/>
    <s v="POINT (-122.1872 47.61001)"/>
    <x v="1"/>
    <s v="53033023801"/>
  </r>
  <r>
    <x v="722"/>
    <x v="2"/>
    <s v="Mukilteo"/>
    <s v="WA"/>
    <n v="98275"/>
    <x v="3"/>
    <x v="20"/>
    <s v="MODEL Y"/>
    <x v="1"/>
    <s v="Eligibility unknown as battery range has not been researched"/>
    <s v="0"/>
    <s v="0"/>
    <s v="21"/>
    <n v="263031338"/>
    <s v="POINT (-122.29196 47.89908)"/>
    <x v="0"/>
    <s v="53061042005"/>
  </r>
  <r>
    <x v="723"/>
    <x v="1"/>
    <s v="Bellevue"/>
    <s v="WA"/>
    <n v="98007"/>
    <x v="4"/>
    <x v="20"/>
    <s v="MODEL Y"/>
    <x v="1"/>
    <s v="Eligibility unknown as battery range has not been researched"/>
    <s v="0"/>
    <s v="0"/>
    <s v="48"/>
    <n v="276359807"/>
    <s v="POINT (-122.12056 47.61334)"/>
    <x v="1"/>
    <s v="53033023201"/>
  </r>
  <r>
    <x v="723"/>
    <x v="1"/>
    <s v="Renton"/>
    <s v="WA"/>
    <n v="98057"/>
    <x v="4"/>
    <x v="20"/>
    <s v="MODEL Y"/>
    <x v="1"/>
    <s v="Eligibility unknown as battery range has not been researched"/>
    <s v="0"/>
    <s v="0"/>
    <s v="37"/>
    <n v="277013551"/>
    <s v="POINT (-122.20489 47.47532)"/>
    <x v="1"/>
    <s v="53033025302"/>
  </r>
  <r>
    <x v="724"/>
    <x v="4"/>
    <s v="Camas"/>
    <s v="WA"/>
    <n v="98607"/>
    <x v="14"/>
    <x v="20"/>
    <s v="MODEL Y"/>
    <x v="1"/>
    <s v="Eligibility unknown as battery range has not been researched"/>
    <s v="0"/>
    <s v="0"/>
    <s v="18"/>
    <n v="282073347"/>
    <s v="POINT (-122.40199 45.58694)"/>
    <x v="3"/>
    <s v="53011040608"/>
  </r>
  <r>
    <x v="724"/>
    <x v="1"/>
    <s v="Medina"/>
    <s v="WA"/>
    <n v="98039"/>
    <x v="14"/>
    <x v="20"/>
    <s v="MODEL Y"/>
    <x v="1"/>
    <s v="Eligibility unknown as battery range has not been researched"/>
    <s v="0"/>
    <s v="0"/>
    <s v="48"/>
    <n v="282521536"/>
    <s v="POINT (-122.23892 47.61613)"/>
    <x v="4"/>
    <s v="53033024200"/>
  </r>
  <r>
    <x v="725"/>
    <x v="1"/>
    <s v="Seattle"/>
    <s v="WA"/>
    <n v="98109"/>
    <x v="2"/>
    <x v="20"/>
    <s v="MODEL Y"/>
    <x v="1"/>
    <s v="Eligibility unknown as battery range has not been researched"/>
    <s v="0"/>
    <s v="0"/>
    <s v="36"/>
    <n v="279273179"/>
    <s v="POINT (-122.35022 47.63824)"/>
    <x v="4"/>
    <s v="53033006000"/>
  </r>
  <r>
    <x v="726"/>
    <x v="2"/>
    <s v="Brier"/>
    <s v="WA"/>
    <n v="98036"/>
    <x v="0"/>
    <x v="20"/>
    <s v="MODEL Y"/>
    <x v="1"/>
    <s v="Eligibility unknown as battery range has not been researched"/>
    <s v="0"/>
    <s v="0"/>
    <s v="1"/>
    <n v="252490906"/>
    <s v="POINT (-122.29245 47.82557)"/>
    <x v="0"/>
    <s v="53061051914"/>
  </r>
  <r>
    <x v="726"/>
    <x v="1"/>
    <s v="Bellevue"/>
    <s v="WA"/>
    <n v="98004"/>
    <x v="0"/>
    <x v="20"/>
    <s v="MODEL Y"/>
    <x v="1"/>
    <s v="Eligibility unknown as battery range has not been researched"/>
    <s v="0"/>
    <s v="0"/>
    <s v="41"/>
    <n v="286394202"/>
    <s v="POINT (-122.1872 47.61001)"/>
    <x v="1"/>
    <s v="53033023901"/>
  </r>
  <r>
    <x v="727"/>
    <x v="2"/>
    <s v="Bothell"/>
    <s v="WA"/>
    <n v="98012"/>
    <x v="3"/>
    <x v="20"/>
    <s v="MODEL Y"/>
    <x v="1"/>
    <s v="Eligibility unknown as battery range has not been researched"/>
    <s v="0"/>
    <s v="0"/>
    <s v="21"/>
    <n v="267986232"/>
    <s v="POINT (-122.21061 47.83448)"/>
    <x v="0"/>
    <s v="53061051927"/>
  </r>
  <r>
    <x v="728"/>
    <x v="1"/>
    <s v="Snoqualmie"/>
    <s v="WA"/>
    <n v="98065"/>
    <x v="4"/>
    <x v="20"/>
    <s v="MODEL Y"/>
    <x v="1"/>
    <s v="Eligibility unknown as battery range has not been researched"/>
    <s v="0"/>
    <s v="0"/>
    <s v="5"/>
    <n v="274580008"/>
    <s v="POINT (-121.82432 47.52716)"/>
    <x v="1"/>
    <s v="53033032604"/>
  </r>
  <r>
    <x v="729"/>
    <x v="1"/>
    <s v="Bellevue"/>
    <s v="WA"/>
    <n v="98008"/>
    <x v="14"/>
    <x v="20"/>
    <s v="MODEL Y"/>
    <x v="1"/>
    <s v="Eligibility unknown as battery range has not been researched"/>
    <s v="0"/>
    <s v="0"/>
    <s v="48"/>
    <n v="282371946"/>
    <s v="POINT (-122.11867 47.63131)"/>
    <x v="1"/>
    <s v="53033023000"/>
  </r>
  <r>
    <x v="730"/>
    <x v="1"/>
    <s v="Seattle"/>
    <s v="WA"/>
    <n v="98126"/>
    <x v="0"/>
    <x v="20"/>
    <s v="MODEL Y"/>
    <x v="1"/>
    <s v="Eligibility unknown as battery range has not been researched"/>
    <s v="0"/>
    <s v="0"/>
    <s v="34"/>
    <n v="227140182"/>
    <s v="POINT (-122.36893 47.54701)"/>
    <x v="4"/>
    <s v="53033011500"/>
  </r>
  <r>
    <x v="730"/>
    <x v="1"/>
    <s v="Renton"/>
    <s v="WA"/>
    <n v="98056"/>
    <x v="0"/>
    <x v="20"/>
    <s v="MODEL Y"/>
    <x v="1"/>
    <s v="Eligibility unknown as battery range has not been researched"/>
    <s v="0"/>
    <s v="0"/>
    <s v="41"/>
    <n v="250972200"/>
    <s v="POINT (-122.2044 47.52136)"/>
    <x v="1"/>
    <s v="53033024704"/>
  </r>
  <r>
    <x v="730"/>
    <x v="7"/>
    <s v="Lacey"/>
    <s v="WA"/>
    <n v="98503"/>
    <x v="0"/>
    <x v="20"/>
    <s v="MODEL Y"/>
    <x v="1"/>
    <s v="Eligibility unknown as battery range has not been researched"/>
    <s v="0"/>
    <s v="0"/>
    <s v="22"/>
    <n v="237670611"/>
    <s v="POINT (-122.82324 47.04437)"/>
    <x v="0"/>
    <s v="53067011625"/>
  </r>
  <r>
    <x v="731"/>
    <x v="1"/>
    <s v="Kirkland"/>
    <s v="WA"/>
    <n v="98033"/>
    <x v="3"/>
    <x v="20"/>
    <s v="MODEL Y"/>
    <x v="1"/>
    <s v="Eligibility unknown as battery range has not been researched"/>
    <s v="0"/>
    <s v="0"/>
    <s v="48"/>
    <n v="261810482"/>
    <s v="POINT (-122.2066 47.67887)"/>
    <x v="1"/>
    <s v="53033022702"/>
  </r>
  <r>
    <x v="731"/>
    <x v="2"/>
    <s v="Gold Bar"/>
    <s v="WA"/>
    <n v="98251"/>
    <x v="3"/>
    <x v="20"/>
    <s v="MODEL Y"/>
    <x v="1"/>
    <s v="Eligibility unknown as battery range has not been researched"/>
    <s v="0"/>
    <s v="0"/>
    <s v="39"/>
    <n v="266592455"/>
    <s v="POINT (-121.69743 47.85565)"/>
    <x v="5"/>
    <s v="53061053803"/>
  </r>
  <r>
    <x v="732"/>
    <x v="6"/>
    <s v="Gig Harbor"/>
    <s v="WA"/>
    <n v="98332"/>
    <x v="4"/>
    <x v="20"/>
    <s v="MODEL Y"/>
    <x v="1"/>
    <s v="Eligibility unknown as battery range has not been researched"/>
    <s v="0"/>
    <s v="0"/>
    <s v="26"/>
    <n v="275478073"/>
    <s v="POINT (-122.59044 47.34236)"/>
    <x v="11"/>
    <s v="53053072509"/>
  </r>
  <r>
    <x v="732"/>
    <x v="6"/>
    <s v="Edgewood"/>
    <s v="WA"/>
    <n v="98372"/>
    <x v="4"/>
    <x v="20"/>
    <s v="MODEL Y"/>
    <x v="1"/>
    <s v="Eligibility unknown as battery range has not been researched"/>
    <s v="0"/>
    <s v="0"/>
    <s v="31"/>
    <n v="275575345"/>
    <s v="POINT (-122.28596 47.19183)"/>
    <x v="1"/>
    <s v="53053073502"/>
  </r>
  <r>
    <x v="733"/>
    <x v="1"/>
    <s v="Sammamish"/>
    <s v="WA"/>
    <n v="98075"/>
    <x v="14"/>
    <x v="20"/>
    <s v="MODEL Y"/>
    <x v="1"/>
    <s v="Eligibility unknown as battery range has not been researched"/>
    <s v="0"/>
    <s v="0"/>
    <s v="41"/>
    <n v="279309089"/>
    <s v="POINT (-122.03539 47.61344)"/>
    <x v="1"/>
    <s v="53033032224"/>
  </r>
  <r>
    <x v="734"/>
    <x v="31"/>
    <s v="Ocean Park"/>
    <s v="WA"/>
    <n v="98640"/>
    <x v="2"/>
    <x v="20"/>
    <s v="MODEL Y"/>
    <x v="1"/>
    <s v="Eligibility unknown as battery range has not been researched"/>
    <s v="0"/>
    <s v="0"/>
    <s v="19"/>
    <n v="194248295"/>
    <s v="POINT (-124.04987 46.49147)"/>
    <x v="34"/>
    <s v="53049950701"/>
  </r>
  <r>
    <x v="734"/>
    <x v="1"/>
    <s v="Seattle"/>
    <s v="WA"/>
    <n v="98118"/>
    <x v="2"/>
    <x v="20"/>
    <s v="MODEL Y"/>
    <x v="1"/>
    <s v="Eligibility unknown as battery range has not been researched"/>
    <s v="0"/>
    <s v="0"/>
    <s v="37"/>
    <n v="278032646"/>
    <s v="POINT (-122.2668 47.55115)"/>
    <x v="4"/>
    <s v="53033011001"/>
  </r>
  <r>
    <x v="734"/>
    <x v="11"/>
    <s v="Burlington"/>
    <s v="WA"/>
    <n v="98233"/>
    <x v="2"/>
    <x v="20"/>
    <s v="MODEL Y"/>
    <x v="1"/>
    <s v="Eligibility unknown as battery range has not been researched"/>
    <s v="0"/>
    <s v="0"/>
    <s v="10"/>
    <n v="206905779"/>
    <s v="POINT (-122.33029 48.46846)"/>
    <x v="0"/>
    <s v="53057951900"/>
  </r>
  <r>
    <x v="735"/>
    <x v="7"/>
    <s v="Olympia"/>
    <s v="WA"/>
    <n v="98501"/>
    <x v="0"/>
    <x v="20"/>
    <s v="MODEL Y"/>
    <x v="1"/>
    <s v="Eligibility unknown as battery range has not been researched"/>
    <s v="0"/>
    <s v="0"/>
    <s v="22"/>
    <n v="229972319"/>
    <s v="POINT (-122.89165 47.03954)"/>
    <x v="0"/>
    <s v="53067010700"/>
  </r>
  <r>
    <x v="735"/>
    <x v="1"/>
    <s v="Bellevue"/>
    <s v="WA"/>
    <n v="98005"/>
    <x v="0"/>
    <x v="20"/>
    <s v="MODEL Y"/>
    <x v="1"/>
    <s v="Eligibility unknown as battery range has not been researched"/>
    <s v="0"/>
    <s v="0"/>
    <s v="41"/>
    <n v="239006820"/>
    <s v="POINT (-122.1621 47.64441)"/>
    <x v="1"/>
    <s v="53033023604"/>
  </r>
  <r>
    <x v="735"/>
    <x v="1"/>
    <s v="Redmond"/>
    <s v="WA"/>
    <n v="98053"/>
    <x v="0"/>
    <x v="20"/>
    <s v="MODEL Y"/>
    <x v="1"/>
    <s v="Eligibility unknown as battery range has not been researched"/>
    <s v="0"/>
    <s v="0"/>
    <s v="45"/>
    <n v="232956629"/>
    <s v="POINT (-122.03287 47.68555)"/>
    <x v="1"/>
    <s v="53033032333"/>
  </r>
  <r>
    <x v="735"/>
    <x v="4"/>
    <s v="Camas"/>
    <s v="WA"/>
    <n v="98607"/>
    <x v="0"/>
    <x v="20"/>
    <s v="MODEL Y"/>
    <x v="1"/>
    <s v="Eligibility unknown as battery range has not been researched"/>
    <s v="0"/>
    <s v="0"/>
    <s v="18"/>
    <n v="241478520"/>
    <s v="POINT (-122.40199 45.58694)"/>
    <x v="3"/>
    <s v="53011040609"/>
  </r>
  <r>
    <x v="735"/>
    <x v="1"/>
    <s v="Sammamish"/>
    <s v="WA"/>
    <n v="98074"/>
    <x v="0"/>
    <x v="20"/>
    <s v="MODEL Y"/>
    <x v="1"/>
    <s v="Eligibility unknown as battery range has not been researched"/>
    <s v="0"/>
    <s v="0"/>
    <s v="45"/>
    <n v="239968760"/>
    <s v="POINT (-122.02054 47.60326)"/>
    <x v="1"/>
    <s v="53033032225"/>
  </r>
  <r>
    <x v="735"/>
    <x v="0"/>
    <s v="Hansville"/>
    <s v="WA"/>
    <n v="98340"/>
    <x v="0"/>
    <x v="20"/>
    <s v="MODEL Y"/>
    <x v="1"/>
    <s v="Eligibility unknown as battery range has not been researched"/>
    <s v="0"/>
    <s v="0"/>
    <s v="23"/>
    <n v="252001760"/>
    <s v="POINT (-122.54758 47.91795)"/>
    <x v="0"/>
    <s v="53035090101"/>
  </r>
  <r>
    <x v="735"/>
    <x v="1"/>
    <s v="Kent"/>
    <s v="WA"/>
    <n v="98030"/>
    <x v="0"/>
    <x v="20"/>
    <s v="MODEL Y"/>
    <x v="1"/>
    <s v="Eligibility unknown as battery range has not been researched"/>
    <s v="0"/>
    <s v="0"/>
    <s v="33"/>
    <n v="255358267"/>
    <s v="POINT (-122.224 47.37943)"/>
    <x v="1"/>
    <s v="53033029702"/>
  </r>
  <r>
    <x v="736"/>
    <x v="1"/>
    <s v="Bellevue"/>
    <s v="WA"/>
    <n v="98004"/>
    <x v="3"/>
    <x v="20"/>
    <s v="MODEL Y"/>
    <x v="1"/>
    <s v="Eligibility unknown as battery range has not been researched"/>
    <s v="0"/>
    <s v="0"/>
    <s v="48"/>
    <n v="261726916"/>
    <s v="POINT (-122.1872 47.61001)"/>
    <x v="1"/>
    <s v="53033024002"/>
  </r>
  <r>
    <x v="736"/>
    <x v="1"/>
    <s v="Renton"/>
    <s v="WA"/>
    <n v="98059"/>
    <x v="3"/>
    <x v="20"/>
    <s v="MODEL Y"/>
    <x v="1"/>
    <s v="Eligibility unknown as battery range has not been researched"/>
    <s v="0"/>
    <s v="0"/>
    <s v="5"/>
    <n v="262364189"/>
    <s v="POINT (-122.16335 47.53505)"/>
    <x v="1"/>
    <s v="53033031912"/>
  </r>
  <r>
    <x v="736"/>
    <x v="6"/>
    <s v="Buckley"/>
    <s v="WA"/>
    <n v="98321"/>
    <x v="3"/>
    <x v="20"/>
    <s v="MODEL Y"/>
    <x v="1"/>
    <s v="Eligibility unknown as battery range has not been researched"/>
    <s v="0"/>
    <s v="0"/>
    <s v="31"/>
    <n v="267492935"/>
    <s v="POINT (-122.02523 47.16299)"/>
    <x v="1"/>
    <s v="53053070206"/>
  </r>
  <r>
    <x v="737"/>
    <x v="4"/>
    <s v="Vancouver"/>
    <s v="WA"/>
    <n v="98683"/>
    <x v="4"/>
    <x v="20"/>
    <s v="MODEL Y"/>
    <x v="1"/>
    <s v="Eligibility unknown as battery range has not been researched"/>
    <s v="0"/>
    <s v="0"/>
    <s v="18"/>
    <n v="276412055"/>
    <s v="POINT (-122.49212 45.60365)"/>
    <x v="3"/>
    <s v="53011041329"/>
  </r>
  <r>
    <x v="737"/>
    <x v="1"/>
    <s v="Auburn"/>
    <s v="WA"/>
    <n v="98092"/>
    <x v="4"/>
    <x v="20"/>
    <s v="MODEL Y"/>
    <x v="1"/>
    <s v="Eligibility unknown as battery range has not been researched"/>
    <s v="0"/>
    <s v="0"/>
    <s v="47"/>
    <n v="276452487"/>
    <s v="POINT (-122.18497 47.28825)"/>
    <x v="1"/>
    <s v="53033029602"/>
  </r>
  <r>
    <x v="738"/>
    <x v="28"/>
    <s v="Pullman"/>
    <s v="WA"/>
    <n v="99163"/>
    <x v="14"/>
    <x v="20"/>
    <s v="MODEL Y"/>
    <x v="1"/>
    <s v="Eligibility unknown as battery range has not been researched"/>
    <s v="0"/>
    <s v="0"/>
    <s v="9"/>
    <n v="284689765"/>
    <s v="POINT (-117.18147 46.73015)"/>
    <x v="9"/>
    <s v="53075000400"/>
  </r>
  <r>
    <x v="738"/>
    <x v="1"/>
    <s v="Kent"/>
    <s v="WA"/>
    <n v="98031"/>
    <x v="14"/>
    <x v="20"/>
    <s v="MODEL Y"/>
    <x v="1"/>
    <s v="Eligibility unknown as battery range has not been researched"/>
    <s v="0"/>
    <s v="0"/>
    <s v="47"/>
    <n v="284145116"/>
    <s v="POINT (-122.17743 47.41185)"/>
    <x v="1"/>
    <s v="53033029406"/>
  </r>
  <r>
    <x v="738"/>
    <x v="1"/>
    <s v="Burien"/>
    <s v="WA"/>
    <n v="98168"/>
    <x v="14"/>
    <x v="20"/>
    <s v="MODEL Y"/>
    <x v="1"/>
    <s v="Eligibility unknown as battery range has not been researched"/>
    <s v="0"/>
    <s v="0"/>
    <s v="33"/>
    <n v="286157987"/>
    <s v="POINT (-122.3317 47.50314)"/>
    <x v="4"/>
    <s v="53033027400"/>
  </r>
  <r>
    <x v="739"/>
    <x v="4"/>
    <s v="Vancouver"/>
    <s v="WA"/>
    <n v="98683"/>
    <x v="2"/>
    <x v="20"/>
    <s v="MODEL Y"/>
    <x v="1"/>
    <s v="Eligibility unknown as battery range has not been researched"/>
    <s v="0"/>
    <s v="0"/>
    <s v="17"/>
    <n v="223725813"/>
    <s v="POINT (-122.49212 45.60365)"/>
    <x v="3"/>
    <s v="53011041310"/>
  </r>
  <r>
    <x v="739"/>
    <x v="1"/>
    <s v="Bellevue"/>
    <s v="WA"/>
    <n v="98004"/>
    <x v="2"/>
    <x v="20"/>
    <s v="MODEL Y"/>
    <x v="1"/>
    <s v="Eligibility unknown as battery range has not been researched"/>
    <s v="0"/>
    <s v="0"/>
    <s v="48"/>
    <n v="205423508"/>
    <s v="POINT (-122.1872 47.61001)"/>
    <x v="1"/>
    <s v="53033023701"/>
  </r>
  <r>
    <x v="740"/>
    <x v="2"/>
    <s v="Snohomish"/>
    <s v="WA"/>
    <n v="98290"/>
    <x v="0"/>
    <x v="20"/>
    <s v="MODEL Y"/>
    <x v="1"/>
    <s v="Eligibility unknown as battery range has not been researched"/>
    <s v="0"/>
    <s v="0"/>
    <s v="44"/>
    <n v="261176093"/>
    <s v="POINT (-122.09305 47.91265)"/>
    <x v="0"/>
    <s v="53061052302"/>
  </r>
  <r>
    <x v="740"/>
    <x v="1"/>
    <s v="Maple Valley"/>
    <s v="WA"/>
    <n v="98038"/>
    <x v="0"/>
    <x v="20"/>
    <s v="MODEL Y"/>
    <x v="1"/>
    <s v="Eligibility unknown as battery range has not been researched"/>
    <s v="0"/>
    <s v="0"/>
    <s v="5"/>
    <n v="221431948"/>
    <s v="POINT (-122.04526 47.39394)"/>
    <x v="1"/>
    <s v="53033031604"/>
  </r>
  <r>
    <x v="740"/>
    <x v="1"/>
    <s v="Bellevue"/>
    <s v="WA"/>
    <n v="98004"/>
    <x v="0"/>
    <x v="20"/>
    <s v="MODEL Y"/>
    <x v="1"/>
    <s v="Eligibility unknown as battery range has not been researched"/>
    <s v="0"/>
    <s v="0"/>
    <s v="41"/>
    <n v="240511575"/>
    <s v="POINT (-122.1872 47.61001)"/>
    <x v="1"/>
    <s v="53033023808"/>
  </r>
  <r>
    <x v="740"/>
    <x v="2"/>
    <s v="Marysville"/>
    <s v="WA"/>
    <n v="98270"/>
    <x v="0"/>
    <x v="20"/>
    <s v="MODEL Y"/>
    <x v="1"/>
    <s v="Eligibility unknown as battery range has not been researched"/>
    <s v="0"/>
    <s v="0"/>
    <s v="44"/>
    <n v="244285107"/>
    <s v="POINT (-122.1769 48.06114)"/>
    <x v="0"/>
    <s v="53061052710"/>
  </r>
  <r>
    <x v="740"/>
    <x v="1"/>
    <s v="Seattle"/>
    <s v="WA"/>
    <n v="98121"/>
    <x v="0"/>
    <x v="20"/>
    <s v="MODEL Y"/>
    <x v="1"/>
    <s v="Eligibility unknown as battery range has not been researched"/>
    <s v="0"/>
    <s v="0"/>
    <s v="36"/>
    <n v="240301204"/>
    <s v="POINT (-122.34468 47.61578)"/>
    <x v="4"/>
    <s v="53033007201"/>
  </r>
  <r>
    <x v="741"/>
    <x v="1"/>
    <s v="Seattle"/>
    <s v="WA"/>
    <n v="98119"/>
    <x v="3"/>
    <x v="20"/>
    <s v="MODEL Y"/>
    <x v="1"/>
    <s v="Eligibility unknown as battery range has not been researched"/>
    <s v="0"/>
    <s v="0"/>
    <s v="36"/>
    <n v="272598406"/>
    <s v="POINT (-122.3684 47.64586)"/>
    <x v="4"/>
    <s v="53033005902"/>
  </r>
  <r>
    <x v="742"/>
    <x v="2"/>
    <s v="Mukilteo"/>
    <s v="WA"/>
    <n v="98275"/>
    <x v="4"/>
    <x v="20"/>
    <s v="MODEL Y"/>
    <x v="1"/>
    <s v="Eligibility unknown as battery range has not been researched"/>
    <s v="0"/>
    <s v="0"/>
    <s v="21"/>
    <n v="276062328"/>
    <s v="POINT (-122.29196 47.89908)"/>
    <x v="0"/>
    <s v="53061042005"/>
  </r>
  <r>
    <x v="742"/>
    <x v="6"/>
    <s v="Gig Harbor"/>
    <s v="WA"/>
    <n v="98335"/>
    <x v="4"/>
    <x v="20"/>
    <s v="MODEL Y"/>
    <x v="1"/>
    <s v="Eligibility unknown as battery range has not been researched"/>
    <s v="0"/>
    <s v="0"/>
    <s v="26"/>
    <n v="275746320"/>
    <s v="POINT (-122.58009 47.328)"/>
    <x v="11"/>
    <s v="53053072406"/>
  </r>
  <r>
    <x v="743"/>
    <x v="21"/>
    <s v="White Salmon"/>
    <s v="WA"/>
    <n v="98672"/>
    <x v="14"/>
    <x v="20"/>
    <s v="MODEL Y"/>
    <x v="1"/>
    <s v="Eligibility unknown as battery range has not been researched"/>
    <s v="0"/>
    <s v="0"/>
    <s v="14"/>
    <n v="284520799"/>
    <s v="POINT (-121.48704 45.72776)"/>
    <x v="21"/>
    <s v="53039950301"/>
  </r>
  <r>
    <x v="744"/>
    <x v="1"/>
    <s v="Seattle"/>
    <s v="WA"/>
    <n v="98144"/>
    <x v="2"/>
    <x v="20"/>
    <s v="MODEL Y"/>
    <x v="1"/>
    <s v="Eligibility unknown as battery range has not been researched"/>
    <s v="0"/>
    <s v="0"/>
    <s v="37"/>
    <n v="202810555"/>
    <s v="POINT (-122.30866 47.57874)"/>
    <x v="4"/>
    <s v="53033010002"/>
  </r>
  <r>
    <x v="744"/>
    <x v="1"/>
    <s v="Renton"/>
    <s v="WA"/>
    <n v="98059"/>
    <x v="2"/>
    <x v="20"/>
    <s v="MODEL Y"/>
    <x v="1"/>
    <s v="Eligibility unknown as battery range has not been researched"/>
    <s v="0"/>
    <s v="0"/>
    <s v="11"/>
    <n v="190117847"/>
    <s v="POINT (-122.16335 47.53505)"/>
    <x v="1"/>
    <s v="53033025101"/>
  </r>
  <r>
    <x v="744"/>
    <x v="1"/>
    <s v="Kirkland"/>
    <s v="WA"/>
    <n v="98033"/>
    <x v="2"/>
    <x v="20"/>
    <s v="MODEL Y"/>
    <x v="1"/>
    <s v="Eligibility unknown as battery range has not been researched"/>
    <s v="0"/>
    <s v="0"/>
    <s v="45"/>
    <n v="220436534"/>
    <s v="POINT (-122.2066 47.67887)"/>
    <x v="1"/>
    <s v="53033022401"/>
  </r>
  <r>
    <x v="745"/>
    <x v="1"/>
    <s v="Kirkland"/>
    <s v="WA"/>
    <n v="98033"/>
    <x v="0"/>
    <x v="20"/>
    <s v="MODEL Y"/>
    <x v="1"/>
    <s v="Eligibility unknown as battery range has not been researched"/>
    <s v="0"/>
    <s v="0"/>
    <s v="48"/>
    <n v="227221011"/>
    <s v="POINT (-122.2066 47.67887)"/>
    <x v="1"/>
    <s v="53033022701"/>
  </r>
  <r>
    <x v="745"/>
    <x v="4"/>
    <s v="Washougal"/>
    <s v="WA"/>
    <n v="98671"/>
    <x v="0"/>
    <x v="20"/>
    <s v="MODEL Y"/>
    <x v="1"/>
    <s v="Eligibility unknown as battery range has not been researched"/>
    <s v="0"/>
    <s v="0"/>
    <s v="18"/>
    <n v="262653051"/>
    <s v="POINT (-122.35341 45.57923)"/>
    <x v="3"/>
    <s v="53011040513"/>
  </r>
  <r>
    <x v="745"/>
    <x v="1"/>
    <s v="Federal Way"/>
    <s v="WA"/>
    <n v="98023"/>
    <x v="0"/>
    <x v="20"/>
    <s v="MODEL Y"/>
    <x v="1"/>
    <s v="Eligibility unknown as battery range has not been researched"/>
    <s v="0"/>
    <s v="0"/>
    <s v="30"/>
    <n v="245629744"/>
    <s v="POINT (-122.34059 47.32478)"/>
    <x v="1"/>
    <s v="53033030101"/>
  </r>
  <r>
    <x v="745"/>
    <x v="22"/>
    <s v="Deming"/>
    <s v="WA"/>
    <n v="98244"/>
    <x v="0"/>
    <x v="20"/>
    <s v="MODEL Y"/>
    <x v="1"/>
    <s v="Eligibility unknown as battery range has not been researched"/>
    <s v="0"/>
    <s v="0"/>
    <s v="42"/>
    <n v="238916562"/>
    <s v="POINT (-122.21723 48.82651)"/>
    <x v="23"/>
    <s v="53073010103"/>
  </r>
  <r>
    <x v="745"/>
    <x v="1"/>
    <s v="Burien"/>
    <s v="WA"/>
    <n v="98166"/>
    <x v="0"/>
    <x v="20"/>
    <s v="MODEL Y"/>
    <x v="1"/>
    <s v="Eligibility unknown as battery range has not been researched"/>
    <s v="0"/>
    <s v="0"/>
    <s v="34"/>
    <n v="262644238"/>
    <s v="POINT (-122.34134 47.46593)"/>
    <x v="1"/>
    <s v="53033027800"/>
  </r>
  <r>
    <x v="745"/>
    <x v="2"/>
    <s v="Marysville"/>
    <s v="WA"/>
    <n v="98271"/>
    <x v="0"/>
    <x v="20"/>
    <s v="MODEL Y"/>
    <x v="1"/>
    <s v="Eligibility unknown as battery range has not been researched"/>
    <s v="0"/>
    <s v="0"/>
    <s v="38"/>
    <n v="221165724"/>
    <s v="POINT (-122.1677 48.11026)"/>
    <x v="0"/>
    <s v="53061940002"/>
  </r>
  <r>
    <x v="745"/>
    <x v="2"/>
    <s v="Everett"/>
    <s v="WA"/>
    <n v="98208"/>
    <x v="0"/>
    <x v="20"/>
    <s v="MODEL Y"/>
    <x v="1"/>
    <s v="Eligibility unknown as battery range has not been researched"/>
    <s v="0"/>
    <s v="0"/>
    <s v="44"/>
    <n v="261123089"/>
    <s v="POINT (-122.18637 47.89251)"/>
    <x v="0"/>
    <s v="53061041606"/>
  </r>
  <r>
    <x v="746"/>
    <x v="1"/>
    <s v="Seattle"/>
    <s v="WA"/>
    <n v="98118"/>
    <x v="3"/>
    <x v="20"/>
    <s v="MODEL Y"/>
    <x v="1"/>
    <s v="Eligibility unknown as battery range has not been researched"/>
    <s v="0"/>
    <s v="0"/>
    <s v="37"/>
    <n v="265771306"/>
    <s v="POINT (-122.2668 47.55115)"/>
    <x v="4"/>
    <s v="53033011700"/>
  </r>
  <r>
    <x v="746"/>
    <x v="1"/>
    <s v="Bellevue"/>
    <s v="WA"/>
    <n v="98008"/>
    <x v="3"/>
    <x v="20"/>
    <s v="MODEL Y"/>
    <x v="1"/>
    <s v="Eligibility unknown as battery range has not been researched"/>
    <s v="0"/>
    <s v="0"/>
    <s v="48"/>
    <n v="269089649"/>
    <s v="POINT (-122.11867 47.63131)"/>
    <x v="1"/>
    <s v="53033022901"/>
  </r>
  <r>
    <x v="747"/>
    <x v="16"/>
    <s v="Shelton"/>
    <s v="WA"/>
    <n v="98584"/>
    <x v="4"/>
    <x v="20"/>
    <s v="MODEL Y"/>
    <x v="1"/>
    <s v="Eligibility unknown as battery range has not been researched"/>
    <s v="0"/>
    <s v="0"/>
    <s v="35"/>
    <n v="276171199"/>
    <s v="POINT (-123.10565 47.21248)"/>
    <x v="14"/>
    <s v="53045960800"/>
  </r>
  <r>
    <x v="748"/>
    <x v="2"/>
    <s v="Bothell"/>
    <s v="WA"/>
    <n v="98012"/>
    <x v="14"/>
    <x v="20"/>
    <s v="MODEL Y"/>
    <x v="1"/>
    <s v="Eligibility unknown as battery range has not been researched"/>
    <s v="0"/>
    <s v="0"/>
    <s v="1"/>
    <n v="282444249"/>
    <s v="POINT (-122.21061 47.83448)"/>
    <x v="0"/>
    <s v="53061052107"/>
  </r>
  <r>
    <x v="748"/>
    <x v="1"/>
    <s v="Kirkland"/>
    <s v="WA"/>
    <n v="98033"/>
    <x v="14"/>
    <x v="20"/>
    <s v="MODEL Y"/>
    <x v="1"/>
    <s v="Eligibility unknown as battery range has not been researched"/>
    <s v="0"/>
    <s v="0"/>
    <s v="48"/>
    <n v="279311252"/>
    <s v="POINT (-122.2066 47.67887)"/>
    <x v="1"/>
    <s v="53033022603"/>
  </r>
  <r>
    <x v="748"/>
    <x v="1"/>
    <s v="Kirkland"/>
    <s v="WA"/>
    <n v="98034"/>
    <x v="14"/>
    <x v="20"/>
    <s v="MODEL Y"/>
    <x v="1"/>
    <s v="Eligibility unknown as battery range has not been researched"/>
    <s v="0"/>
    <s v="0"/>
    <s v="1"/>
    <n v="284643614"/>
    <s v="POINT (-122.22901 47.72201)"/>
    <x v="1"/>
    <s v="53033022203"/>
  </r>
  <r>
    <x v="749"/>
    <x v="1"/>
    <s v="Maple Valley"/>
    <s v="WA"/>
    <n v="98058"/>
    <x v="3"/>
    <x v="20"/>
    <s v="MODEL Y"/>
    <x v="1"/>
    <s v="Eligibility unknown as battery range has not been researched"/>
    <s v="0"/>
    <s v="0"/>
    <s v="5"/>
    <n v="267099486"/>
    <s v="POINT (-122.08747 47.4466)"/>
    <x v="1"/>
    <s v="53033032002"/>
  </r>
  <r>
    <x v="750"/>
    <x v="1"/>
    <s v="Redmond"/>
    <s v="WA"/>
    <n v="98052"/>
    <x v="2"/>
    <x v="20"/>
    <s v="MODEL Y"/>
    <x v="1"/>
    <s v="Eligibility unknown as battery range has not been researched"/>
    <s v="0"/>
    <s v="0"/>
    <s v="48"/>
    <n v="211146491"/>
    <s v="POINT (-122.13158 47.67858)"/>
    <x v="1"/>
    <s v="53033022902"/>
  </r>
  <r>
    <x v="750"/>
    <x v="1"/>
    <s v="Kent"/>
    <s v="WA"/>
    <n v="98030"/>
    <x v="2"/>
    <x v="20"/>
    <s v="MODEL Y"/>
    <x v="1"/>
    <s v="Eligibility unknown as battery range has not been researched"/>
    <s v="0"/>
    <s v="0"/>
    <s v="47"/>
    <n v="211622337"/>
    <s v="POINT (-122.224 47.37943)"/>
    <x v="1"/>
    <s v="53033029504"/>
  </r>
  <r>
    <x v="750"/>
    <x v="2"/>
    <s v="Bothell"/>
    <s v="WA"/>
    <n v="98021"/>
    <x v="2"/>
    <x v="20"/>
    <s v="MODEL Y"/>
    <x v="1"/>
    <s v="Eligibility unknown as battery range has not been researched"/>
    <s v="0"/>
    <s v="0"/>
    <s v="1"/>
    <n v="207112055"/>
    <s v="POINT (-122.18384 47.8031)"/>
    <x v="0"/>
    <s v="53061051918"/>
  </r>
  <r>
    <x v="751"/>
    <x v="3"/>
    <s v="Yakima"/>
    <s v="WA"/>
    <n v="98908"/>
    <x v="0"/>
    <x v="20"/>
    <s v="MODEL Y"/>
    <x v="1"/>
    <s v="Eligibility unknown as battery range has not been researched"/>
    <s v="0"/>
    <s v="0"/>
    <s v="14"/>
    <n v="259780377"/>
    <s v="POINT (-120.60199 46.59817)"/>
    <x v="2"/>
    <s v="53077002804"/>
  </r>
  <r>
    <x v="751"/>
    <x v="1"/>
    <s v="Issaquah"/>
    <s v="WA"/>
    <n v="98027"/>
    <x v="0"/>
    <x v="20"/>
    <s v="MODEL Y"/>
    <x v="1"/>
    <s v="Eligibility unknown as battery range has not been researched"/>
    <s v="0"/>
    <s v="0"/>
    <s v="41"/>
    <n v="241059689"/>
    <s v="POINT (-122.03439 47.5301)"/>
    <x v="1"/>
    <s v="53033025006"/>
  </r>
  <r>
    <x v="752"/>
    <x v="1"/>
    <s v="Seattle"/>
    <s v="WA"/>
    <n v="98115"/>
    <x v="2"/>
    <x v="20"/>
    <s v="MODEL Y"/>
    <x v="1"/>
    <s v="Eligibility unknown as battery range has not been researched"/>
    <s v="0"/>
    <s v="0"/>
    <s v="46"/>
    <n v="190836012"/>
    <s v="POINT (-122.31676 47.68156)"/>
    <x v="4"/>
    <s v="53033002100"/>
  </r>
  <r>
    <x v="752"/>
    <x v="22"/>
    <s v="Bellingham"/>
    <s v="WA"/>
    <n v="98229"/>
    <x v="2"/>
    <x v="20"/>
    <s v="MODEL Y"/>
    <x v="1"/>
    <s v="Eligibility unknown as battery range has not been researched"/>
    <s v="0"/>
    <s v="0"/>
    <s v="40"/>
    <n v="183437075"/>
    <s v="POINT (-122.45486 48.7449)"/>
    <x v="23"/>
    <s v="53073000805"/>
  </r>
  <r>
    <x v="753"/>
    <x v="1"/>
    <s v="Seattle"/>
    <s v="WA"/>
    <n v="98121"/>
    <x v="2"/>
    <x v="20"/>
    <s v="MODEL Y"/>
    <x v="1"/>
    <s v="Eligibility unknown as battery range has not been researched"/>
    <s v="0"/>
    <s v="0"/>
    <s v="36"/>
    <n v="199493311"/>
    <s v="POINT (-122.34468 47.61578)"/>
    <x v="4"/>
    <s v="53033007201"/>
  </r>
  <r>
    <x v="753"/>
    <x v="21"/>
    <s v="White Salmon"/>
    <s v="WA"/>
    <n v="98672"/>
    <x v="2"/>
    <x v="20"/>
    <s v="MODEL Y"/>
    <x v="1"/>
    <s v="Eligibility unknown as battery range has not been researched"/>
    <s v="0"/>
    <s v="0"/>
    <s v="14"/>
    <n v="276577374"/>
    <s v="POINT (-121.48704 45.72776)"/>
    <x v="21"/>
    <s v="53039950301"/>
  </r>
  <r>
    <x v="754"/>
    <x v="13"/>
    <s v="Coulee City"/>
    <s v="WA"/>
    <n v="99115"/>
    <x v="2"/>
    <x v="20"/>
    <s v="MODEL Y"/>
    <x v="1"/>
    <s v="Eligibility unknown as battery range has not been researched"/>
    <s v="0"/>
    <s v="0"/>
    <s v="12"/>
    <n v="283135534"/>
    <s v="POINT (-119.28816 47.61233)"/>
    <x v="10"/>
    <s v="53025010100"/>
  </r>
  <r>
    <x v="755"/>
    <x v="1"/>
    <s v="Woodinville"/>
    <s v="WA"/>
    <n v="98072"/>
    <x v="0"/>
    <x v="20"/>
    <s v="MODEL Y"/>
    <x v="1"/>
    <s v="Eligibility unknown as battery range has not been researched"/>
    <s v="0"/>
    <s v="0"/>
    <s v="45"/>
    <n v="259165952"/>
    <s v="POINT (-122.15545 47.75448)"/>
    <x v="1"/>
    <s v="53033032321"/>
  </r>
  <r>
    <x v="756"/>
    <x v="1"/>
    <s v="Bellevue"/>
    <s v="WA"/>
    <n v="98005"/>
    <x v="2"/>
    <x v="20"/>
    <s v="MODEL Y"/>
    <x v="1"/>
    <s v="Eligibility unknown as battery range has not been researched"/>
    <s v="0"/>
    <s v="0"/>
    <s v="48"/>
    <n v="217932445"/>
    <s v="POINT (-122.1621 47.64441)"/>
    <x v="1"/>
    <s v="53033023702"/>
  </r>
  <r>
    <x v="757"/>
    <x v="1"/>
    <s v="Sammamish"/>
    <s v="WA"/>
    <n v="98075"/>
    <x v="0"/>
    <x v="20"/>
    <s v="MODEL Y"/>
    <x v="1"/>
    <s v="Eligibility unknown as battery range has not been researched"/>
    <s v="0"/>
    <s v="0"/>
    <s v="41"/>
    <n v="225858097"/>
    <s v="POINT (-122.03539 47.61344)"/>
    <x v="1"/>
    <s v="53033032217"/>
  </r>
  <r>
    <x v="758"/>
    <x v="23"/>
    <s v="Kennewick"/>
    <s v="WA"/>
    <n v="99338"/>
    <x v="3"/>
    <x v="20"/>
    <s v="MODEL Y"/>
    <x v="1"/>
    <s v="Eligibility unknown as battery range has not been researched"/>
    <s v="0"/>
    <s v="0"/>
    <s v="8"/>
    <n v="267063975"/>
    <s v="POINT (-119.3118 46.20664)"/>
    <x v="31"/>
    <s v="53005010815"/>
  </r>
  <r>
    <x v="759"/>
    <x v="1"/>
    <s v="Seattle"/>
    <s v="WA"/>
    <n v="98125"/>
    <x v="2"/>
    <x v="20"/>
    <s v="MODEL Y"/>
    <x v="1"/>
    <s v="Eligibility unknown as battery range has not been researched"/>
    <s v="0"/>
    <s v="0"/>
    <s v="46"/>
    <n v="208679838"/>
    <s v="POINT (-122.30253 47.72656)"/>
    <x v="4"/>
    <s v="53033000700"/>
  </r>
  <r>
    <x v="759"/>
    <x v="1"/>
    <s v="Renton"/>
    <s v="WA"/>
    <n v="98058"/>
    <x v="2"/>
    <x v="20"/>
    <s v="MODEL Y"/>
    <x v="1"/>
    <s v="Eligibility unknown as battery range has not been researched"/>
    <s v="0"/>
    <s v="0"/>
    <s v="47"/>
    <n v="278261756"/>
    <s v="POINT (-122.08747 47.4466)"/>
    <x v="1"/>
    <s v="53033029307"/>
  </r>
  <r>
    <x v="760"/>
    <x v="4"/>
    <s v="Vancouver"/>
    <s v="WA"/>
    <n v="98685"/>
    <x v="2"/>
    <x v="20"/>
    <s v="MODEL Y"/>
    <x v="1"/>
    <s v="Eligibility unknown as battery range has not been researched"/>
    <s v="0"/>
    <s v="0"/>
    <s v="18"/>
    <n v="224491046"/>
    <s v="POINT (-122.70303 45.70954)"/>
    <x v="3"/>
    <s v="53011040908"/>
  </r>
  <r>
    <x v="760"/>
    <x v="1"/>
    <s v="Seattle"/>
    <s v="WA"/>
    <n v="98126"/>
    <x v="2"/>
    <x v="20"/>
    <s v="MODEL Y"/>
    <x v="1"/>
    <s v="Eligibility unknown as battery range has not been researched"/>
    <s v="0"/>
    <s v="0"/>
    <s v="34"/>
    <n v="204740861"/>
    <s v="POINT (-122.36893 47.54701)"/>
    <x v="4"/>
    <s v="53033009801"/>
  </r>
  <r>
    <x v="761"/>
    <x v="5"/>
    <s v="Camano Island"/>
    <s v="WA"/>
    <n v="98282"/>
    <x v="0"/>
    <x v="20"/>
    <s v="MODEL Y"/>
    <x v="1"/>
    <s v="Eligibility unknown as battery range has not been researched"/>
    <s v="0"/>
    <s v="0"/>
    <s v="10"/>
    <n v="227194789"/>
    <s v="POINT (-122.40049 48.23986)"/>
    <x v="5"/>
    <s v="53029971500"/>
  </r>
  <r>
    <x v="761"/>
    <x v="1"/>
    <s v="Kirkland"/>
    <s v="WA"/>
    <n v="98034"/>
    <x v="0"/>
    <x v="20"/>
    <s v="MODEL Y"/>
    <x v="1"/>
    <s v="Eligibility unknown as battery range has not been researched"/>
    <s v="0"/>
    <s v="0"/>
    <s v="45"/>
    <n v="251702433"/>
    <s v="POINT (-122.22901 47.72201)"/>
    <x v="1"/>
    <s v="53033022003"/>
  </r>
  <r>
    <x v="761"/>
    <x v="2"/>
    <s v="Snohomish"/>
    <s v="WA"/>
    <n v="98296"/>
    <x v="0"/>
    <x v="20"/>
    <s v="MODEL Y"/>
    <x v="1"/>
    <s v="Eligibility unknown as battery range has not been researched"/>
    <s v="0"/>
    <s v="0"/>
    <s v="44"/>
    <n v="240708646"/>
    <s v="POINT (-122.1389 47.87115)"/>
    <x v="0"/>
    <s v="53061041610"/>
  </r>
  <r>
    <x v="762"/>
    <x v="1"/>
    <s v="Kirkland"/>
    <s v="WA"/>
    <n v="98034"/>
    <x v="3"/>
    <x v="20"/>
    <s v="MODEL Y"/>
    <x v="1"/>
    <s v="Eligibility unknown as battery range has not been researched"/>
    <s v="0"/>
    <s v="0"/>
    <s v="45"/>
    <n v="265858624"/>
    <s v="POINT (-122.22901 47.72201)"/>
    <x v="1"/>
    <s v="53033021903"/>
  </r>
  <r>
    <x v="763"/>
    <x v="1"/>
    <s v="Seattle"/>
    <s v="WA"/>
    <n v="98112"/>
    <x v="3"/>
    <x v="20"/>
    <s v="MODEL Y"/>
    <x v="1"/>
    <s v="Eligibility unknown as battery range has not been researched"/>
    <s v="0"/>
    <s v="0"/>
    <s v="37"/>
    <n v="269177233"/>
    <s v="POINT (-122.30207 47.64085)"/>
    <x v="4"/>
    <s v="53033007800"/>
  </r>
  <r>
    <x v="764"/>
    <x v="1"/>
    <s v="Bellevue"/>
    <s v="WA"/>
    <n v="98008"/>
    <x v="2"/>
    <x v="20"/>
    <s v="MODEL Y"/>
    <x v="1"/>
    <s v="Eligibility unknown as battery range has not been researched"/>
    <s v="0"/>
    <s v="0"/>
    <s v="48"/>
    <n v="200916803"/>
    <s v="POINT (-122.11867 47.63131)"/>
    <x v="1"/>
    <s v="53033023403"/>
  </r>
  <r>
    <x v="765"/>
    <x v="1"/>
    <s v="Kent"/>
    <s v="WA"/>
    <n v="98030"/>
    <x v="3"/>
    <x v="20"/>
    <s v="MODEL Y"/>
    <x v="1"/>
    <s v="Eligibility unknown as battery range has not been researched"/>
    <s v="0"/>
    <s v="0"/>
    <s v="33"/>
    <n v="263232336"/>
    <s v="POINT (-122.224 47.37943)"/>
    <x v="1"/>
    <s v="53033029702"/>
  </r>
  <r>
    <x v="766"/>
    <x v="2"/>
    <s v="Everett"/>
    <s v="WA"/>
    <n v="98208"/>
    <x v="0"/>
    <x v="20"/>
    <s v="MODEL Y"/>
    <x v="1"/>
    <s v="Eligibility unknown as battery range has not been researched"/>
    <s v="0"/>
    <s v="0"/>
    <s v="44"/>
    <n v="257689442"/>
    <s v="POINT (-122.18637 47.89251)"/>
    <x v="0"/>
    <s v="53061052010"/>
  </r>
  <r>
    <x v="766"/>
    <x v="4"/>
    <s v="Vancouver"/>
    <s v="WA"/>
    <n v="98660"/>
    <x v="0"/>
    <x v="20"/>
    <s v="MODEL Y"/>
    <x v="1"/>
    <s v="Eligibility unknown as battery range has not been researched"/>
    <s v="0"/>
    <s v="0"/>
    <s v="49"/>
    <n v="235848700"/>
    <s v="POINT (-122.67156 45.63248)"/>
    <x v="3"/>
    <s v="53011042300"/>
  </r>
  <r>
    <x v="767"/>
    <x v="1"/>
    <s v="Kent"/>
    <s v="WA"/>
    <n v="98031"/>
    <x v="3"/>
    <x v="20"/>
    <s v="MODEL Y"/>
    <x v="1"/>
    <s v="Eligibility unknown as battery range has not been researched"/>
    <s v="0"/>
    <s v="0"/>
    <s v="11"/>
    <n v="267019490"/>
    <s v="POINT (-122.17743 47.41185)"/>
    <x v="1"/>
    <s v="53033029306"/>
  </r>
  <r>
    <x v="767"/>
    <x v="1"/>
    <s v="Federal Way"/>
    <s v="WA"/>
    <n v="98023"/>
    <x v="3"/>
    <x v="20"/>
    <s v="MODEL Y"/>
    <x v="1"/>
    <s v="Eligibility unknown as battery range has not been researched"/>
    <s v="0"/>
    <s v="0"/>
    <s v="30"/>
    <n v="273736270"/>
    <s v="POINT (-122.34059 47.32478)"/>
    <x v="1"/>
    <s v="53033030101"/>
  </r>
  <r>
    <x v="768"/>
    <x v="1"/>
    <s v="Kirkland"/>
    <s v="WA"/>
    <n v="98033"/>
    <x v="4"/>
    <x v="20"/>
    <s v="MODEL Y"/>
    <x v="1"/>
    <s v="Eligibility unknown as battery range has not been researched"/>
    <s v="0"/>
    <s v="0"/>
    <s v="45"/>
    <n v="278850141"/>
    <s v="POINT (-122.2066 47.67887)"/>
    <x v="1"/>
    <s v="53033022401"/>
  </r>
  <r>
    <x v="769"/>
    <x v="6"/>
    <s v="Puyallup"/>
    <s v="WA"/>
    <n v="98375"/>
    <x v="4"/>
    <x v="23"/>
    <s v="IONIQ 5"/>
    <x v="1"/>
    <s v="Eligibility unknown as battery range has not been researched"/>
    <s v="0"/>
    <s v="0"/>
    <s v="25"/>
    <n v="282940129"/>
    <s v="POINT (-122.30855 47.10424)"/>
    <x v="22"/>
    <s v="53053073121"/>
  </r>
  <r>
    <x v="770"/>
    <x v="1"/>
    <s v="Seattle"/>
    <s v="WA"/>
    <n v="98177"/>
    <x v="4"/>
    <x v="23"/>
    <s v="IONIQ 5"/>
    <x v="1"/>
    <s v="Eligibility unknown as battery range has not been researched"/>
    <s v="0"/>
    <s v="0"/>
    <s v="36"/>
    <n v="283330134"/>
    <s v="POINT (-122.36498 47.72238)"/>
    <x v="4"/>
    <s v="53033001600"/>
  </r>
  <r>
    <x v="771"/>
    <x v="6"/>
    <s v="Gig Harbor"/>
    <s v="WA"/>
    <n v="98335"/>
    <x v="14"/>
    <x v="23"/>
    <s v="IONIQ 9"/>
    <x v="1"/>
    <s v="Eligibility unknown as battery range has not been researched"/>
    <s v="0"/>
    <s v="0"/>
    <s v="26"/>
    <n v="285986795"/>
    <s v="POINT (-122.58009 47.328)"/>
    <x v="11"/>
    <s v="53053072407"/>
  </r>
  <r>
    <x v="772"/>
    <x v="15"/>
    <s v="Spokane"/>
    <s v="WA"/>
    <n v="99205"/>
    <x v="10"/>
    <x v="24"/>
    <s v="OUTLANDER"/>
    <x v="0"/>
    <s v="Not eligible due to low battery range"/>
    <s v="22"/>
    <s v="0"/>
    <s v="3"/>
    <n v="297387947"/>
    <s v="POINT (-117.45674 47.69963)"/>
    <x v="15"/>
    <s v="53063001100"/>
  </r>
  <r>
    <x v="773"/>
    <x v="2"/>
    <s v="Marysville"/>
    <s v="WA"/>
    <n v="98270"/>
    <x v="10"/>
    <x v="24"/>
    <s v="OUTLANDER"/>
    <x v="0"/>
    <s v="Not eligible due to low battery range"/>
    <s v="22"/>
    <s v="0"/>
    <s v="44"/>
    <n v="117055781"/>
    <s v="POINT (-122.1769 48.06114)"/>
    <x v="0"/>
    <s v="53061052708"/>
  </r>
  <r>
    <x v="774"/>
    <x v="2"/>
    <s v="Lake Stevens"/>
    <s v="WA"/>
    <n v="98258"/>
    <x v="0"/>
    <x v="24"/>
    <s v="OUTLANDER"/>
    <x v="0"/>
    <s v="Clean Alternative Fuel Vehicle Eligible"/>
    <s v="38"/>
    <s v="0"/>
    <s v="44"/>
    <n v="267994618"/>
    <s v="POINT (-122.06402 48.01497)"/>
    <x v="0"/>
    <s v="53061052606"/>
  </r>
  <r>
    <x v="775"/>
    <x v="1"/>
    <s v="Seattle"/>
    <s v="WA"/>
    <n v="98125"/>
    <x v="0"/>
    <x v="24"/>
    <s v="OUTLANDER"/>
    <x v="0"/>
    <s v="Clean Alternative Fuel Vehicle Eligible"/>
    <s v="38"/>
    <s v="0"/>
    <s v="46"/>
    <n v="240494019"/>
    <s v="POINT (-122.30253 47.72656)"/>
    <x v="4"/>
    <s v="53033001202"/>
  </r>
  <r>
    <x v="776"/>
    <x v="7"/>
    <s v="Tumwater"/>
    <s v="WA"/>
    <n v="98512"/>
    <x v="10"/>
    <x v="12"/>
    <s v="CLARITY"/>
    <x v="0"/>
    <s v="Clean Alternative Fuel Vehicle Eligible"/>
    <s v="47"/>
    <s v="0"/>
    <s v="22"/>
    <n v="339922600"/>
    <s v="POINT (-122.90787 46.9461)"/>
    <x v="0"/>
    <s v="53067010910"/>
  </r>
  <r>
    <x v="777"/>
    <x v="0"/>
    <s v="Port Orchard"/>
    <s v="WA"/>
    <n v="98366"/>
    <x v="10"/>
    <x v="12"/>
    <s v="CLARITY"/>
    <x v="0"/>
    <s v="Clean Alternative Fuel Vehicle Eligible"/>
    <s v="47"/>
    <s v="0"/>
    <s v="26"/>
    <n v="290512694"/>
    <s v="POINT (-122.63847 47.54103)"/>
    <x v="0"/>
    <s v="53035092600"/>
  </r>
  <r>
    <x v="778"/>
    <x v="4"/>
    <s v="Vancouver"/>
    <s v="WA"/>
    <n v="98661"/>
    <x v="10"/>
    <x v="12"/>
    <s v="CLARITY"/>
    <x v="0"/>
    <s v="Clean Alternative Fuel Vehicle Eligible"/>
    <s v="47"/>
    <s v="0"/>
    <s v="49"/>
    <n v="190036367"/>
    <s v="POINT (-122.62934 45.63201)"/>
    <x v="35"/>
    <s v="53011042601"/>
  </r>
  <r>
    <x v="779"/>
    <x v="2"/>
    <s v="Bothell"/>
    <s v="WA"/>
    <n v="98021"/>
    <x v="12"/>
    <x v="12"/>
    <s v="CLARITY"/>
    <x v="0"/>
    <s v="Clean Alternative Fuel Vehicle Eligible"/>
    <s v="47"/>
    <s v="0"/>
    <s v="1"/>
    <n v="152362003"/>
    <s v="POINT (-122.18384 47.8031)"/>
    <x v="0"/>
    <s v="53061051918"/>
  </r>
  <r>
    <x v="780"/>
    <x v="6"/>
    <s v="Tacoma"/>
    <s v="WA"/>
    <n v="98407"/>
    <x v="10"/>
    <x v="12"/>
    <s v="CLARITY"/>
    <x v="0"/>
    <s v="Clean Alternative Fuel Vehicle Eligible"/>
    <s v="47"/>
    <s v="0"/>
    <s v="27"/>
    <n v="172585059"/>
    <s v="POINT (-122.51134 47.29238)"/>
    <x v="11"/>
    <s v="53053060400"/>
  </r>
  <r>
    <x v="781"/>
    <x v="3"/>
    <s v="Yakima"/>
    <s v="WA"/>
    <n v="98908"/>
    <x v="10"/>
    <x v="12"/>
    <s v="CLARITY"/>
    <x v="0"/>
    <s v="Clean Alternative Fuel Vehicle Eligible"/>
    <s v="47"/>
    <s v="0"/>
    <s v="14"/>
    <n v="204845469"/>
    <s v="POINT (-120.60199 46.59817)"/>
    <x v="2"/>
    <s v="53077002801"/>
  </r>
  <r>
    <x v="782"/>
    <x v="14"/>
    <s v="Walla Walla"/>
    <s v="WA"/>
    <n v="99362"/>
    <x v="11"/>
    <x v="12"/>
    <s v="CLARITY"/>
    <x v="0"/>
    <s v="Clean Alternative Fuel Vehicle Eligible"/>
    <s v="47"/>
    <s v="0"/>
    <s v="16"/>
    <n v="257568370"/>
    <s v="POINT (-118.34261 46.07068)"/>
    <x v="2"/>
    <s v="53071920902"/>
  </r>
  <r>
    <x v="783"/>
    <x v="1"/>
    <s v="Seattle"/>
    <s v="WA"/>
    <n v="98121"/>
    <x v="1"/>
    <x v="12"/>
    <s v="CLARITY"/>
    <x v="0"/>
    <s v="Clean Alternative Fuel Vehicle Eligible"/>
    <s v="47"/>
    <s v="0"/>
    <s v="36"/>
    <n v="268796125"/>
    <s v="POINT (-122.34468 47.61578)"/>
    <x v="4"/>
    <s v="53033007201"/>
  </r>
  <r>
    <x v="784"/>
    <x v="11"/>
    <s v="Mount Vernon"/>
    <s v="WA"/>
    <n v="98273"/>
    <x v="10"/>
    <x v="12"/>
    <s v="CLARITY"/>
    <x v="0"/>
    <s v="Clean Alternative Fuel Vehicle Eligible"/>
    <s v="47"/>
    <s v="0"/>
    <s v="40"/>
    <n v="331001933"/>
    <s v="POINT (-122.33891 48.41644)"/>
    <x v="0"/>
    <s v="53057952500"/>
  </r>
  <r>
    <x v="785"/>
    <x v="7"/>
    <s v="Lacey"/>
    <s v="WA"/>
    <n v="98513"/>
    <x v="3"/>
    <x v="25"/>
    <s v="CX-90"/>
    <x v="0"/>
    <s v="Not eligible due to low battery range"/>
    <s v="26"/>
    <s v="0"/>
    <s v="22"/>
    <n v="270756314"/>
    <s v="POINT (-122.81754 46.98876)"/>
    <x v="0"/>
    <s v="53067011622"/>
  </r>
  <r>
    <x v="786"/>
    <x v="6"/>
    <s v="Lake Tapps"/>
    <s v="WA"/>
    <n v="98391"/>
    <x v="4"/>
    <x v="25"/>
    <s v="CX-90"/>
    <x v="0"/>
    <s v="Not eligible due to low battery range"/>
    <s v="26"/>
    <s v="0"/>
    <s v="31"/>
    <n v="275694401"/>
    <s v="POINT (-122.17144 47.19175)"/>
    <x v="1"/>
    <s v="53053070307"/>
  </r>
  <r>
    <x v="787"/>
    <x v="4"/>
    <s v="Vancouver"/>
    <s v="WA"/>
    <n v="98685"/>
    <x v="3"/>
    <x v="25"/>
    <s v="CX-90"/>
    <x v="0"/>
    <s v="Not eligible due to low battery range"/>
    <s v="26"/>
    <s v="0"/>
    <s v="18"/>
    <n v="271646574"/>
    <s v="POINT (-122.70303 45.70954)"/>
    <x v="3"/>
    <s v="53011040908"/>
  </r>
  <r>
    <x v="788"/>
    <x v="0"/>
    <s v="Bremerton"/>
    <s v="WA"/>
    <n v="98310"/>
    <x v="3"/>
    <x v="25"/>
    <s v="CX-90"/>
    <x v="0"/>
    <s v="Not eligible due to low battery range"/>
    <s v="26"/>
    <s v="0"/>
    <s v="23"/>
    <n v="252246578"/>
    <s v="POINT (-122.61273 47.57428)"/>
    <x v="0"/>
    <s v="53035080101"/>
  </r>
  <r>
    <x v="789"/>
    <x v="1"/>
    <s v="Kirkland"/>
    <s v="WA"/>
    <n v="98033"/>
    <x v="3"/>
    <x v="25"/>
    <s v="CX-90"/>
    <x v="0"/>
    <s v="Not eligible due to low battery range"/>
    <s v="26"/>
    <s v="0"/>
    <s v="45"/>
    <n v="272119949"/>
    <s v="POINT (-122.2066 47.67887)"/>
    <x v="1"/>
    <s v="53033022006"/>
  </r>
  <r>
    <x v="790"/>
    <x v="2"/>
    <s v="Everett"/>
    <s v="WA"/>
    <n v="98201"/>
    <x v="3"/>
    <x v="25"/>
    <s v="CX-90"/>
    <x v="0"/>
    <s v="Not eligible due to low battery range"/>
    <s v="26"/>
    <s v="0"/>
    <s v="38"/>
    <n v="249883490"/>
    <s v="POINT (-122.20596 47.97659)"/>
    <x v="0"/>
    <s v="53061040100"/>
  </r>
  <r>
    <x v="791"/>
    <x v="4"/>
    <s v="Vancouver"/>
    <s v="WA"/>
    <n v="98682"/>
    <x v="3"/>
    <x v="25"/>
    <s v="CX-90"/>
    <x v="0"/>
    <s v="Not eligible due to low battery range"/>
    <s v="26"/>
    <s v="0"/>
    <s v="17"/>
    <n v="278160697"/>
    <s v="POINT (-122.55149 45.69345)"/>
    <x v="3"/>
    <s v="53011040714"/>
  </r>
  <r>
    <x v="792"/>
    <x v="7"/>
    <s v="Yelm"/>
    <s v="WA"/>
    <n v="98597"/>
    <x v="4"/>
    <x v="25"/>
    <s v="CX-90"/>
    <x v="0"/>
    <s v="Not eligible due to low battery range"/>
    <s v="26"/>
    <s v="0"/>
    <s v="2"/>
    <n v="277791643"/>
    <s v="POINT (-122.60735 46.94239)"/>
    <x v="0"/>
    <s v="53067012412"/>
  </r>
  <r>
    <x v="793"/>
    <x v="1"/>
    <s v="Auburn"/>
    <s v="WA"/>
    <n v="98001"/>
    <x v="4"/>
    <x v="25"/>
    <s v="CX-90"/>
    <x v="0"/>
    <s v="Not eligible due to low battery range"/>
    <s v="26"/>
    <s v="0"/>
    <s v="47"/>
    <n v="280126857"/>
    <s v="POINT (-122.23035 47.3074)"/>
    <x v="1"/>
    <s v="53033029902"/>
  </r>
  <r>
    <x v="794"/>
    <x v="2"/>
    <s v="Everett"/>
    <s v="WA"/>
    <n v="98208"/>
    <x v="3"/>
    <x v="5"/>
    <s v="ARIYA HATCHBACK"/>
    <x v="1"/>
    <s v="Eligibility unknown as battery range has not been researched"/>
    <s v="0"/>
    <s v="0"/>
    <s v="44"/>
    <n v="272904299"/>
    <s v="POINT (-122.18637 47.89251)"/>
    <x v="0"/>
    <s v="53061041606"/>
  </r>
  <r>
    <x v="795"/>
    <x v="7"/>
    <s v="Olympia"/>
    <s v="WA"/>
    <n v="98516"/>
    <x v="16"/>
    <x v="5"/>
    <s v="LEAF"/>
    <x v="1"/>
    <s v="Clean Alternative Fuel Vehicle Eligible"/>
    <s v="73"/>
    <s v="0"/>
    <s v="2"/>
    <n v="103165590"/>
    <s v="POINT (-122.78158 47.05335)"/>
    <x v="0"/>
    <s v="53067011500"/>
  </r>
  <r>
    <x v="796"/>
    <x v="6"/>
    <s v="Steilacoom"/>
    <s v="WA"/>
    <n v="98388"/>
    <x v="16"/>
    <x v="5"/>
    <s v="LEAF"/>
    <x v="1"/>
    <s v="Clean Alternative Fuel Vehicle Eligible"/>
    <s v="73"/>
    <s v="0"/>
    <s v="28"/>
    <n v="203501805"/>
    <s v="POINT (-122.59802 47.17303)"/>
    <x v="36"/>
    <s v="53053072109"/>
  </r>
  <r>
    <x v="797"/>
    <x v="1"/>
    <s v="Redmond"/>
    <s v="WA"/>
    <n v="98052"/>
    <x v="16"/>
    <x v="5"/>
    <s v="LEAF"/>
    <x v="1"/>
    <s v="Clean Alternative Fuel Vehicle Eligible"/>
    <s v="73"/>
    <s v="0"/>
    <s v="48"/>
    <n v="221511090"/>
    <s v="POINT (-122.13158 47.67858)"/>
    <x v="1"/>
    <s v="53033022902"/>
  </r>
  <r>
    <x v="798"/>
    <x v="1"/>
    <s v="Seattle"/>
    <s v="WA"/>
    <n v="98109"/>
    <x v="13"/>
    <x v="5"/>
    <s v="LEAF"/>
    <x v="1"/>
    <s v="Clean Alternative Fuel Vehicle Eligible"/>
    <s v="73"/>
    <s v="0"/>
    <s v="36"/>
    <n v="133883039"/>
    <s v="POINT (-122.35022 47.63824)"/>
    <x v="4"/>
    <s v="53033006800"/>
  </r>
  <r>
    <x v="799"/>
    <x v="0"/>
    <s v="Silverdale"/>
    <s v="WA"/>
    <n v="98383"/>
    <x v="13"/>
    <x v="5"/>
    <s v="LEAF"/>
    <x v="1"/>
    <s v="Clean Alternative Fuel Vehicle Eligible"/>
    <s v="73"/>
    <s v="0"/>
    <s v="23"/>
    <n v="253261326"/>
    <s v="POINT (-122.69275 47.65171)"/>
    <x v="0"/>
    <s v="53035091302"/>
  </r>
  <r>
    <x v="799"/>
    <x v="1"/>
    <s v="Sammamish"/>
    <s v="WA"/>
    <n v="98074"/>
    <x v="13"/>
    <x v="5"/>
    <s v="LEAF"/>
    <x v="1"/>
    <s v="Clean Alternative Fuel Vehicle Eligible"/>
    <s v="73"/>
    <s v="0"/>
    <s v="45"/>
    <n v="224497437"/>
    <s v="POINT (-122.02054 47.60326)"/>
    <x v="1"/>
    <s v="53033032318"/>
  </r>
  <r>
    <x v="800"/>
    <x v="3"/>
    <s v="Yakima"/>
    <s v="WA"/>
    <n v="98901"/>
    <x v="16"/>
    <x v="5"/>
    <s v="LEAF"/>
    <x v="1"/>
    <s v="Clean Alternative Fuel Vehicle Eligible"/>
    <s v="73"/>
    <s v="0"/>
    <s v="14"/>
    <n v="173404556"/>
    <s v="POINT (-120.50729 46.60464)"/>
    <x v="2"/>
    <s v="53077000100"/>
  </r>
  <r>
    <x v="801"/>
    <x v="0"/>
    <s v="Bremerton"/>
    <s v="WA"/>
    <n v="98312"/>
    <x v="13"/>
    <x v="5"/>
    <s v="LEAF"/>
    <x v="1"/>
    <s v="Clean Alternative Fuel Vehicle Eligible"/>
    <s v="73"/>
    <s v="0"/>
    <s v="35"/>
    <n v="250921030"/>
    <s v="POINT (-122.65223 47.57192)"/>
    <x v="0"/>
    <s v="53035080600"/>
  </r>
  <r>
    <x v="802"/>
    <x v="1"/>
    <s v="Bellevue"/>
    <s v="WA"/>
    <n v="98007"/>
    <x v="16"/>
    <x v="5"/>
    <s v="LEAF"/>
    <x v="1"/>
    <s v="Clean Alternative Fuel Vehicle Eligible"/>
    <s v="73"/>
    <s v="0"/>
    <s v="41"/>
    <n v="234711858"/>
    <s v="POINT (-122.12056 47.61334)"/>
    <x v="1"/>
    <s v="53033023401"/>
  </r>
  <r>
    <x v="802"/>
    <x v="1"/>
    <s v="Federal Way"/>
    <s v="WA"/>
    <n v="98003"/>
    <x v="16"/>
    <x v="5"/>
    <s v="LEAF"/>
    <x v="1"/>
    <s v="Clean Alternative Fuel Vehicle Eligible"/>
    <s v="73"/>
    <s v="0"/>
    <s v="30"/>
    <n v="141811372"/>
    <s v="POINT (-122.3303 47.30151)"/>
    <x v="1"/>
    <s v="53033030005"/>
  </r>
  <r>
    <x v="803"/>
    <x v="5"/>
    <s v="Oak Harbor"/>
    <s v="WA"/>
    <n v="98277"/>
    <x v="13"/>
    <x v="5"/>
    <s v="LEAF"/>
    <x v="1"/>
    <s v="Clean Alternative Fuel Vehicle Eligible"/>
    <s v="73"/>
    <s v="0"/>
    <s v="10"/>
    <n v="123065169"/>
    <s v="POINT (-122.64682 48.29077)"/>
    <x v="0"/>
    <s v="53029970700"/>
  </r>
  <r>
    <x v="804"/>
    <x v="7"/>
    <s v="Olympia"/>
    <s v="WA"/>
    <n v="98506"/>
    <x v="13"/>
    <x v="5"/>
    <s v="LEAF"/>
    <x v="1"/>
    <s v="Clean Alternative Fuel Vehicle Eligible"/>
    <s v="73"/>
    <s v="0"/>
    <s v="22"/>
    <n v="268830397"/>
    <s v="POINT (-122.87741 47.05997)"/>
    <x v="0"/>
    <s v="53067012223"/>
  </r>
  <r>
    <x v="805"/>
    <x v="1"/>
    <s v="Seattle"/>
    <s v="WA"/>
    <n v="98199"/>
    <x v="0"/>
    <x v="5"/>
    <s v="ARIYA HATCHBACK"/>
    <x v="1"/>
    <s v="Eligibility unknown as battery range has not been researched"/>
    <s v="0"/>
    <s v="0"/>
    <s v="36"/>
    <n v="270779554"/>
    <s v="POINT (-122.40092 47.65908)"/>
    <x v="4"/>
    <s v="53033005801"/>
  </r>
  <r>
    <x v="806"/>
    <x v="1"/>
    <s v="Seattle"/>
    <s v="WA"/>
    <n v="98107"/>
    <x v="0"/>
    <x v="5"/>
    <s v="ARIYA HATCHBACK"/>
    <x v="1"/>
    <s v="Eligibility unknown as battery range has not been researched"/>
    <s v="0"/>
    <s v="0"/>
    <s v="43"/>
    <n v="255247443"/>
    <s v="POINT (-122.38591 47.67597)"/>
    <x v="4"/>
    <s v="53033004800"/>
  </r>
  <r>
    <x v="807"/>
    <x v="1"/>
    <s v="Redmond"/>
    <s v="WA"/>
    <n v="98053"/>
    <x v="3"/>
    <x v="5"/>
    <s v="ARIYA HATCHBACK"/>
    <x v="1"/>
    <s v="Eligibility unknown as battery range has not been researched"/>
    <s v="0"/>
    <s v="0"/>
    <s v="45"/>
    <n v="267785542"/>
    <s v="POINT (-122.03287 47.68555)"/>
    <x v="1"/>
    <s v="53033032333"/>
  </r>
  <r>
    <x v="808"/>
    <x v="10"/>
    <s v="Leavenworth"/>
    <s v="WA"/>
    <n v="98826"/>
    <x v="3"/>
    <x v="5"/>
    <s v="ARIYA HATCHBACK"/>
    <x v="1"/>
    <s v="Eligibility unknown as battery range has not been researched"/>
    <s v="0"/>
    <s v="0"/>
    <s v="12"/>
    <n v="264311281"/>
    <s v="POINT (-120.65754 47.5982)"/>
    <x v="8"/>
    <s v="53007960201"/>
  </r>
  <r>
    <x v="809"/>
    <x v="30"/>
    <s v="Pasco"/>
    <s v="WA"/>
    <n v="99301"/>
    <x v="4"/>
    <x v="5"/>
    <s v="ARIYA MPV"/>
    <x v="1"/>
    <s v="Eligibility unknown as battery range has not been researched"/>
    <s v="0"/>
    <s v="0"/>
    <s v="9"/>
    <n v="279203396"/>
    <s v="POINT (-119.09467 46.23542)"/>
    <x v="33"/>
    <s v="53021020504"/>
  </r>
  <r>
    <x v="810"/>
    <x v="1"/>
    <s v="Bellevue"/>
    <s v="WA"/>
    <n v="98007"/>
    <x v="4"/>
    <x v="5"/>
    <s v="ARIYA MPV"/>
    <x v="1"/>
    <s v="Eligibility unknown as battery range has not been researched"/>
    <s v="0"/>
    <s v="0"/>
    <s v="48"/>
    <n v="284392251"/>
    <s v="POINT (-122.12056 47.61334)"/>
    <x v="1"/>
    <s v="53033023300"/>
  </r>
  <r>
    <x v="811"/>
    <x v="1"/>
    <s v="North Bend"/>
    <s v="WA"/>
    <n v="98045"/>
    <x v="3"/>
    <x v="9"/>
    <s v="PRIUS PRIME (PHEV)"/>
    <x v="0"/>
    <s v="Clean Alternative Fuel Vehicle Eligible"/>
    <s v="39"/>
    <s v="0"/>
    <s v="5"/>
    <n v="264779357"/>
    <s v="POINT (-121.7831 47.49348)"/>
    <x v="17"/>
    <s v="53033032800"/>
  </r>
  <r>
    <x v="812"/>
    <x v="1"/>
    <s v="Bellevue"/>
    <s v="WA"/>
    <n v="98004"/>
    <x v="3"/>
    <x v="9"/>
    <s v="PRIUS PRIME (PHEV)"/>
    <x v="0"/>
    <s v="Clean Alternative Fuel Vehicle Eligible"/>
    <s v="39"/>
    <s v="0"/>
    <s v="48"/>
    <n v="276518231"/>
    <s v="POINT (-122.1872 47.61001)"/>
    <x v="1"/>
    <s v="53033023805"/>
  </r>
  <r>
    <x v="813"/>
    <x v="23"/>
    <s v="Kennewick"/>
    <s v="WA"/>
    <n v="99336"/>
    <x v="3"/>
    <x v="9"/>
    <s v="PRIUS PRIME (PHEV)"/>
    <x v="0"/>
    <s v="Clean Alternative Fuel Vehicle Eligible"/>
    <s v="39"/>
    <s v="0"/>
    <s v="8"/>
    <n v="271801729"/>
    <s v="POINT (-119.11698 46.20837)"/>
    <x v="31"/>
    <s v="53005011201"/>
  </r>
  <r>
    <x v="813"/>
    <x v="3"/>
    <s v="Yakima"/>
    <s v="WA"/>
    <n v="98908"/>
    <x v="3"/>
    <x v="9"/>
    <s v="PRIUS PRIME (PHEV)"/>
    <x v="0"/>
    <s v="Clean Alternative Fuel Vehicle Eligible"/>
    <s v="39"/>
    <s v="0"/>
    <s v="14"/>
    <n v="281395005"/>
    <s v="POINT (-120.60199 46.59817)"/>
    <x v="2"/>
    <s v="53077002804"/>
  </r>
  <r>
    <x v="814"/>
    <x v="4"/>
    <s v="Vancouver"/>
    <s v="WA"/>
    <n v="98683"/>
    <x v="4"/>
    <x v="9"/>
    <s v="PRIUS PRIME (PHEV)"/>
    <x v="0"/>
    <s v="Clean Alternative Fuel Vehicle Eligible"/>
    <s v="39"/>
    <s v="0"/>
    <s v="18"/>
    <n v="284296806"/>
    <s v="POINT (-122.49212 45.60365)"/>
    <x v="3"/>
    <s v="53011041325"/>
  </r>
  <r>
    <x v="815"/>
    <x v="4"/>
    <s v="Vancouver"/>
    <s v="WA"/>
    <n v="98662"/>
    <x v="3"/>
    <x v="9"/>
    <s v="PRIUS PRIME (PHEV)"/>
    <x v="0"/>
    <s v="Clean Alternative Fuel Vehicle Eligible"/>
    <s v="39"/>
    <s v="0"/>
    <s v="17"/>
    <n v="277562568"/>
    <s v="POINT (-122.57722 45.64251)"/>
    <x v="3"/>
    <s v="53011040714"/>
  </r>
  <r>
    <x v="816"/>
    <x v="3"/>
    <s v="Yakima"/>
    <s v="WA"/>
    <n v="98908"/>
    <x v="3"/>
    <x v="9"/>
    <s v="PRIUS PRIME (PHEV)"/>
    <x v="0"/>
    <s v="Clean Alternative Fuel Vehicle Eligible"/>
    <s v="39"/>
    <s v="0"/>
    <s v="14"/>
    <n v="271697716"/>
    <s v="POINT (-120.60199 46.59817)"/>
    <x v="2"/>
    <s v="53077002804"/>
  </r>
  <r>
    <x v="817"/>
    <x v="6"/>
    <s v="Puyallup"/>
    <s v="WA"/>
    <n v="98374"/>
    <x v="4"/>
    <x v="9"/>
    <s v="PRIUS PRIME (PHEV)"/>
    <x v="0"/>
    <s v="Clean Alternative Fuel Vehicle Eligible"/>
    <s v="39"/>
    <s v="0"/>
    <s v="25"/>
    <n v="278798642"/>
    <s v="POINT (-122.27575 47.13959)"/>
    <x v="1"/>
    <s v="53053071207"/>
  </r>
  <r>
    <x v="818"/>
    <x v="1"/>
    <s v="Bellevue"/>
    <s v="WA"/>
    <n v="98005"/>
    <x v="2"/>
    <x v="9"/>
    <s v="PRIUS PRIME (PHEV)"/>
    <x v="0"/>
    <s v="Not eligible due to low battery range"/>
    <s v="25"/>
    <s v="0"/>
    <s v="48"/>
    <n v="226124055"/>
    <s v="POINT (-122.1621 47.64441)"/>
    <x v="1"/>
    <s v="53033022805"/>
  </r>
  <r>
    <x v="819"/>
    <x v="7"/>
    <s v="Olympia"/>
    <s v="WA"/>
    <n v="98516"/>
    <x v="1"/>
    <x v="9"/>
    <s v="PRIUS PRIME (PHEV)"/>
    <x v="0"/>
    <s v="Not eligible due to low battery range"/>
    <s v="25"/>
    <s v="0"/>
    <s v="22"/>
    <n v="245544428"/>
    <s v="POINT (-122.78158 47.05335)"/>
    <x v="0"/>
    <s v="53067012221"/>
  </r>
  <r>
    <x v="820"/>
    <x v="23"/>
    <s v="Kennewick"/>
    <s v="WA"/>
    <n v="99338"/>
    <x v="1"/>
    <x v="9"/>
    <s v="PRIUS PRIME (PHEV)"/>
    <x v="0"/>
    <s v="Not eligible due to low battery range"/>
    <s v="25"/>
    <s v="0"/>
    <s v="8"/>
    <n v="253711657"/>
    <s v="POINT (-119.3118 46.20664)"/>
    <x v="31"/>
    <s v="53005011505"/>
  </r>
  <r>
    <x v="821"/>
    <x v="7"/>
    <s v="Yelm"/>
    <s v="WA"/>
    <n v="98597"/>
    <x v="1"/>
    <x v="9"/>
    <s v="PRIUS PRIME (PHEV)"/>
    <x v="0"/>
    <s v="Not eligible due to low battery range"/>
    <s v="25"/>
    <s v="0"/>
    <s v="2"/>
    <n v="262162673"/>
    <s v="POINT (-122.60735 46.94239)"/>
    <x v="0"/>
    <s v="53067012421"/>
  </r>
  <r>
    <x v="822"/>
    <x v="1"/>
    <s v="Shoreline"/>
    <s v="WA"/>
    <n v="98155"/>
    <x v="11"/>
    <x v="9"/>
    <s v="PRIUS PRIME (PHEV)"/>
    <x v="0"/>
    <s v="Not eligible due to low battery range"/>
    <s v="25"/>
    <s v="0"/>
    <s v="32"/>
    <n v="229750776"/>
    <s v="POINT (-122.3175 47.75781)"/>
    <x v="4"/>
    <s v="53033021300"/>
  </r>
  <r>
    <x v="823"/>
    <x v="2"/>
    <s v="Brier"/>
    <s v="WA"/>
    <n v="98036"/>
    <x v="9"/>
    <x v="9"/>
    <s v="PRIUS PRIME (PHEV)"/>
    <x v="0"/>
    <s v="Not eligible due to low battery range"/>
    <s v="25"/>
    <s v="0"/>
    <s v="1"/>
    <n v="348300508"/>
    <s v="POINT (-122.29245 47.82557)"/>
    <x v="0"/>
    <s v="53061051914"/>
  </r>
  <r>
    <x v="824"/>
    <x v="7"/>
    <s v="Olympia"/>
    <s v="WA"/>
    <n v="98512"/>
    <x v="12"/>
    <x v="9"/>
    <s v="PRIUS PRIME (PHEV)"/>
    <x v="0"/>
    <s v="Not eligible due to low battery range"/>
    <s v="25"/>
    <s v="0"/>
    <s v="22"/>
    <n v="238060833"/>
    <s v="POINT (-122.90787 46.9461)"/>
    <x v="0"/>
    <s v="53067011000"/>
  </r>
  <r>
    <x v="825"/>
    <x v="4"/>
    <s v="Vancouver"/>
    <s v="WA"/>
    <n v="98660"/>
    <x v="11"/>
    <x v="9"/>
    <s v="PRIUS PRIME (PHEV)"/>
    <x v="0"/>
    <s v="Not eligible due to low battery range"/>
    <s v="25"/>
    <s v="0"/>
    <s v="49"/>
    <n v="275788397"/>
    <s v="POINT (-122.67156 45.63248)"/>
    <x v="3"/>
    <s v="53011042300"/>
  </r>
  <r>
    <x v="826"/>
    <x v="1"/>
    <s v="Seattle"/>
    <s v="WA"/>
    <n v="98102"/>
    <x v="12"/>
    <x v="9"/>
    <s v="PRIUS PRIME (PHEV)"/>
    <x v="0"/>
    <s v="Not eligible due to low battery range"/>
    <s v="25"/>
    <s v="0"/>
    <s v="43"/>
    <n v="213457352"/>
    <s v="POINT (-122.32427 47.63433)"/>
    <x v="4"/>
    <s v="53033007501"/>
  </r>
  <r>
    <x v="827"/>
    <x v="5"/>
    <s v="Oak Harbor"/>
    <s v="WA"/>
    <n v="98277"/>
    <x v="10"/>
    <x v="9"/>
    <s v="PRIUS PRIME (PHEV)"/>
    <x v="0"/>
    <s v="Not eligible due to low battery range"/>
    <s v="25"/>
    <s v="0"/>
    <s v="10"/>
    <n v="469731104"/>
    <s v="POINT (-122.64682 48.29077)"/>
    <x v="0"/>
    <s v="53029970700"/>
  </r>
  <r>
    <x v="828"/>
    <x v="4"/>
    <s v="Camas"/>
    <s v="WA"/>
    <n v="98607"/>
    <x v="9"/>
    <x v="9"/>
    <s v="PRIUS PRIME (PHEV)"/>
    <x v="0"/>
    <s v="Not eligible due to low battery range"/>
    <s v="25"/>
    <s v="0"/>
    <s v="18"/>
    <n v="216693739"/>
    <s v="POINT (-122.40199 45.58694)"/>
    <x v="3"/>
    <s v="53011040609"/>
  </r>
  <r>
    <x v="829"/>
    <x v="1"/>
    <s v="Seattle"/>
    <s v="WA"/>
    <n v="98103"/>
    <x v="10"/>
    <x v="9"/>
    <s v="PRIUS PRIME (PHEV)"/>
    <x v="0"/>
    <s v="Not eligible due to low battery range"/>
    <s v="25"/>
    <s v="0"/>
    <s v="46"/>
    <n v="337551819"/>
    <s v="POINT (-122.35436 47.67596)"/>
    <x v="4"/>
    <s v="53033002700"/>
  </r>
  <r>
    <x v="830"/>
    <x v="5"/>
    <s v="Langley"/>
    <s v="WA"/>
    <n v="98260"/>
    <x v="12"/>
    <x v="9"/>
    <s v="PRIUS PRIME (PHEV)"/>
    <x v="0"/>
    <s v="Not eligible due to low battery range"/>
    <s v="25"/>
    <s v="0"/>
    <s v="10"/>
    <n v="185434854"/>
    <s v="POINT (-122.40618 48.0399)"/>
    <x v="0"/>
    <s v="53029972000"/>
  </r>
  <r>
    <x v="831"/>
    <x v="1"/>
    <s v="Renton"/>
    <s v="WA"/>
    <n v="98055"/>
    <x v="7"/>
    <x v="9"/>
    <s v="PRIUS"/>
    <x v="0"/>
    <s v="Not eligible due to low battery range"/>
    <s v="6"/>
    <s v="0"/>
    <s v="11"/>
    <n v="127527865"/>
    <s v="POINT (-122.20784 47.46004)"/>
    <x v="1"/>
    <s v="53033025805"/>
  </r>
  <r>
    <x v="832"/>
    <x v="1"/>
    <s v="Federal Way"/>
    <s v="WA"/>
    <n v="98003"/>
    <x v="7"/>
    <x v="9"/>
    <s v="PRIUS"/>
    <x v="0"/>
    <s v="Not eligible due to low battery range"/>
    <s v="6"/>
    <s v="0"/>
    <s v="30"/>
    <n v="235088766"/>
    <s v="POINT (-122.3303 47.30151)"/>
    <x v="1"/>
    <s v="53033030005"/>
  </r>
  <r>
    <x v="833"/>
    <x v="2"/>
    <s v="Bothell"/>
    <s v="WA"/>
    <n v="98012"/>
    <x v="3"/>
    <x v="26"/>
    <s v="RZ"/>
    <x v="1"/>
    <s v="Eligibility unknown as battery range has not been researched"/>
    <s v="0"/>
    <s v="0"/>
    <s v="44"/>
    <n v="272572562"/>
    <s v="POINT (-122.21061 47.83448)"/>
    <x v="0"/>
    <s v="53061052007"/>
  </r>
  <r>
    <x v="834"/>
    <x v="1"/>
    <s v="Shoreline"/>
    <s v="WA"/>
    <n v="98155"/>
    <x v="3"/>
    <x v="26"/>
    <s v="RZ"/>
    <x v="1"/>
    <s v="Eligibility unknown as battery range has not been researched"/>
    <s v="0"/>
    <s v="0"/>
    <s v="32"/>
    <n v="269363720"/>
    <s v="POINT (-122.3175 47.75781)"/>
    <x v="4"/>
    <s v="53033020500"/>
  </r>
  <r>
    <x v="835"/>
    <x v="1"/>
    <s v="Federal Way"/>
    <s v="WA"/>
    <n v="98023"/>
    <x v="0"/>
    <x v="26"/>
    <s v="RZ"/>
    <x v="1"/>
    <s v="Eligibility unknown as battery range has not been researched"/>
    <s v="0"/>
    <s v="0"/>
    <s v="30"/>
    <n v="267651233"/>
    <s v="POINT (-122.34059 47.32478)"/>
    <x v="1"/>
    <s v="53033030308"/>
  </r>
  <r>
    <x v="836"/>
    <x v="1"/>
    <s v="Seattle"/>
    <s v="WA"/>
    <n v="98125"/>
    <x v="0"/>
    <x v="26"/>
    <s v="NX"/>
    <x v="0"/>
    <s v="Clean Alternative Fuel Vehicle Eligible"/>
    <s v="37"/>
    <s v="0"/>
    <s v="46"/>
    <n v="249896314"/>
    <s v="POINT (-122.30253 47.72656)"/>
    <x v="4"/>
    <s v="53033000700"/>
  </r>
  <r>
    <x v="837"/>
    <x v="29"/>
    <s v="Kelso"/>
    <s v="WA"/>
    <n v="98626"/>
    <x v="3"/>
    <x v="26"/>
    <s v="NX"/>
    <x v="0"/>
    <s v="Clean Alternative Fuel Vehicle Eligible"/>
    <s v="37"/>
    <s v="0"/>
    <s v="20"/>
    <n v="258263918"/>
    <s v="POINT (-122.89867 46.14424)"/>
    <x v="30"/>
    <s v="53015001700"/>
  </r>
  <r>
    <x v="838"/>
    <x v="0"/>
    <s v="Port Orchard"/>
    <s v="WA"/>
    <n v="98366"/>
    <x v="4"/>
    <x v="26"/>
    <s v="NX"/>
    <x v="0"/>
    <s v="Clean Alternative Fuel Vehicle Eligible"/>
    <s v="37"/>
    <s v="0"/>
    <s v="26"/>
    <n v="276482545"/>
    <s v="POINT (-122.63847 47.54103)"/>
    <x v="0"/>
    <s v="53035092600"/>
  </r>
  <r>
    <x v="839"/>
    <x v="6"/>
    <s v="Puyallup"/>
    <s v="WA"/>
    <n v="98371"/>
    <x v="4"/>
    <x v="26"/>
    <s v="NX"/>
    <x v="0"/>
    <s v="Clean Alternative Fuel Vehicle Eligible"/>
    <s v="37"/>
    <s v="0"/>
    <s v="25"/>
    <n v="276360619"/>
    <s v="POINT (-122.29521 47.19045)"/>
    <x v="1"/>
    <s v="53053073404"/>
  </r>
  <r>
    <x v="840"/>
    <x v="5"/>
    <s v="Oak Harbor"/>
    <s v="WA"/>
    <n v="98277"/>
    <x v="2"/>
    <x v="26"/>
    <s v="NX"/>
    <x v="0"/>
    <s v="Clean Alternative Fuel Vehicle Eligible"/>
    <s v="37"/>
    <s v="0"/>
    <s v="10"/>
    <n v="207405397"/>
    <s v="POINT (-122.64682 48.29077)"/>
    <x v="0"/>
    <s v="53029970601"/>
  </r>
  <r>
    <x v="841"/>
    <x v="1"/>
    <s v="Bellevue"/>
    <s v="WA"/>
    <n v="98008"/>
    <x v="3"/>
    <x v="26"/>
    <s v="NX"/>
    <x v="0"/>
    <s v="Clean Alternative Fuel Vehicle Eligible"/>
    <s v="37"/>
    <s v="0"/>
    <s v="48"/>
    <n v="264771573"/>
    <s v="POINT (-122.11867 47.63131)"/>
    <x v="1"/>
    <s v="53033023403"/>
  </r>
  <r>
    <x v="842"/>
    <x v="11"/>
    <s v="La Conner"/>
    <s v="WA"/>
    <n v="98257"/>
    <x v="4"/>
    <x v="9"/>
    <s v="BZ4X"/>
    <x v="1"/>
    <s v="Eligibility unknown as battery range has not been researched"/>
    <s v="0"/>
    <s v="0"/>
    <s v="10"/>
    <n v="282332046"/>
    <s v="POINT (-122.49724 48.38874)"/>
    <x v="0"/>
    <s v="53057940802"/>
  </r>
  <r>
    <x v="843"/>
    <x v="2"/>
    <s v="Monroe"/>
    <s v="WA"/>
    <n v="98272"/>
    <x v="3"/>
    <x v="9"/>
    <s v="RAV4 PRIME (PHEV)"/>
    <x v="0"/>
    <s v="Clean Alternative Fuel Vehicle Eligible"/>
    <s v="42"/>
    <s v="0"/>
    <s v="39"/>
    <n v="261237980"/>
    <s v="POINT (-121.98087 47.8526)"/>
    <x v="0"/>
    <s v="53061052203"/>
  </r>
  <r>
    <x v="844"/>
    <x v="4"/>
    <s v="Washougal"/>
    <s v="WA"/>
    <n v="98671"/>
    <x v="3"/>
    <x v="9"/>
    <s v="RAV4 PRIME (PHEV)"/>
    <x v="0"/>
    <s v="Clean Alternative Fuel Vehicle Eligible"/>
    <s v="42"/>
    <s v="0"/>
    <s v="18"/>
    <n v="269275695"/>
    <s v="POINT (-122.35341 45.57923)"/>
    <x v="3"/>
    <s v="53011040510"/>
  </r>
  <r>
    <x v="845"/>
    <x v="0"/>
    <s v="Bainbridge Island"/>
    <s v="WA"/>
    <n v="98110"/>
    <x v="2"/>
    <x v="9"/>
    <s v="RAV4 PRIME (PHEV)"/>
    <x v="0"/>
    <s v="Clean Alternative Fuel Vehicle Eligible"/>
    <s v="42"/>
    <s v="0"/>
    <s v="23"/>
    <n v="213656180"/>
    <s v="POINT (-122.521 47.62732)"/>
    <x v="0"/>
    <s v="53035090902"/>
  </r>
  <r>
    <x v="846"/>
    <x v="5"/>
    <s v="Freeland"/>
    <s v="WA"/>
    <n v="98249"/>
    <x v="2"/>
    <x v="9"/>
    <s v="RAV4 PRIME (PHEV)"/>
    <x v="0"/>
    <s v="Clean Alternative Fuel Vehicle Eligible"/>
    <s v="42"/>
    <s v="0"/>
    <s v="10"/>
    <n v="225794775"/>
    <s v="POINT (-122.52664 48.00956)"/>
    <x v="0"/>
    <s v="53029971800"/>
  </r>
  <r>
    <x v="847"/>
    <x v="1"/>
    <s v="Bellevue"/>
    <s v="WA"/>
    <n v="98005"/>
    <x v="0"/>
    <x v="9"/>
    <s v="RAV4 PRIME (PHEV)"/>
    <x v="0"/>
    <s v="Clean Alternative Fuel Vehicle Eligible"/>
    <s v="42"/>
    <s v="0"/>
    <s v="48"/>
    <n v="238035969"/>
    <s v="POINT (-122.1621 47.64441)"/>
    <x v="1"/>
    <s v="53033023701"/>
  </r>
  <r>
    <x v="848"/>
    <x v="7"/>
    <s v="Rainier"/>
    <s v="WA"/>
    <n v="98576"/>
    <x v="0"/>
    <x v="9"/>
    <s v="RAV4 PRIME (PHEV)"/>
    <x v="0"/>
    <s v="Clean Alternative Fuel Vehicle Eligible"/>
    <s v="42"/>
    <s v="0"/>
    <s v="2"/>
    <n v="236505139"/>
    <s v="POINT (-122.68993 46.88897)"/>
    <x v="0"/>
    <s v="53067012530"/>
  </r>
  <r>
    <x v="849"/>
    <x v="1"/>
    <s v="Seattle"/>
    <s v="WA"/>
    <n v="98146"/>
    <x v="3"/>
    <x v="9"/>
    <s v="RAV4 PRIME (PHEV)"/>
    <x v="0"/>
    <s v="Clean Alternative Fuel Vehicle Eligible"/>
    <s v="42"/>
    <s v="0"/>
    <s v="34"/>
    <n v="276580496"/>
    <s v="POINT (-122.36178 47.49408)"/>
    <x v="4"/>
    <s v="53033012100"/>
  </r>
  <r>
    <x v="850"/>
    <x v="3"/>
    <s v="Selah"/>
    <s v="WA"/>
    <n v="98942"/>
    <x v="1"/>
    <x v="9"/>
    <s v="RAV4 PRIME (PHEV)"/>
    <x v="0"/>
    <s v="Clean Alternative Fuel Vehicle Eligible"/>
    <s v="42"/>
    <s v="0"/>
    <s v="15"/>
    <n v="181434788"/>
    <s v="POINT (-120.53145 46.65405)"/>
    <x v="2"/>
    <s v="53077003400"/>
  </r>
  <r>
    <x v="851"/>
    <x v="4"/>
    <s v="Camas"/>
    <s v="WA"/>
    <n v="98607"/>
    <x v="0"/>
    <x v="9"/>
    <s v="RAV4 PRIME (PHEV)"/>
    <x v="0"/>
    <s v="Clean Alternative Fuel Vehicle Eligible"/>
    <s v="42"/>
    <s v="0"/>
    <s v="18"/>
    <n v="274075021"/>
    <s v="POINT (-122.40199 45.58694)"/>
    <x v="3"/>
    <s v="53011040610"/>
  </r>
  <r>
    <x v="852"/>
    <x v="7"/>
    <s v="Olympia"/>
    <s v="WA"/>
    <n v="98501"/>
    <x v="3"/>
    <x v="9"/>
    <s v="RAV4 PRIME (PHEV)"/>
    <x v="0"/>
    <s v="Clean Alternative Fuel Vehicle Eligible"/>
    <s v="42"/>
    <s v="0"/>
    <s v="35"/>
    <n v="263268043"/>
    <s v="POINT (-122.89165 47.03954)"/>
    <x v="0"/>
    <s v="53067011722"/>
  </r>
  <r>
    <x v="852"/>
    <x v="1"/>
    <s v="Seattle"/>
    <s v="WA"/>
    <n v="98116"/>
    <x v="3"/>
    <x v="9"/>
    <s v="RAV4 PRIME (PHEV)"/>
    <x v="0"/>
    <s v="Clean Alternative Fuel Vehicle Eligible"/>
    <s v="42"/>
    <s v="0"/>
    <s v="34"/>
    <n v="261390741"/>
    <s v="POINT (-122.41067 47.57894)"/>
    <x v="4"/>
    <s v="53033009702"/>
  </r>
  <r>
    <x v="853"/>
    <x v="12"/>
    <s v="Evans"/>
    <s v="WA"/>
    <n v="99126"/>
    <x v="3"/>
    <x v="27"/>
    <s v="SOLTERRA"/>
    <x v="1"/>
    <s v="Eligibility unknown as battery range has not been researched"/>
    <s v="0"/>
    <s v="0"/>
    <s v="7"/>
    <n v="282410803"/>
    <s v="POINT (-118.02345 48.71331)"/>
    <x v="9"/>
    <s v="53065950101"/>
  </r>
  <r>
    <x v="853"/>
    <x v="1"/>
    <s v="Seattle"/>
    <s v="WA"/>
    <n v="98107"/>
    <x v="3"/>
    <x v="27"/>
    <s v="SOLTERRA"/>
    <x v="1"/>
    <s v="Eligibility unknown as battery range has not been researched"/>
    <s v="0"/>
    <s v="0"/>
    <s v="36"/>
    <n v="269932001"/>
    <s v="POINT (-122.38591 47.67597)"/>
    <x v="4"/>
    <s v="53033004703"/>
  </r>
  <r>
    <x v="854"/>
    <x v="4"/>
    <s v="La Center"/>
    <s v="WA"/>
    <n v="98629"/>
    <x v="3"/>
    <x v="27"/>
    <s v="SOLTERRA"/>
    <x v="1"/>
    <s v="Eligibility unknown as battery range has not been researched"/>
    <s v="0"/>
    <s v="0"/>
    <s v="18"/>
    <n v="280041947"/>
    <s v="POINT (-122.67248 45.86156)"/>
    <x v="3"/>
    <s v="53011040201"/>
  </r>
  <r>
    <x v="855"/>
    <x v="1"/>
    <s v="Kirkland"/>
    <s v="WA"/>
    <n v="98033"/>
    <x v="0"/>
    <x v="27"/>
    <s v="SOLTERRA"/>
    <x v="1"/>
    <s v="Eligibility unknown as battery range has not been researched"/>
    <s v="0"/>
    <s v="0"/>
    <s v="45"/>
    <n v="228679902"/>
    <s v="POINT (-122.2066 47.67887)"/>
    <x v="1"/>
    <s v="53033022006"/>
  </r>
  <r>
    <x v="856"/>
    <x v="4"/>
    <s v="Vancouver"/>
    <s v="WA"/>
    <n v="98685"/>
    <x v="4"/>
    <x v="27"/>
    <s v="SOLTERRA"/>
    <x v="1"/>
    <s v="Eligibility unknown as battery range has not been researched"/>
    <s v="0"/>
    <s v="0"/>
    <s v="49"/>
    <n v="283138243"/>
    <s v="POINT (-122.70303 45.70954)"/>
    <x v="3"/>
    <s v="53011040904"/>
  </r>
  <r>
    <x v="857"/>
    <x v="22"/>
    <s v="Bellingham"/>
    <s v="WA"/>
    <n v="98229"/>
    <x v="3"/>
    <x v="27"/>
    <s v="SOLTERRA"/>
    <x v="1"/>
    <s v="Eligibility unknown as battery range has not been researched"/>
    <s v="0"/>
    <s v="0"/>
    <s v="40"/>
    <n v="271502185"/>
    <s v="POINT (-122.45486 48.7449)"/>
    <x v="23"/>
    <s v="53073000902"/>
  </r>
  <r>
    <x v="858"/>
    <x v="1"/>
    <s v="Burien"/>
    <s v="WA"/>
    <n v="98146"/>
    <x v="0"/>
    <x v="27"/>
    <s v="SOLTERRA"/>
    <x v="1"/>
    <s v="Eligibility unknown as battery range has not been researched"/>
    <s v="0"/>
    <s v="0"/>
    <s v="34"/>
    <n v="271542421"/>
    <s v="POINT (-122.36178 47.49408)"/>
    <x v="4"/>
    <s v="53033026700"/>
  </r>
  <r>
    <x v="859"/>
    <x v="1"/>
    <s v="Seattle"/>
    <s v="WA"/>
    <n v="98115"/>
    <x v="0"/>
    <x v="27"/>
    <s v="SOLTERRA"/>
    <x v="1"/>
    <s v="Eligibility unknown as battery range has not been researched"/>
    <s v="0"/>
    <s v="0"/>
    <s v="46"/>
    <n v="262261261"/>
    <s v="POINT (-122.31676 47.68156)"/>
    <x v="4"/>
    <s v="53033002700"/>
  </r>
  <r>
    <x v="860"/>
    <x v="15"/>
    <s v="Spokane Valley"/>
    <s v="WA"/>
    <n v="99206"/>
    <x v="3"/>
    <x v="27"/>
    <s v="SOLTERRA"/>
    <x v="1"/>
    <s v="Eligibility unknown as battery range has not been researched"/>
    <s v="0"/>
    <s v="0"/>
    <s v="4"/>
    <n v="273699366"/>
    <s v="POINT (-117.24522 47.66118)"/>
    <x v="12"/>
    <s v="53063012402"/>
  </r>
  <r>
    <x v="861"/>
    <x v="14"/>
    <s v="Walla Walla"/>
    <s v="WA"/>
    <n v="99362"/>
    <x v="0"/>
    <x v="27"/>
    <s v="SOLTERRA"/>
    <x v="1"/>
    <s v="Eligibility unknown as battery range has not been researched"/>
    <s v="0"/>
    <s v="0"/>
    <s v="16"/>
    <n v="258604972"/>
    <s v="POINT (-118.34261 46.07068)"/>
    <x v="2"/>
    <s v="53071920902"/>
  </r>
  <r>
    <x v="862"/>
    <x v="4"/>
    <s v="Vancouver"/>
    <s v="WA"/>
    <n v="98685"/>
    <x v="3"/>
    <x v="27"/>
    <s v="SOLTERRA"/>
    <x v="1"/>
    <s v="Eligibility unknown as battery range has not been researched"/>
    <s v="0"/>
    <s v="0"/>
    <s v="18"/>
    <n v="265231760"/>
    <s v="POINT (-122.70303 45.70954)"/>
    <x v="3"/>
    <s v="53011040907"/>
  </r>
  <r>
    <x v="863"/>
    <x v="7"/>
    <s v="Lacey"/>
    <s v="WA"/>
    <n v="98516"/>
    <x v="4"/>
    <x v="27"/>
    <s v="SOLTERRA"/>
    <x v="1"/>
    <s v="Eligibility unknown as battery range has not been researched"/>
    <s v="0"/>
    <s v="0"/>
    <s v="22"/>
    <n v="281896226"/>
    <s v="POINT (-122.78158 47.05335)"/>
    <x v="0"/>
    <s v="53067012226"/>
  </r>
  <r>
    <x v="864"/>
    <x v="3"/>
    <s v="Yakima"/>
    <s v="WA"/>
    <n v="98908"/>
    <x v="0"/>
    <x v="27"/>
    <s v="SOLTERRA"/>
    <x v="1"/>
    <s v="Eligibility unknown as battery range has not been researched"/>
    <s v="0"/>
    <s v="0"/>
    <s v="14"/>
    <n v="239799157"/>
    <s v="POINT (-120.60199 46.59817)"/>
    <x v="2"/>
    <s v="53077002804"/>
  </r>
  <r>
    <x v="865"/>
    <x v="2"/>
    <s v="Monroe"/>
    <s v="WA"/>
    <n v="98272"/>
    <x v="3"/>
    <x v="27"/>
    <s v="SOLTERRA"/>
    <x v="1"/>
    <s v="Eligibility unknown as battery range has not been researched"/>
    <s v="0"/>
    <s v="0"/>
    <s v="39"/>
    <n v="269676774"/>
    <s v="POINT (-121.98087 47.8526)"/>
    <x v="0"/>
    <s v="53061052203"/>
  </r>
  <r>
    <x v="866"/>
    <x v="1"/>
    <s v="Seattle"/>
    <s v="WA"/>
    <n v="98178"/>
    <x v="3"/>
    <x v="9"/>
    <s v="BZ4X"/>
    <x v="1"/>
    <s v="Eligibility unknown as battery range has not been researched"/>
    <s v="0"/>
    <s v="0"/>
    <s v="37"/>
    <n v="267472859"/>
    <s v="POINT (-122.23825 47.49461)"/>
    <x v="4"/>
    <s v="53033011902"/>
  </r>
  <r>
    <x v="867"/>
    <x v="1"/>
    <s v="Seattle"/>
    <s v="WA"/>
    <n v="98103"/>
    <x v="4"/>
    <x v="9"/>
    <s v="BZ4X"/>
    <x v="1"/>
    <s v="Eligibility unknown as battery range has not been researched"/>
    <s v="0"/>
    <s v="0"/>
    <s v="43"/>
    <n v="276288687"/>
    <s v="POINT (-122.35436 47.67596)"/>
    <x v="4"/>
    <s v="53033005000"/>
  </r>
  <r>
    <x v="868"/>
    <x v="15"/>
    <s v="Spokane"/>
    <s v="WA"/>
    <n v="99208"/>
    <x v="3"/>
    <x v="9"/>
    <s v="BZ4X"/>
    <x v="1"/>
    <s v="Eligibility unknown as battery range has not been researched"/>
    <s v="0"/>
    <s v="0"/>
    <s v="7"/>
    <n v="262487025"/>
    <s v="POINT (-117.45005 47.7333)"/>
    <x v="12"/>
    <s v="53063010507"/>
  </r>
  <r>
    <x v="869"/>
    <x v="1"/>
    <s v="Shoreline"/>
    <s v="WA"/>
    <n v="98177"/>
    <x v="4"/>
    <x v="9"/>
    <s v="BZ4X"/>
    <x v="1"/>
    <s v="Eligibility unknown as battery range has not been researched"/>
    <s v="0"/>
    <s v="0"/>
    <s v="32"/>
    <n v="277112356"/>
    <s v="POINT (-122.36498 47.72238)"/>
    <x v="4"/>
    <s v="53033020800"/>
  </r>
  <r>
    <x v="870"/>
    <x v="0"/>
    <s v="Bremerton"/>
    <s v="WA"/>
    <n v="98310"/>
    <x v="0"/>
    <x v="9"/>
    <s v="RAV4 PRIME (PHEV)"/>
    <x v="0"/>
    <s v="Clean Alternative Fuel Vehicle Eligible"/>
    <s v="42"/>
    <s v="0"/>
    <s v="23"/>
    <n v="244774967"/>
    <s v="POINT (-122.61273 47.57428)"/>
    <x v="0"/>
    <s v="53035080101"/>
  </r>
  <r>
    <x v="871"/>
    <x v="1"/>
    <s v="Federal Way"/>
    <s v="WA"/>
    <n v="98023"/>
    <x v="3"/>
    <x v="9"/>
    <s v="RAV4 PRIME (PHEV)"/>
    <x v="0"/>
    <s v="Clean Alternative Fuel Vehicle Eligible"/>
    <s v="42"/>
    <s v="0"/>
    <s v="30"/>
    <n v="280948517"/>
    <s v="POINT (-122.34059 47.32478)"/>
    <x v="1"/>
    <s v="53033030306"/>
  </r>
  <r>
    <x v="872"/>
    <x v="4"/>
    <s v="Camas"/>
    <s v="WA"/>
    <n v="98607"/>
    <x v="0"/>
    <x v="9"/>
    <s v="RAV4 PRIME (PHEV)"/>
    <x v="0"/>
    <s v="Clean Alternative Fuel Vehicle Eligible"/>
    <s v="42"/>
    <s v="0"/>
    <s v="18"/>
    <n v="257014621"/>
    <s v="POINT (-122.40199 45.58694)"/>
    <x v="3"/>
    <s v="53011040610"/>
  </r>
  <r>
    <x v="873"/>
    <x v="7"/>
    <s v="Olympia"/>
    <s v="WA"/>
    <n v="98506"/>
    <x v="3"/>
    <x v="9"/>
    <s v="RAV4 PRIME (PHEV)"/>
    <x v="0"/>
    <s v="Clean Alternative Fuel Vehicle Eligible"/>
    <s v="42"/>
    <s v="0"/>
    <s v="22"/>
    <n v="260677511"/>
    <s v="POINT (-122.87741 47.05997)"/>
    <x v="0"/>
    <s v="53067012211"/>
  </r>
  <r>
    <x v="874"/>
    <x v="1"/>
    <s v="Seattle"/>
    <s v="WA"/>
    <n v="98125"/>
    <x v="4"/>
    <x v="9"/>
    <s v="RAV4 PRIME (PHEV)"/>
    <x v="0"/>
    <s v="Clean Alternative Fuel Vehicle Eligible"/>
    <s v="42"/>
    <s v="0"/>
    <s v="46"/>
    <n v="275920704"/>
    <s v="POINT (-122.30253 47.72656)"/>
    <x v="4"/>
    <s v="53033001000"/>
  </r>
  <r>
    <x v="875"/>
    <x v="1"/>
    <s v="Snoqualmie"/>
    <s v="WA"/>
    <n v="98065"/>
    <x v="4"/>
    <x v="9"/>
    <s v="RAV4 PRIME (PHEV)"/>
    <x v="0"/>
    <s v="Clean Alternative Fuel Vehicle Eligible"/>
    <s v="42"/>
    <s v="0"/>
    <s v="5"/>
    <n v="279014179"/>
    <s v="POINT (-121.82432 47.52716)"/>
    <x v="17"/>
    <s v="53033032703"/>
  </r>
  <r>
    <x v="876"/>
    <x v="6"/>
    <s v="Bonney Lake"/>
    <s v="WA"/>
    <n v="98391"/>
    <x v="0"/>
    <x v="9"/>
    <s v="RAV4 PRIME (PHEV)"/>
    <x v="0"/>
    <s v="Clean Alternative Fuel Vehicle Eligible"/>
    <s v="42"/>
    <s v="0"/>
    <s v="31"/>
    <n v="238270805"/>
    <s v="POINT (-122.17144 47.19175)"/>
    <x v="1"/>
    <s v="53053070310"/>
  </r>
  <r>
    <x v="877"/>
    <x v="4"/>
    <s v="Battle Ground"/>
    <s v="WA"/>
    <n v="98604"/>
    <x v="3"/>
    <x v="9"/>
    <s v="RAV4 PRIME (PHEV)"/>
    <x v="0"/>
    <s v="Clean Alternative Fuel Vehicle Eligible"/>
    <s v="42"/>
    <s v="0"/>
    <s v="18"/>
    <n v="260123811"/>
    <s v="POINT (-122.5331 45.78092)"/>
    <x v="3"/>
    <s v="53011040416"/>
  </r>
  <r>
    <x v="878"/>
    <x v="7"/>
    <s v="Lacey"/>
    <s v="WA"/>
    <n v="98503"/>
    <x v="3"/>
    <x v="9"/>
    <s v="RAV4 PRIME (PHEV)"/>
    <x v="0"/>
    <s v="Clean Alternative Fuel Vehicle Eligible"/>
    <s v="42"/>
    <s v="0"/>
    <s v="22"/>
    <n v="274193468"/>
    <s v="POINT (-122.82324 47.04437)"/>
    <x v="0"/>
    <s v="53067011300"/>
  </r>
  <r>
    <x v="879"/>
    <x v="6"/>
    <s v="Puyallup"/>
    <s v="WA"/>
    <n v="98373"/>
    <x v="4"/>
    <x v="9"/>
    <s v="RAV4 PRIME (PHEV)"/>
    <x v="0"/>
    <s v="Clean Alternative Fuel Vehicle Eligible"/>
    <s v="42"/>
    <s v="0"/>
    <s v="25"/>
    <n v="276477106"/>
    <s v="POINT (-122.2988 47.13795)"/>
    <x v="1"/>
    <s v="53053071206"/>
  </r>
  <r>
    <x v="880"/>
    <x v="15"/>
    <s v="Spokane"/>
    <s v="WA"/>
    <n v="99206"/>
    <x v="4"/>
    <x v="9"/>
    <s v="RAV4 PRIME (PHEV)"/>
    <x v="0"/>
    <s v="Clean Alternative Fuel Vehicle Eligible"/>
    <s v="42"/>
    <s v="0"/>
    <s v="4"/>
    <n v="284721069"/>
    <s v="POINT (-117.24522 47.66118)"/>
    <x v="12"/>
    <s v="53063012402"/>
  </r>
  <r>
    <x v="881"/>
    <x v="6"/>
    <s v="Tacoma"/>
    <s v="WA"/>
    <n v="98422"/>
    <x v="8"/>
    <x v="2"/>
    <s v="SPARK"/>
    <x v="1"/>
    <s v="Clean Alternative Fuel Vehicle Eligible"/>
    <s v="82"/>
    <s v="0"/>
    <s v="27"/>
    <n v="307978478"/>
    <s v="POINT (-122.39471 47.28159)"/>
    <x v="11"/>
    <s v="53053940001"/>
  </r>
  <r>
    <x v="882"/>
    <x v="6"/>
    <s v="Steilacoom"/>
    <s v="WA"/>
    <n v="98388"/>
    <x v="6"/>
    <x v="2"/>
    <s v="SPARK"/>
    <x v="1"/>
    <s v="Clean Alternative Fuel Vehicle Eligible"/>
    <s v="82"/>
    <s v="0"/>
    <s v="28"/>
    <n v="234499450"/>
    <s v="POINT (-122.59802 47.17303)"/>
    <x v="36"/>
    <s v="53053072109"/>
  </r>
  <r>
    <x v="883"/>
    <x v="11"/>
    <s v="Mount Vernon"/>
    <s v="WA"/>
    <n v="98274"/>
    <x v="8"/>
    <x v="2"/>
    <s v="SPARK"/>
    <x v="1"/>
    <s v="Clean Alternative Fuel Vehicle Eligible"/>
    <s v="82"/>
    <s v="0"/>
    <s v="10"/>
    <n v="220385476"/>
    <s v="POINT (-122.32355 48.41566)"/>
    <x v="0"/>
    <s v="53057952404"/>
  </r>
  <r>
    <x v="884"/>
    <x v="2"/>
    <s v="Edmonds"/>
    <s v="WA"/>
    <n v="98026"/>
    <x v="3"/>
    <x v="23"/>
    <s v="KONA"/>
    <x v="1"/>
    <s v="Eligibility unknown as battery range has not been researched"/>
    <s v="0"/>
    <s v="0"/>
    <s v="21"/>
    <n v="267276481"/>
    <s v="POINT (-122.31768 47.87166)"/>
    <x v="0"/>
    <s v="53061042003"/>
  </r>
  <r>
    <x v="885"/>
    <x v="2"/>
    <s v="Everett"/>
    <s v="WA"/>
    <n v="98208"/>
    <x v="3"/>
    <x v="23"/>
    <s v="TUCSON"/>
    <x v="0"/>
    <s v="Clean Alternative Fuel Vehicle Eligible"/>
    <s v="33"/>
    <s v="0"/>
    <s v="44"/>
    <n v="274147338"/>
    <s v="POINT (-122.18637 47.89251)"/>
    <x v="0"/>
    <s v="53061052121"/>
  </r>
  <r>
    <x v="886"/>
    <x v="14"/>
    <s v="Walla Walla"/>
    <s v="WA"/>
    <n v="99362"/>
    <x v="3"/>
    <x v="23"/>
    <s v="TUCSON"/>
    <x v="0"/>
    <s v="Clean Alternative Fuel Vehicle Eligible"/>
    <s v="33"/>
    <s v="0"/>
    <s v="16"/>
    <n v="276685608"/>
    <s v="POINT (-118.34261 46.07068)"/>
    <x v="2"/>
    <s v="53071920802"/>
  </r>
  <r>
    <x v="887"/>
    <x v="1"/>
    <s v="Bellevue"/>
    <s v="WA"/>
    <n v="98004"/>
    <x v="3"/>
    <x v="23"/>
    <s v="TUCSON"/>
    <x v="0"/>
    <s v="Clean Alternative Fuel Vehicle Eligible"/>
    <s v="33"/>
    <s v="0"/>
    <s v="48"/>
    <n v="271936220"/>
    <s v="POINT (-122.1872 47.61001)"/>
    <x v="1"/>
    <s v="53033024001"/>
  </r>
  <r>
    <x v="888"/>
    <x v="0"/>
    <s v="Bremerton"/>
    <s v="WA"/>
    <n v="98311"/>
    <x v="4"/>
    <x v="23"/>
    <s v="TUCSON"/>
    <x v="0"/>
    <s v="Clean Alternative Fuel Vehicle Eligible"/>
    <s v="32"/>
    <s v="0"/>
    <s v="23"/>
    <n v="281377456"/>
    <s v="POINT (-122.60915 47.62631)"/>
    <x v="0"/>
    <s v="53035091600"/>
  </r>
  <r>
    <x v="889"/>
    <x v="1"/>
    <s v="Seattle"/>
    <s v="WA"/>
    <n v="98117"/>
    <x v="0"/>
    <x v="23"/>
    <s v="KONA"/>
    <x v="1"/>
    <s v="Eligibility unknown as battery range has not been researched"/>
    <s v="0"/>
    <s v="0"/>
    <s v="36"/>
    <n v="254040573"/>
    <s v="POINT (-122.38418 47.70044)"/>
    <x v="4"/>
    <s v="53033002900"/>
  </r>
  <r>
    <x v="890"/>
    <x v="1"/>
    <s v="Seattle"/>
    <s v="WA"/>
    <n v="98178"/>
    <x v="11"/>
    <x v="23"/>
    <s v="KONA"/>
    <x v="1"/>
    <s v="Clean Alternative Fuel Vehicle Eligible"/>
    <s v="258"/>
    <s v="0"/>
    <s v="37"/>
    <n v="8996998"/>
    <s v="POINT (-122.23825 47.49461)"/>
    <x v="4"/>
    <s v="53033011902"/>
  </r>
  <r>
    <x v="891"/>
    <x v="0"/>
    <s v="Bremerton"/>
    <s v="WA"/>
    <n v="98310"/>
    <x v="11"/>
    <x v="23"/>
    <s v="KONA"/>
    <x v="1"/>
    <s v="Clean Alternative Fuel Vehicle Eligible"/>
    <s v="258"/>
    <s v="0"/>
    <s v="23"/>
    <n v="120214083"/>
    <s v="POINT (-122.61273 47.57428)"/>
    <x v="0"/>
    <s v="53035080200"/>
  </r>
  <r>
    <x v="892"/>
    <x v="27"/>
    <s v="East Wenatchee"/>
    <s v="WA"/>
    <n v="98802"/>
    <x v="0"/>
    <x v="23"/>
    <s v="KONA"/>
    <x v="1"/>
    <s v="Eligibility unknown as battery range has not been researched"/>
    <s v="0"/>
    <s v="0"/>
    <s v="12"/>
    <n v="230835048"/>
    <s v="POINT (-120.29473 47.41515)"/>
    <x v="28"/>
    <s v="53017950800"/>
  </r>
  <r>
    <x v="893"/>
    <x v="4"/>
    <s v="Camas"/>
    <s v="WA"/>
    <n v="98607"/>
    <x v="2"/>
    <x v="23"/>
    <s v="IONIQ 5"/>
    <x v="1"/>
    <s v="Eligibility unknown as battery range has not been researched"/>
    <s v="0"/>
    <s v="0"/>
    <s v="18"/>
    <n v="210098367"/>
    <s v="POINT (-122.40199 45.58694)"/>
    <x v="3"/>
    <s v="53011040609"/>
  </r>
  <r>
    <x v="894"/>
    <x v="1"/>
    <s v="Covington"/>
    <s v="WA"/>
    <n v="98042"/>
    <x v="3"/>
    <x v="23"/>
    <s v="IONIQ 5"/>
    <x v="1"/>
    <s v="Eligibility unknown as battery range has not been researched"/>
    <s v="0"/>
    <s v="0"/>
    <s v="47"/>
    <n v="267768917"/>
    <s v="POINT (-122.09124 47.33778)"/>
    <x v="1"/>
    <s v="53033032006"/>
  </r>
  <r>
    <x v="895"/>
    <x v="1"/>
    <s v="Seattle"/>
    <s v="WA"/>
    <n v="98118"/>
    <x v="0"/>
    <x v="23"/>
    <s v="IONIQ 5"/>
    <x v="1"/>
    <s v="Eligibility unknown as battery range has not been researched"/>
    <s v="0"/>
    <s v="0"/>
    <s v="37"/>
    <n v="252677099"/>
    <s v="POINT (-122.2668 47.55115)"/>
    <x v="4"/>
    <s v="53033011700"/>
  </r>
  <r>
    <x v="896"/>
    <x v="22"/>
    <s v="Bellingham"/>
    <s v="WA"/>
    <n v="98225"/>
    <x v="0"/>
    <x v="23"/>
    <s v="IONIQ 5"/>
    <x v="1"/>
    <s v="Eligibility unknown as battery range has not been researched"/>
    <s v="0"/>
    <s v="0"/>
    <s v="40"/>
    <n v="230881136"/>
    <s v="POINT (-122.47091 48.75256)"/>
    <x v="23"/>
    <s v="53073001102"/>
  </r>
  <r>
    <x v="897"/>
    <x v="1"/>
    <s v="Federal Way"/>
    <s v="WA"/>
    <n v="98023"/>
    <x v="0"/>
    <x v="23"/>
    <s v="IONIQ 5"/>
    <x v="1"/>
    <s v="Eligibility unknown as battery range has not been researched"/>
    <s v="0"/>
    <s v="0"/>
    <s v="30"/>
    <n v="227374493"/>
    <s v="POINT (-122.34059 47.32478)"/>
    <x v="1"/>
    <s v="53033030312"/>
  </r>
  <r>
    <x v="898"/>
    <x v="2"/>
    <s v="Lynnwood"/>
    <s v="WA"/>
    <n v="98037"/>
    <x v="2"/>
    <x v="23"/>
    <s v="IONIQ 5"/>
    <x v="1"/>
    <s v="Eligibility unknown as battery range has not been researched"/>
    <s v="0"/>
    <s v="0"/>
    <s v="32"/>
    <n v="208648835"/>
    <s v="POINT (-122.27734 47.83785)"/>
    <x v="0"/>
    <s v="53061051802"/>
  </r>
  <r>
    <x v="899"/>
    <x v="1"/>
    <s v="Woodinville"/>
    <s v="WA"/>
    <n v="98072"/>
    <x v="0"/>
    <x v="23"/>
    <s v="IONIQ 5"/>
    <x v="1"/>
    <s v="Eligibility unknown as battery range has not been researched"/>
    <s v="0"/>
    <s v="0"/>
    <s v="45"/>
    <n v="253355672"/>
    <s v="POINT (-122.15545 47.75448)"/>
    <x v="1"/>
    <s v="53033032307"/>
  </r>
  <r>
    <x v="900"/>
    <x v="1"/>
    <s v="North Bend"/>
    <s v="WA"/>
    <n v="98045"/>
    <x v="0"/>
    <x v="23"/>
    <s v="IONIQ 5"/>
    <x v="1"/>
    <s v="Eligibility unknown as battery range has not been researched"/>
    <s v="0"/>
    <s v="0"/>
    <s v="5"/>
    <n v="245711091"/>
    <s v="POINT (-121.7831 47.49348)"/>
    <x v="1"/>
    <s v="53033032705"/>
  </r>
  <r>
    <x v="900"/>
    <x v="1"/>
    <s v="Kirkland"/>
    <s v="WA"/>
    <n v="98034"/>
    <x v="0"/>
    <x v="23"/>
    <s v="IONIQ 5"/>
    <x v="1"/>
    <s v="Eligibility unknown as battery range has not been researched"/>
    <s v="0"/>
    <s v="0"/>
    <s v="45"/>
    <n v="230275363"/>
    <s v="POINT (-122.22901 47.72201)"/>
    <x v="1"/>
    <s v="53033022003"/>
  </r>
  <r>
    <x v="901"/>
    <x v="15"/>
    <s v="Spokane"/>
    <s v="WA"/>
    <n v="99205"/>
    <x v="3"/>
    <x v="23"/>
    <s v="IONIQ 5"/>
    <x v="1"/>
    <s v="Eligibility unknown as battery range has not been researched"/>
    <s v="0"/>
    <s v="0"/>
    <s v="3"/>
    <n v="274293358"/>
    <s v="POINT (-117.45674 47.69963)"/>
    <x v="15"/>
    <s v="53063001000"/>
  </r>
  <r>
    <x v="902"/>
    <x v="1"/>
    <s v="Seattle"/>
    <s v="WA"/>
    <n v="98119"/>
    <x v="3"/>
    <x v="23"/>
    <s v="IONIQ 5"/>
    <x v="1"/>
    <s v="Eligibility unknown as battery range has not been researched"/>
    <s v="0"/>
    <s v="0"/>
    <s v="36"/>
    <n v="261480208"/>
    <s v="POINT (-122.3684 47.64586)"/>
    <x v="4"/>
    <s v="53033005902"/>
  </r>
  <r>
    <x v="903"/>
    <x v="0"/>
    <s v="Poulsbo"/>
    <s v="WA"/>
    <n v="98370"/>
    <x v="3"/>
    <x v="23"/>
    <s v="IONIQ 5"/>
    <x v="1"/>
    <s v="Eligibility unknown as battery range has not been researched"/>
    <s v="0"/>
    <s v="0"/>
    <s v="23"/>
    <n v="276691852"/>
    <s v="POINT (-122.64681 47.73689)"/>
    <x v="0"/>
    <s v="53035090502"/>
  </r>
  <r>
    <x v="903"/>
    <x v="1"/>
    <s v="Redmond"/>
    <s v="WA"/>
    <n v="98052"/>
    <x v="3"/>
    <x v="23"/>
    <s v="IONIQ 5"/>
    <x v="1"/>
    <s v="Eligibility unknown as battery range has not been researched"/>
    <s v="0"/>
    <s v="0"/>
    <s v="48"/>
    <n v="272406221"/>
    <s v="POINT (-122.13158 47.67858)"/>
    <x v="1"/>
    <s v="53033022902"/>
  </r>
  <r>
    <x v="904"/>
    <x v="20"/>
    <s v="Sequim"/>
    <s v="WA"/>
    <n v="98382"/>
    <x v="0"/>
    <x v="23"/>
    <s v="IONIQ 5"/>
    <x v="1"/>
    <s v="Eligibility unknown as battery range has not been researched"/>
    <s v="0"/>
    <s v="0"/>
    <s v="24"/>
    <n v="233618591"/>
    <s v="POINT (-123.10367 48.07965)"/>
    <x v="20"/>
    <s v="53009002002"/>
  </r>
  <r>
    <x v="905"/>
    <x v="2"/>
    <s v="Mountlake Terrace"/>
    <s v="WA"/>
    <n v="98043"/>
    <x v="0"/>
    <x v="23"/>
    <s v="IONIQ 5"/>
    <x v="1"/>
    <s v="Eligibility unknown as battery range has not been researched"/>
    <s v="0"/>
    <s v="0"/>
    <s v="1"/>
    <n v="236528449"/>
    <s v="POINT (-122.31111 47.78803)"/>
    <x v="0"/>
    <s v="53061051301"/>
  </r>
  <r>
    <x v="905"/>
    <x v="2"/>
    <s v="Marysville"/>
    <s v="WA"/>
    <n v="98271"/>
    <x v="0"/>
    <x v="23"/>
    <s v="IONIQ 5"/>
    <x v="1"/>
    <s v="Eligibility unknown as battery range has not been researched"/>
    <s v="0"/>
    <s v="0"/>
    <s v="39"/>
    <n v="270183910"/>
    <s v="POINT (-122.1677 48.11026)"/>
    <x v="0"/>
    <s v="53061052808"/>
  </r>
  <r>
    <x v="906"/>
    <x v="1"/>
    <s v="Seattle"/>
    <s v="WA"/>
    <n v="98177"/>
    <x v="0"/>
    <x v="23"/>
    <s v="IONIQ 5"/>
    <x v="1"/>
    <s v="Eligibility unknown as battery range has not been researched"/>
    <s v="0"/>
    <s v="0"/>
    <s v="32"/>
    <n v="226085527"/>
    <s v="POINT (-122.36498 47.72238)"/>
    <x v="4"/>
    <s v="53033000500"/>
  </r>
  <r>
    <x v="907"/>
    <x v="1"/>
    <s v="Redmond"/>
    <s v="WA"/>
    <n v="98052"/>
    <x v="3"/>
    <x v="23"/>
    <s v="IONIQ 5"/>
    <x v="1"/>
    <s v="Eligibility unknown as battery range has not been researched"/>
    <s v="0"/>
    <s v="0"/>
    <s v="45"/>
    <n v="269721294"/>
    <s v="POINT (-122.13158 47.67858)"/>
    <x v="1"/>
    <s v="53033032321"/>
  </r>
  <r>
    <x v="908"/>
    <x v="1"/>
    <s v="Seattle"/>
    <s v="WA"/>
    <n v="98122"/>
    <x v="3"/>
    <x v="23"/>
    <s v="IONIQ 5"/>
    <x v="1"/>
    <s v="Eligibility unknown as battery range has not been researched"/>
    <s v="0"/>
    <s v="0"/>
    <s v="37"/>
    <n v="277626786"/>
    <s v="POINT (-122.31009 47.60803)"/>
    <x v="4"/>
    <s v="53033008800"/>
  </r>
  <r>
    <x v="909"/>
    <x v="1"/>
    <s v="Seattle"/>
    <s v="WA"/>
    <n v="98125"/>
    <x v="3"/>
    <x v="23"/>
    <s v="IONIQ 5"/>
    <x v="1"/>
    <s v="Eligibility unknown as battery range has not been researched"/>
    <s v="0"/>
    <s v="0"/>
    <s v="46"/>
    <n v="274528068"/>
    <s v="POINT (-122.30253 47.72656)"/>
    <x v="4"/>
    <s v="53033001000"/>
  </r>
  <r>
    <x v="909"/>
    <x v="7"/>
    <s v="Olympia"/>
    <s v="WA"/>
    <n v="98502"/>
    <x v="3"/>
    <x v="23"/>
    <s v="IONIQ 5"/>
    <x v="1"/>
    <s v="Eligibility unknown as battery range has not been researched"/>
    <s v="0"/>
    <s v="0"/>
    <s v="35"/>
    <n v="274921398"/>
    <s v="POINT (-122.92333 47.03779)"/>
    <x v="0"/>
    <s v="53067011902"/>
  </r>
  <r>
    <x v="909"/>
    <x v="1"/>
    <s v="Bellevue"/>
    <s v="WA"/>
    <n v="98004"/>
    <x v="3"/>
    <x v="23"/>
    <s v="IONIQ 5"/>
    <x v="1"/>
    <s v="Eligibility unknown as battery range has not been researched"/>
    <s v="0"/>
    <s v="0"/>
    <s v="41"/>
    <n v="272486868"/>
    <s v="POINT (-122.1872 47.61001)"/>
    <x v="1"/>
    <s v="53033023902"/>
  </r>
  <r>
    <x v="910"/>
    <x v="1"/>
    <s v="Seattle"/>
    <s v="WA"/>
    <n v="98112"/>
    <x v="3"/>
    <x v="23"/>
    <s v="IONIQ 5"/>
    <x v="1"/>
    <s v="Eligibility unknown as battery range has not been researched"/>
    <s v="0"/>
    <s v="0"/>
    <s v="37"/>
    <n v="261873594"/>
    <s v="POINT (-122.30207 47.64085)"/>
    <x v="4"/>
    <s v="53033007800"/>
  </r>
  <r>
    <x v="910"/>
    <x v="1"/>
    <s v="Kirkland"/>
    <s v="WA"/>
    <n v="98034"/>
    <x v="3"/>
    <x v="23"/>
    <s v="IONIQ 5"/>
    <x v="1"/>
    <s v="Eligibility unknown as battery range has not been researched"/>
    <s v="0"/>
    <s v="0"/>
    <s v="45"/>
    <n v="280008795"/>
    <s v="POINT (-122.22901 47.72201)"/>
    <x v="1"/>
    <s v="53033021903"/>
  </r>
  <r>
    <x v="911"/>
    <x v="1"/>
    <s v="Seattle"/>
    <s v="WA"/>
    <n v="98103"/>
    <x v="3"/>
    <x v="23"/>
    <s v="IONIQ 5"/>
    <x v="1"/>
    <s v="Eligibility unknown as battery range has not been researched"/>
    <s v="0"/>
    <s v="0"/>
    <s v="36"/>
    <n v="276783923"/>
    <s v="POINT (-122.35436 47.67596)"/>
    <x v="4"/>
    <s v="53033002800"/>
  </r>
  <r>
    <x v="912"/>
    <x v="1"/>
    <s v="Seattle"/>
    <s v="WA"/>
    <n v="98109"/>
    <x v="4"/>
    <x v="23"/>
    <s v="IONIQ 6"/>
    <x v="1"/>
    <s v="Eligibility unknown as battery range has not been researched"/>
    <s v="0"/>
    <s v="0"/>
    <s v="43"/>
    <n v="286019534"/>
    <s v="POINT (-122.35022 47.63824)"/>
    <x v="4"/>
    <s v="53033007303"/>
  </r>
  <r>
    <x v="913"/>
    <x v="1"/>
    <s v="Kent"/>
    <s v="WA"/>
    <n v="98032"/>
    <x v="3"/>
    <x v="23"/>
    <s v="IONIQ 6"/>
    <x v="1"/>
    <s v="Eligibility unknown as battery range has not been researched"/>
    <s v="0"/>
    <s v="0"/>
    <s v="33"/>
    <n v="275571901"/>
    <s v="POINT (-122.23741 47.3807)"/>
    <x v="1"/>
    <s v="53033028300"/>
  </r>
  <r>
    <x v="914"/>
    <x v="1"/>
    <s v="Sammamish"/>
    <s v="WA"/>
    <n v="98074"/>
    <x v="3"/>
    <x v="23"/>
    <s v="IONIQ 6"/>
    <x v="1"/>
    <s v="Eligibility unknown as battery range has not been researched"/>
    <s v="0"/>
    <s v="0"/>
    <s v="45"/>
    <n v="263061137"/>
    <s v="POINT (-122.02054 47.60326)"/>
    <x v="1"/>
    <s v="53033032316"/>
  </r>
  <r>
    <x v="915"/>
    <x v="1"/>
    <s v="Snoqualmie"/>
    <s v="WA"/>
    <n v="98065"/>
    <x v="0"/>
    <x v="23"/>
    <s v="IONIQ 6"/>
    <x v="1"/>
    <s v="Eligibility unknown as battery range has not been researched"/>
    <s v="0"/>
    <s v="0"/>
    <s v="5"/>
    <n v="260699771"/>
    <s v="POINT (-121.82432 47.52716)"/>
    <x v="1"/>
    <s v="53033032604"/>
  </r>
  <r>
    <x v="916"/>
    <x v="2"/>
    <s v="Monroe"/>
    <s v="WA"/>
    <n v="98272"/>
    <x v="3"/>
    <x v="18"/>
    <s v="GV60"/>
    <x v="1"/>
    <s v="Eligibility unknown as battery range has not been researched"/>
    <s v="0"/>
    <s v="0"/>
    <s v="39"/>
    <n v="273461030"/>
    <s v="POINT (-121.98087 47.8526)"/>
    <x v="0"/>
    <s v="53061052206"/>
  </r>
  <r>
    <x v="917"/>
    <x v="6"/>
    <s v="Dupont"/>
    <s v="WA"/>
    <n v="98327"/>
    <x v="10"/>
    <x v="19"/>
    <s v="OPTIMA"/>
    <x v="0"/>
    <s v="Not eligible due to low battery range"/>
    <s v="29"/>
    <s v="0"/>
    <s v="28"/>
    <n v="157737002"/>
    <s v="POINT (-122.62954 47.09583)"/>
    <x v="1"/>
    <s v="53053072801"/>
  </r>
  <r>
    <x v="918"/>
    <x v="2"/>
    <s v="Mountlake Terrace"/>
    <s v="WA"/>
    <n v="98043"/>
    <x v="3"/>
    <x v="19"/>
    <s v="EV9"/>
    <x v="1"/>
    <s v="Eligibility unknown as battery range has not been researched"/>
    <s v="0"/>
    <s v="0"/>
    <s v="1"/>
    <n v="274315464"/>
    <s v="POINT (-122.31111 47.78803)"/>
    <x v="0"/>
    <s v="53061051100"/>
  </r>
  <r>
    <x v="919"/>
    <x v="6"/>
    <s v="University Place"/>
    <s v="WA"/>
    <n v="98466"/>
    <x v="3"/>
    <x v="19"/>
    <s v="EV9"/>
    <x v="1"/>
    <s v="Eligibility unknown as battery range has not been researched"/>
    <s v="0"/>
    <s v="0"/>
    <s v="28"/>
    <n v="275391637"/>
    <s v="POINT (-122.5381 47.2326)"/>
    <x v="11"/>
    <s v="53053072309"/>
  </r>
  <r>
    <x v="920"/>
    <x v="1"/>
    <s v="Redmond"/>
    <s v="WA"/>
    <n v="98052"/>
    <x v="3"/>
    <x v="19"/>
    <s v="EV9"/>
    <x v="1"/>
    <s v="Eligibility unknown as battery range has not been researched"/>
    <s v="0"/>
    <s v="0"/>
    <s v="45"/>
    <n v="273717643"/>
    <s v="POINT (-122.13158 47.67858)"/>
    <x v="1"/>
    <s v="53033032323"/>
  </r>
  <r>
    <x v="921"/>
    <x v="7"/>
    <s v="Rochester"/>
    <s v="WA"/>
    <n v="98579"/>
    <x v="4"/>
    <x v="19"/>
    <s v="EV9"/>
    <x v="1"/>
    <s v="Eligibility unknown as battery range has not been researched"/>
    <s v="0"/>
    <s v="0"/>
    <s v="35"/>
    <n v="276205233"/>
    <s v="POINT (-123.08743 46.82175)"/>
    <x v="0"/>
    <s v="53067012720"/>
  </r>
  <r>
    <x v="921"/>
    <x v="1"/>
    <s v="Seattle"/>
    <s v="WA"/>
    <n v="98125"/>
    <x v="4"/>
    <x v="19"/>
    <s v="EV9"/>
    <x v="1"/>
    <s v="Eligibility unknown as battery range has not been researched"/>
    <s v="0"/>
    <s v="0"/>
    <s v="46"/>
    <n v="275956628"/>
    <s v="POINT (-122.30253 47.72656)"/>
    <x v="4"/>
    <s v="53033000800"/>
  </r>
  <r>
    <x v="922"/>
    <x v="1"/>
    <s v="Seattle"/>
    <s v="WA"/>
    <n v="98125"/>
    <x v="3"/>
    <x v="19"/>
    <s v="EV9"/>
    <x v="1"/>
    <s v="Eligibility unknown as battery range has not been researched"/>
    <s v="0"/>
    <s v="0"/>
    <s v="46"/>
    <n v="278047465"/>
    <s v="POINT (-122.30253 47.72656)"/>
    <x v="4"/>
    <s v="53033000900"/>
  </r>
  <r>
    <x v="923"/>
    <x v="1"/>
    <s v="Seattle"/>
    <s v="WA"/>
    <n v="98125"/>
    <x v="3"/>
    <x v="19"/>
    <s v="EV9"/>
    <x v="1"/>
    <s v="Eligibility unknown as battery range has not been researched"/>
    <s v="0"/>
    <s v="0"/>
    <s v="46"/>
    <n v="273285204"/>
    <s v="POINT (-122.30253 47.72656)"/>
    <x v="4"/>
    <s v="53033000800"/>
  </r>
  <r>
    <x v="924"/>
    <x v="6"/>
    <s v="Tacoma"/>
    <s v="WA"/>
    <n v="98409"/>
    <x v="4"/>
    <x v="19"/>
    <s v="EV9"/>
    <x v="1"/>
    <s v="Eligibility unknown as battery range has not been researched"/>
    <s v="0"/>
    <s v="0"/>
    <s v="29"/>
    <n v="276757806"/>
    <s v="POINT (-122.47913 47.2198)"/>
    <x v="11"/>
    <s v="53053062801"/>
  </r>
  <r>
    <x v="925"/>
    <x v="1"/>
    <s v="Burien"/>
    <s v="WA"/>
    <n v="98146"/>
    <x v="3"/>
    <x v="19"/>
    <s v="EV9"/>
    <x v="1"/>
    <s v="Eligibility unknown as battery range has not been researched"/>
    <s v="0"/>
    <s v="0"/>
    <s v="34"/>
    <n v="265304336"/>
    <s v="POINT (-122.36178 47.49408)"/>
    <x v="4"/>
    <s v="53033026700"/>
  </r>
  <r>
    <x v="926"/>
    <x v="15"/>
    <s v="Liberty Lake"/>
    <s v="WA"/>
    <n v="99019"/>
    <x v="3"/>
    <x v="19"/>
    <s v="EV9"/>
    <x v="1"/>
    <s v="Eligibility unknown as battery range has not been researched"/>
    <s v="0"/>
    <s v="0"/>
    <s v="4"/>
    <n v="270669458"/>
    <s v="POINT (-117.1015 47.66829)"/>
    <x v="12"/>
    <s v="53063013205"/>
  </r>
  <r>
    <x v="927"/>
    <x v="2"/>
    <s v="Lynnwood"/>
    <s v="WA"/>
    <n v="98037"/>
    <x v="3"/>
    <x v="19"/>
    <s v="EV9"/>
    <x v="1"/>
    <s v="Eligibility unknown as battery range has not been researched"/>
    <s v="0"/>
    <s v="0"/>
    <s v="32"/>
    <n v="272065678"/>
    <s v="POINT (-122.27734 47.83785)"/>
    <x v="0"/>
    <s v="53061051601"/>
  </r>
  <r>
    <x v="928"/>
    <x v="6"/>
    <s v="Tacoma"/>
    <s v="WA"/>
    <n v="98403"/>
    <x v="2"/>
    <x v="19"/>
    <s v="EV6"/>
    <x v="1"/>
    <s v="Eligibility unknown as battery range has not been researched"/>
    <s v="0"/>
    <s v="0"/>
    <s v="27"/>
    <n v="277761809"/>
    <s v="POINT (-122.45782 47.26541)"/>
    <x v="11"/>
    <s v="53053060600"/>
  </r>
  <r>
    <x v="929"/>
    <x v="22"/>
    <s v="Lynden"/>
    <s v="WA"/>
    <n v="98264"/>
    <x v="2"/>
    <x v="19"/>
    <s v="EV6"/>
    <x v="1"/>
    <s v="Eligibility unknown as battery range has not been researched"/>
    <s v="0"/>
    <s v="0"/>
    <s v="42"/>
    <n v="220082180"/>
    <s v="POINT (-122.45051 48.94298)"/>
    <x v="23"/>
    <s v="53073010303"/>
  </r>
  <r>
    <x v="930"/>
    <x v="2"/>
    <s v="Edmonds"/>
    <s v="WA"/>
    <n v="98026"/>
    <x v="2"/>
    <x v="19"/>
    <s v="EV6"/>
    <x v="1"/>
    <s v="Eligibility unknown as battery range has not been researched"/>
    <s v="0"/>
    <s v="0"/>
    <s v="21"/>
    <n v="218186027"/>
    <s v="POINT (-122.31768 47.87166)"/>
    <x v="0"/>
    <s v="53061050300"/>
  </r>
  <r>
    <x v="931"/>
    <x v="7"/>
    <s v="Lacey"/>
    <s v="WA"/>
    <n v="98503"/>
    <x v="0"/>
    <x v="19"/>
    <s v="EV6"/>
    <x v="1"/>
    <s v="Eligibility unknown as battery range has not been researched"/>
    <s v="0"/>
    <s v="0"/>
    <s v="22"/>
    <n v="228635529"/>
    <s v="POINT (-122.82324 47.04437)"/>
    <x v="0"/>
    <s v="53067011626"/>
  </r>
  <r>
    <x v="932"/>
    <x v="1"/>
    <s v="Bothell"/>
    <s v="WA"/>
    <n v="98011"/>
    <x v="3"/>
    <x v="19"/>
    <s v="EV6"/>
    <x v="1"/>
    <s v="Eligibility unknown as battery range has not been researched"/>
    <s v="0"/>
    <s v="0"/>
    <s v="1"/>
    <n v="261070029"/>
    <s v="POINT (-122.20563 47.76144)"/>
    <x v="1"/>
    <s v="53033021905"/>
  </r>
  <r>
    <x v="933"/>
    <x v="1"/>
    <s v="Seattle"/>
    <s v="WA"/>
    <n v="98122"/>
    <x v="2"/>
    <x v="19"/>
    <s v="EV6"/>
    <x v="1"/>
    <s v="Eligibility unknown as battery range has not been researched"/>
    <s v="0"/>
    <s v="0"/>
    <s v="37"/>
    <n v="285901451"/>
    <s v="POINT (-122.31009 47.60803)"/>
    <x v="4"/>
    <s v="53033007800"/>
  </r>
  <r>
    <x v="934"/>
    <x v="1"/>
    <s v="North Bend"/>
    <s v="WA"/>
    <n v="98045"/>
    <x v="3"/>
    <x v="19"/>
    <s v="EV6"/>
    <x v="1"/>
    <s v="Eligibility unknown as battery range has not been researched"/>
    <s v="0"/>
    <s v="0"/>
    <s v="5"/>
    <n v="263302546"/>
    <s v="POINT (-121.7831 47.49348)"/>
    <x v="1"/>
    <s v="53033032704"/>
  </r>
  <r>
    <x v="935"/>
    <x v="1"/>
    <s v="Seattle"/>
    <s v="WA"/>
    <n v="98103"/>
    <x v="3"/>
    <x v="19"/>
    <s v="EV6"/>
    <x v="1"/>
    <s v="Eligibility unknown as battery range has not been researched"/>
    <s v="0"/>
    <s v="0"/>
    <s v="43"/>
    <n v="275184199"/>
    <s v="POINT (-122.35436 47.67596)"/>
    <x v="4"/>
    <s v="53033003500"/>
  </r>
  <r>
    <x v="936"/>
    <x v="7"/>
    <s v="Tumwater"/>
    <s v="WA"/>
    <n v="98512"/>
    <x v="2"/>
    <x v="19"/>
    <s v="EV6"/>
    <x v="1"/>
    <s v="Eligibility unknown as battery range has not been researched"/>
    <s v="0"/>
    <s v="0"/>
    <s v="22"/>
    <n v="207295728"/>
    <s v="POINT (-122.90787 46.9461)"/>
    <x v="0"/>
    <s v="53067010910"/>
  </r>
  <r>
    <x v="937"/>
    <x v="1"/>
    <s v="Sammamish"/>
    <s v="WA"/>
    <n v="98074"/>
    <x v="3"/>
    <x v="19"/>
    <s v="EV6"/>
    <x v="1"/>
    <s v="Eligibility unknown as battery range has not been researched"/>
    <s v="0"/>
    <s v="0"/>
    <s v="45"/>
    <n v="274279414"/>
    <s v="POINT (-122.02054 47.60326)"/>
    <x v="1"/>
    <s v="53033032317"/>
  </r>
  <r>
    <x v="938"/>
    <x v="2"/>
    <s v="Edmonds"/>
    <s v="WA"/>
    <n v="98020"/>
    <x v="2"/>
    <x v="19"/>
    <s v="EV6"/>
    <x v="1"/>
    <s v="Eligibility unknown as battery range has not been researched"/>
    <s v="0"/>
    <s v="0"/>
    <s v="21"/>
    <n v="218850866"/>
    <s v="POINT (-122.37689 47.81116)"/>
    <x v="0"/>
    <s v="53061050200"/>
  </r>
  <r>
    <x v="938"/>
    <x v="12"/>
    <s v="Nine Mile Falls"/>
    <s v="WA"/>
    <n v="99026"/>
    <x v="2"/>
    <x v="19"/>
    <s v="EV6"/>
    <x v="1"/>
    <s v="Eligibility unknown as battery range has not been researched"/>
    <s v="0"/>
    <s v="0"/>
    <s v="7"/>
    <n v="211396937"/>
    <s v="POINT (-117.54392 47.77676)"/>
    <x v="26"/>
    <s v="53065951401"/>
  </r>
  <r>
    <x v="939"/>
    <x v="3"/>
    <s v="Yakima"/>
    <s v="WA"/>
    <n v="98908"/>
    <x v="2"/>
    <x v="19"/>
    <s v="EV6"/>
    <x v="1"/>
    <s v="Eligibility unknown as battery range has not been researched"/>
    <s v="0"/>
    <s v="0"/>
    <s v="14"/>
    <n v="219969144"/>
    <s v="POINT (-120.60199 46.59817)"/>
    <x v="2"/>
    <s v="53077000904"/>
  </r>
  <r>
    <x v="939"/>
    <x v="1"/>
    <s v="Seattle"/>
    <s v="WA"/>
    <n v="98125"/>
    <x v="2"/>
    <x v="19"/>
    <s v="EV6"/>
    <x v="1"/>
    <s v="Eligibility unknown as battery range has not been researched"/>
    <s v="0"/>
    <s v="0"/>
    <s v="46"/>
    <n v="195672165"/>
    <s v="POINT (-122.30253 47.72656)"/>
    <x v="4"/>
    <s v="53033000900"/>
  </r>
  <r>
    <x v="940"/>
    <x v="24"/>
    <s v="Aberdeen"/>
    <s v="WA"/>
    <n v="98520"/>
    <x v="0"/>
    <x v="19"/>
    <s v="EV6"/>
    <x v="1"/>
    <s v="Eligibility unknown as battery range has not been researched"/>
    <s v="0"/>
    <s v="0"/>
    <s v="19"/>
    <n v="230318364"/>
    <s v="POINT (-123.81619 46.97606)"/>
    <x v="25"/>
    <s v="53027001100"/>
  </r>
  <r>
    <x v="941"/>
    <x v="1"/>
    <s v="Lake Forest Park"/>
    <s v="WA"/>
    <n v="98155"/>
    <x v="10"/>
    <x v="19"/>
    <s v="NIRO"/>
    <x v="0"/>
    <s v="Not eligible due to low battery range"/>
    <s v="26"/>
    <s v="0"/>
    <s v="46"/>
    <n v="211744375"/>
    <s v="POINT (-122.3175 47.75781)"/>
    <x v="4"/>
    <s v="53033021400"/>
  </r>
  <r>
    <x v="942"/>
    <x v="0"/>
    <s v="Bremerton"/>
    <s v="WA"/>
    <n v="98312"/>
    <x v="12"/>
    <x v="19"/>
    <s v="NIRO"/>
    <x v="0"/>
    <s v="Not eligible due to low battery range"/>
    <s v="26"/>
    <s v="0"/>
    <s v="26"/>
    <n v="2581225"/>
    <s v="POINT (-122.65223 47.57192)"/>
    <x v="0"/>
    <s v="53035080600"/>
  </r>
  <r>
    <x v="943"/>
    <x v="22"/>
    <s v="Bellingham"/>
    <s v="WA"/>
    <n v="98225"/>
    <x v="12"/>
    <x v="19"/>
    <s v="NIRO"/>
    <x v="1"/>
    <s v="Clean Alternative Fuel Vehicle Eligible"/>
    <s v="239"/>
    <s v="0"/>
    <s v="42"/>
    <n v="4726291"/>
    <s v="POINT (-122.47091 48.75256)"/>
    <x v="23"/>
    <s v="53073000401"/>
  </r>
  <r>
    <x v="944"/>
    <x v="2"/>
    <s v="Brier"/>
    <s v="WA"/>
    <n v="98036"/>
    <x v="11"/>
    <x v="19"/>
    <s v="NIRO"/>
    <x v="1"/>
    <s v="Clean Alternative Fuel Vehicle Eligible"/>
    <s v="239"/>
    <s v="0"/>
    <s v="1"/>
    <n v="281365724"/>
    <s v="POINT (-122.29245 47.82557)"/>
    <x v="0"/>
    <s v="53061051914"/>
  </r>
  <r>
    <x v="945"/>
    <x v="27"/>
    <s v="East Wenatchee"/>
    <s v="WA"/>
    <n v="98802"/>
    <x v="12"/>
    <x v="19"/>
    <s v="NIRO"/>
    <x v="1"/>
    <s v="Clean Alternative Fuel Vehicle Eligible"/>
    <s v="239"/>
    <s v="0"/>
    <s v="12"/>
    <n v="298218728"/>
    <s v="POINT (-120.29473 47.41515)"/>
    <x v="28"/>
    <s v="53017950600"/>
  </r>
  <r>
    <x v="946"/>
    <x v="7"/>
    <s v="Olympia"/>
    <s v="WA"/>
    <n v="98502"/>
    <x v="12"/>
    <x v="19"/>
    <s v="NIRO"/>
    <x v="1"/>
    <s v="Clean Alternative Fuel Vehicle Eligible"/>
    <s v="239"/>
    <s v="0"/>
    <s v="22"/>
    <n v="477755827"/>
    <s v="POINT (-122.92333 47.03779)"/>
    <x v="0"/>
    <s v="53067012001"/>
  </r>
  <r>
    <x v="947"/>
    <x v="22"/>
    <s v="Bellingham"/>
    <s v="WA"/>
    <n v="98225"/>
    <x v="2"/>
    <x v="19"/>
    <s v="NIRO"/>
    <x v="1"/>
    <s v="Eligibility unknown as battery range has not been researched"/>
    <s v="0"/>
    <s v="0"/>
    <s v="40"/>
    <n v="205916770"/>
    <s v="POINT (-122.47091 48.75256)"/>
    <x v="23"/>
    <s v="53073000501"/>
  </r>
  <r>
    <x v="948"/>
    <x v="1"/>
    <s v="Burien"/>
    <s v="WA"/>
    <n v="98146"/>
    <x v="12"/>
    <x v="19"/>
    <s v="NIRO"/>
    <x v="1"/>
    <s v="Clean Alternative Fuel Vehicle Eligible"/>
    <s v="239"/>
    <s v="0"/>
    <s v="34"/>
    <n v="3523768"/>
    <s v="POINT (-122.36178 47.49408)"/>
    <x v="4"/>
    <s v="53033026700"/>
  </r>
  <r>
    <x v="949"/>
    <x v="1"/>
    <s v="Seattle"/>
    <s v="WA"/>
    <n v="98108"/>
    <x v="2"/>
    <x v="19"/>
    <s v="NIRO"/>
    <x v="0"/>
    <s v="Not eligible due to low battery range"/>
    <s v="26"/>
    <s v="0"/>
    <s v="37"/>
    <n v="194622592"/>
    <s v="POINT (-122.30346 47.55379)"/>
    <x v="4"/>
    <s v="53033010401"/>
  </r>
  <r>
    <x v="950"/>
    <x v="1"/>
    <s v="Seattle"/>
    <s v="WA"/>
    <n v="98101"/>
    <x v="2"/>
    <x v="19"/>
    <s v="NIRO"/>
    <x v="0"/>
    <s v="Not eligible due to low battery range"/>
    <s v="26"/>
    <s v="0"/>
    <s v="43"/>
    <n v="180026136"/>
    <s v="POINT (-122.34223 47.61085)"/>
    <x v="4"/>
    <s v="53033008200"/>
  </r>
  <r>
    <x v="951"/>
    <x v="1"/>
    <s v="Seattle"/>
    <s v="WA"/>
    <n v="98117"/>
    <x v="11"/>
    <x v="19"/>
    <s v="NIRO"/>
    <x v="1"/>
    <s v="Clean Alternative Fuel Vehicle Eligible"/>
    <s v="239"/>
    <s v="0"/>
    <s v="36"/>
    <n v="156718635"/>
    <s v="POINT (-122.38418 47.70044)"/>
    <x v="4"/>
    <s v="53033003400"/>
  </r>
  <r>
    <x v="952"/>
    <x v="1"/>
    <s v="Seattle"/>
    <s v="WA"/>
    <n v="98178"/>
    <x v="12"/>
    <x v="19"/>
    <s v="NIRO"/>
    <x v="1"/>
    <s v="Clean Alternative Fuel Vehicle Eligible"/>
    <s v="239"/>
    <s v="0"/>
    <s v="37"/>
    <n v="8188813"/>
    <s v="POINT (-122.23825 47.49461)"/>
    <x v="4"/>
    <s v="53033011901"/>
  </r>
  <r>
    <x v="953"/>
    <x v="2"/>
    <s v="Bothell"/>
    <s v="WA"/>
    <n v="98012"/>
    <x v="12"/>
    <x v="19"/>
    <s v="NIRO"/>
    <x v="1"/>
    <s v="Clean Alternative Fuel Vehicle Eligible"/>
    <s v="239"/>
    <s v="0"/>
    <s v="1"/>
    <n v="279965171"/>
    <s v="POINT (-122.21061 47.83448)"/>
    <x v="0"/>
    <s v="53061051921"/>
  </r>
  <r>
    <x v="954"/>
    <x v="1"/>
    <s v="Seattle"/>
    <s v="WA"/>
    <n v="98107"/>
    <x v="11"/>
    <x v="19"/>
    <s v="NIRO"/>
    <x v="1"/>
    <s v="Clean Alternative Fuel Vehicle Eligible"/>
    <s v="239"/>
    <s v="0"/>
    <s v="36"/>
    <n v="156523342"/>
    <s v="POINT (-122.38591 47.67597)"/>
    <x v="4"/>
    <s v="53033003302"/>
  </r>
  <r>
    <x v="955"/>
    <x v="2"/>
    <s v="Everett"/>
    <s v="WA"/>
    <n v="98203"/>
    <x v="11"/>
    <x v="19"/>
    <s v="NIRO"/>
    <x v="1"/>
    <s v="Clean Alternative Fuel Vehicle Eligible"/>
    <s v="239"/>
    <s v="0"/>
    <s v="38"/>
    <n v="240671203"/>
    <s v="POINT (-122.23019 47.94949)"/>
    <x v="0"/>
    <s v="53061041100"/>
  </r>
  <r>
    <x v="956"/>
    <x v="2"/>
    <s v="Everett"/>
    <s v="WA"/>
    <n v="98201"/>
    <x v="12"/>
    <x v="19"/>
    <s v="NIRO"/>
    <x v="0"/>
    <s v="Not eligible due to low battery range"/>
    <s v="26"/>
    <s v="0"/>
    <s v="38"/>
    <n v="123691655"/>
    <s v="POINT (-122.20596 47.97659)"/>
    <x v="0"/>
    <s v="53061040500"/>
  </r>
  <r>
    <x v="957"/>
    <x v="2"/>
    <s v="Edmonds"/>
    <s v="WA"/>
    <n v="98026"/>
    <x v="11"/>
    <x v="19"/>
    <s v="NIRO"/>
    <x v="0"/>
    <s v="Not eligible due to low battery range"/>
    <s v="26"/>
    <s v="0"/>
    <s v="32"/>
    <n v="268791022"/>
    <s v="POINT (-122.31768 47.87166)"/>
    <x v="0"/>
    <s v="53061050404"/>
  </r>
  <r>
    <x v="958"/>
    <x v="7"/>
    <s v="Olympia"/>
    <s v="WA"/>
    <n v="98502"/>
    <x v="12"/>
    <x v="19"/>
    <s v="NIRO"/>
    <x v="0"/>
    <s v="Not eligible due to low battery range"/>
    <s v="26"/>
    <s v="0"/>
    <s v="22"/>
    <n v="109855182"/>
    <s v="POINT (-122.92333 47.03779)"/>
    <x v="0"/>
    <s v="53067010520"/>
  </r>
  <r>
    <x v="959"/>
    <x v="0"/>
    <s v="Bremerton"/>
    <s v="WA"/>
    <n v="98337"/>
    <x v="10"/>
    <x v="19"/>
    <s v="NIRO"/>
    <x v="0"/>
    <s v="Not eligible due to low battery range"/>
    <s v="26"/>
    <s v="0"/>
    <s v="26"/>
    <n v="268986511"/>
    <s v="POINT (-122.62749 47.565)"/>
    <x v="0"/>
    <s v="53035080500"/>
  </r>
  <r>
    <x v="960"/>
    <x v="2"/>
    <s v="Mill Creek"/>
    <s v="WA"/>
    <n v="98012"/>
    <x v="3"/>
    <x v="19"/>
    <s v="NIRO"/>
    <x v="1"/>
    <s v="Eligibility unknown as battery range has not been researched"/>
    <s v="0"/>
    <s v="0"/>
    <s v="44"/>
    <n v="271140929"/>
    <s v="POINT (-122.21061 47.83448)"/>
    <x v="0"/>
    <s v="53061052006"/>
  </r>
  <r>
    <x v="961"/>
    <x v="1"/>
    <s v="Bellevue"/>
    <s v="WA"/>
    <n v="98006"/>
    <x v="4"/>
    <x v="19"/>
    <s v="NIRO"/>
    <x v="1"/>
    <s v="Eligibility unknown as battery range has not been researched"/>
    <s v="0"/>
    <s v="0"/>
    <s v="41"/>
    <n v="282385610"/>
    <s v="POINT (-122.12096 47.55584)"/>
    <x v="1"/>
    <s v="53033024701"/>
  </r>
  <r>
    <x v="962"/>
    <x v="4"/>
    <s v="Vancouver"/>
    <s v="WA"/>
    <n v="98685"/>
    <x v="4"/>
    <x v="19"/>
    <s v="NIRO"/>
    <x v="1"/>
    <s v="Eligibility unknown as battery range has not been researched"/>
    <s v="0"/>
    <s v="0"/>
    <s v="49"/>
    <n v="276676830"/>
    <s v="POINT (-122.70303 45.70954)"/>
    <x v="3"/>
    <s v="53011040904"/>
  </r>
  <r>
    <x v="963"/>
    <x v="1"/>
    <s v="Federal Way"/>
    <s v="WA"/>
    <n v="98023"/>
    <x v="4"/>
    <x v="19"/>
    <s v="NIRO"/>
    <x v="1"/>
    <s v="Eligibility unknown as battery range has not been researched"/>
    <s v="0"/>
    <s v="0"/>
    <s v="30"/>
    <n v="278171617"/>
    <s v="POINT (-122.34059 47.32478)"/>
    <x v="1"/>
    <s v="53033030310"/>
  </r>
  <r>
    <x v="964"/>
    <x v="1"/>
    <s v="Kent"/>
    <s v="WA"/>
    <n v="98031"/>
    <x v="0"/>
    <x v="19"/>
    <s v="NIRO"/>
    <x v="1"/>
    <s v="Eligibility unknown as battery range has not been researched"/>
    <s v="0"/>
    <s v="0"/>
    <s v="47"/>
    <n v="253181589"/>
    <s v="POINT (-122.17743 47.41185)"/>
    <x v="1"/>
    <s v="53033029405"/>
  </r>
  <r>
    <x v="965"/>
    <x v="7"/>
    <s v="Olympia"/>
    <s v="WA"/>
    <n v="98503"/>
    <x v="3"/>
    <x v="19"/>
    <s v="NIRO"/>
    <x v="1"/>
    <s v="Eligibility unknown as battery range has not been researched"/>
    <s v="0"/>
    <s v="0"/>
    <s v="2"/>
    <n v="269795662"/>
    <s v="POINT (-122.82324 47.04437)"/>
    <x v="0"/>
    <s v="53067011500"/>
  </r>
  <r>
    <x v="966"/>
    <x v="15"/>
    <s v="Spokane Valley"/>
    <s v="WA"/>
    <n v="99016"/>
    <x v="4"/>
    <x v="19"/>
    <s v="NIRO"/>
    <x v="1"/>
    <s v="Eligibility unknown as battery range has not been researched"/>
    <s v="0"/>
    <s v="0"/>
    <s v="4"/>
    <n v="278884336"/>
    <s v="POINT (-117.1748 47.65699)"/>
    <x v="12"/>
    <s v="53063013101"/>
  </r>
  <r>
    <x v="967"/>
    <x v="1"/>
    <s v="Kent"/>
    <s v="WA"/>
    <n v="98032"/>
    <x v="0"/>
    <x v="19"/>
    <s v="NIRO"/>
    <x v="0"/>
    <s v="Clean Alternative Fuel Vehicle Eligible"/>
    <s v="33"/>
    <s v="0"/>
    <s v="33"/>
    <n v="221515920"/>
    <s v="POINT (-122.23741 47.3807)"/>
    <x v="1"/>
    <s v="53033029102"/>
  </r>
  <r>
    <x v="968"/>
    <x v="3"/>
    <s v="Yakima"/>
    <s v="WA"/>
    <n v="98902"/>
    <x v="0"/>
    <x v="19"/>
    <s v="NIRO"/>
    <x v="0"/>
    <s v="Clean Alternative Fuel Vehicle Eligible"/>
    <s v="33"/>
    <s v="0"/>
    <s v="14"/>
    <n v="258750306"/>
    <s v="POINT (-120.51904 46.59783)"/>
    <x v="2"/>
    <s v="53077000700"/>
  </r>
  <r>
    <x v="969"/>
    <x v="7"/>
    <s v="Rainier"/>
    <s v="WA"/>
    <n v="98576"/>
    <x v="3"/>
    <x v="19"/>
    <s v="NIRO"/>
    <x v="0"/>
    <s v="Clean Alternative Fuel Vehicle Eligible"/>
    <s v="33"/>
    <s v="0"/>
    <s v="2"/>
    <n v="261605466"/>
    <s v="POINT (-122.68993 46.88897)"/>
    <x v="0"/>
    <s v="53067012530"/>
  </r>
  <r>
    <x v="970"/>
    <x v="11"/>
    <s v="La Conner"/>
    <s v="WA"/>
    <n v="98257"/>
    <x v="3"/>
    <x v="19"/>
    <s v="NIRO"/>
    <x v="0"/>
    <s v="Clean Alternative Fuel Vehicle Eligible"/>
    <s v="33"/>
    <s v="0"/>
    <s v="10"/>
    <n v="273836776"/>
    <s v="POINT (-122.49724 48.38874)"/>
    <x v="0"/>
    <s v="53057940801"/>
  </r>
  <r>
    <x v="971"/>
    <x v="7"/>
    <s v="Lacey"/>
    <s v="WA"/>
    <n v="98503"/>
    <x v="0"/>
    <x v="19"/>
    <s v="NIRO"/>
    <x v="0"/>
    <s v="Clean Alternative Fuel Vehicle Eligible"/>
    <s v="33"/>
    <s v="0"/>
    <s v="22"/>
    <n v="227682549"/>
    <s v="POINT (-122.82324 47.04437)"/>
    <x v="0"/>
    <s v="53067011422"/>
  </r>
  <r>
    <x v="972"/>
    <x v="2"/>
    <s v="Mountlake Terrace"/>
    <s v="WA"/>
    <n v="98043"/>
    <x v="0"/>
    <x v="19"/>
    <s v="NIRO"/>
    <x v="0"/>
    <s v="Clean Alternative Fuel Vehicle Eligible"/>
    <s v="33"/>
    <s v="0"/>
    <s v="1"/>
    <n v="220106232"/>
    <s v="POINT (-122.31111 47.78803)"/>
    <x v="0"/>
    <s v="53061051100"/>
  </r>
  <r>
    <x v="973"/>
    <x v="15"/>
    <s v="Mead"/>
    <s v="WA"/>
    <n v="99021"/>
    <x v="3"/>
    <x v="19"/>
    <s v="NIRO"/>
    <x v="0"/>
    <s v="Clean Alternative Fuel Vehicle Eligible"/>
    <s v="33"/>
    <s v="0"/>
    <s v="7"/>
    <n v="270098020"/>
    <s v="POINT (-117.35586 47.7628)"/>
    <x v="12"/>
    <s v="53063010504"/>
  </r>
  <r>
    <x v="974"/>
    <x v="1"/>
    <s v="Auburn"/>
    <s v="WA"/>
    <n v="98092"/>
    <x v="5"/>
    <x v="19"/>
    <s v="SOUL"/>
    <x v="1"/>
    <s v="Clean Alternative Fuel Vehicle Eligible"/>
    <s v="93"/>
    <s v="31950"/>
    <s v="47"/>
    <n v="168238150"/>
    <s v="POINT (-122.18497 47.28825)"/>
    <x v="1"/>
    <s v="53033031206"/>
  </r>
  <r>
    <x v="975"/>
    <x v="6"/>
    <s v="Tacoma"/>
    <s v="WA"/>
    <n v="98445"/>
    <x v="5"/>
    <x v="19"/>
    <s v="SOUL"/>
    <x v="1"/>
    <s v="Clean Alternative Fuel Vehicle Eligible"/>
    <s v="93"/>
    <s v="31950"/>
    <s v="25"/>
    <n v="5579794"/>
    <s v="POINT (-122.40872 47.16568)"/>
    <x v="37"/>
    <s v="53053071604"/>
  </r>
  <r>
    <x v="976"/>
    <x v="2"/>
    <s v="Lynnwood"/>
    <s v="WA"/>
    <n v="98037"/>
    <x v="5"/>
    <x v="19"/>
    <s v="SOUL"/>
    <x v="1"/>
    <s v="Clean Alternative Fuel Vehicle Eligible"/>
    <s v="93"/>
    <s v="31950"/>
    <s v="21"/>
    <n v="209171889"/>
    <s v="POINT (-122.27734 47.83785)"/>
    <x v="0"/>
    <s v="53061051928"/>
  </r>
  <r>
    <x v="977"/>
    <x v="2"/>
    <s v="Mountlake Terrace"/>
    <s v="WA"/>
    <n v="98043"/>
    <x v="9"/>
    <x v="19"/>
    <s v="SOUL"/>
    <x v="1"/>
    <s v="Clean Alternative Fuel Vehicle Eligible"/>
    <s v="93"/>
    <s v="32250"/>
    <s v="1"/>
    <n v="348333660"/>
    <s v="POINT (-122.31111 47.78803)"/>
    <x v="0"/>
    <s v="53061051200"/>
  </r>
  <r>
    <x v="977"/>
    <x v="1"/>
    <s v="Redmond"/>
    <s v="WA"/>
    <n v="98052"/>
    <x v="9"/>
    <x v="19"/>
    <s v="SOUL"/>
    <x v="1"/>
    <s v="Clean Alternative Fuel Vehicle Eligible"/>
    <s v="93"/>
    <s v="32250"/>
    <s v="48"/>
    <n v="156633172"/>
    <s v="POINT (-122.13158 47.67858)"/>
    <x v="1"/>
    <s v="53033022902"/>
  </r>
  <r>
    <x v="978"/>
    <x v="1"/>
    <s v="Bellevue"/>
    <s v="WA"/>
    <n v="98008"/>
    <x v="9"/>
    <x v="19"/>
    <s v="SOUL"/>
    <x v="1"/>
    <s v="Clean Alternative Fuel Vehicle Eligible"/>
    <s v="93"/>
    <s v="32250"/>
    <s v="48"/>
    <n v="349787371"/>
    <s v="POINT (-122.11867 47.63131)"/>
    <x v="1"/>
    <s v="53033023000"/>
  </r>
  <r>
    <x v="979"/>
    <x v="7"/>
    <s v="Olympia"/>
    <s v="WA"/>
    <n v="98506"/>
    <x v="8"/>
    <x v="19"/>
    <s v="SOUL"/>
    <x v="1"/>
    <s v="Clean Alternative Fuel Vehicle Eligible"/>
    <s v="93"/>
    <s v="0"/>
    <s v="22"/>
    <n v="230289853"/>
    <s v="POINT (-122.87741 47.05997)"/>
    <x v="0"/>
    <s v="53067012100"/>
  </r>
  <r>
    <x v="980"/>
    <x v="7"/>
    <s v="Olympia"/>
    <s v="WA"/>
    <n v="98512"/>
    <x v="9"/>
    <x v="19"/>
    <s v="SOUL"/>
    <x v="1"/>
    <s v="Clean Alternative Fuel Vehicle Eligible"/>
    <s v="93"/>
    <s v="32250"/>
    <s v="35"/>
    <n v="187773477"/>
    <s v="POINT (-122.90787 46.9461)"/>
    <x v="0"/>
    <s v="53067011810"/>
  </r>
  <r>
    <x v="981"/>
    <x v="7"/>
    <s v="Lacey"/>
    <s v="WA"/>
    <n v="98503"/>
    <x v="5"/>
    <x v="19"/>
    <s v="SOUL"/>
    <x v="1"/>
    <s v="Clean Alternative Fuel Vehicle Eligible"/>
    <s v="93"/>
    <s v="31950"/>
    <s v="22"/>
    <n v="199591969"/>
    <s v="POINT (-122.82324 47.04437)"/>
    <x v="0"/>
    <s v="53067011300"/>
  </r>
  <r>
    <x v="982"/>
    <x v="1"/>
    <s v="Seattle"/>
    <s v="WA"/>
    <n v="98116"/>
    <x v="0"/>
    <x v="19"/>
    <s v="SPORTAGE"/>
    <x v="0"/>
    <s v="Clean Alternative Fuel Vehicle Eligible"/>
    <s v="34"/>
    <s v="0"/>
    <s v="34"/>
    <n v="251000494"/>
    <s v="POINT (-122.41067 47.57894)"/>
    <x v="4"/>
    <s v="53033009801"/>
  </r>
  <r>
    <x v="983"/>
    <x v="3"/>
    <s v="Yakima"/>
    <s v="WA"/>
    <n v="98901"/>
    <x v="0"/>
    <x v="19"/>
    <s v="SPORTAGE"/>
    <x v="0"/>
    <s v="Clean Alternative Fuel Vehicle Eligible"/>
    <s v="34"/>
    <s v="0"/>
    <s v="15"/>
    <n v="238017279"/>
    <s v="POINT (-120.50729 46.60464)"/>
    <x v="2"/>
    <s v="53077001701"/>
  </r>
  <r>
    <x v="984"/>
    <x v="29"/>
    <s v="Kelso"/>
    <s v="WA"/>
    <n v="98626"/>
    <x v="0"/>
    <x v="19"/>
    <s v="SPORTAGE"/>
    <x v="0"/>
    <s v="Clean Alternative Fuel Vehicle Eligible"/>
    <s v="34"/>
    <s v="0"/>
    <s v="19"/>
    <n v="273303768"/>
    <s v="POINT (-122.89867 46.14424)"/>
    <x v="30"/>
    <s v="53015000901"/>
  </r>
  <r>
    <x v="985"/>
    <x v="1"/>
    <s v="Seattle"/>
    <s v="WA"/>
    <n v="98109"/>
    <x v="0"/>
    <x v="19"/>
    <s v="SPORTAGE"/>
    <x v="0"/>
    <s v="Clean Alternative Fuel Vehicle Eligible"/>
    <s v="34"/>
    <s v="0"/>
    <s v="43"/>
    <n v="229939853"/>
    <s v="POINT (-122.35022 47.63824)"/>
    <x v="4"/>
    <s v="53033007301"/>
  </r>
  <r>
    <x v="986"/>
    <x v="3"/>
    <s v="Yakima"/>
    <s v="WA"/>
    <n v="98902"/>
    <x v="3"/>
    <x v="19"/>
    <s v="SPORTAGE"/>
    <x v="0"/>
    <s v="Clean Alternative Fuel Vehicle Eligible"/>
    <s v="34"/>
    <s v="0"/>
    <s v="14"/>
    <n v="276811020"/>
    <s v="POINT (-120.51904 46.59783)"/>
    <x v="2"/>
    <s v="53077000800"/>
  </r>
  <r>
    <x v="987"/>
    <x v="2"/>
    <s v="Lynnwood"/>
    <s v="WA"/>
    <n v="98087"/>
    <x v="4"/>
    <x v="19"/>
    <s v="SPORTAGE"/>
    <x v="0"/>
    <s v="Clean Alternative Fuel Vehicle Eligible"/>
    <s v="34"/>
    <s v="0"/>
    <s v="21"/>
    <n v="278025401"/>
    <s v="POINT (-122.27981 47.85727)"/>
    <x v="0"/>
    <s v="53061041816"/>
  </r>
  <r>
    <x v="987"/>
    <x v="0"/>
    <s v="Kingston"/>
    <s v="WA"/>
    <n v="98346"/>
    <x v="4"/>
    <x v="19"/>
    <s v="SPORTAGE"/>
    <x v="0"/>
    <s v="Clean Alternative Fuel Vehicle Eligible"/>
    <s v="34"/>
    <s v="0"/>
    <s v="23"/>
    <n v="285328515"/>
    <s v="POINT (-122.4977 47.79802)"/>
    <x v="0"/>
    <s v="53035090101"/>
  </r>
  <r>
    <x v="988"/>
    <x v="6"/>
    <s v="Bonney Lake"/>
    <s v="WA"/>
    <n v="98391"/>
    <x v="4"/>
    <x v="19"/>
    <s v="SPORTAGE"/>
    <x v="0"/>
    <s v="Clean Alternative Fuel Vehicle Eligible"/>
    <s v="34"/>
    <s v="0"/>
    <s v="31"/>
    <n v="281782497"/>
    <s v="POINT (-122.17144 47.19175)"/>
    <x v="1"/>
    <s v="53053070311"/>
  </r>
  <r>
    <x v="989"/>
    <x v="1"/>
    <s v="Auburn"/>
    <s v="WA"/>
    <n v="98001"/>
    <x v="3"/>
    <x v="19"/>
    <s v="SPORTAGE"/>
    <x v="0"/>
    <s v="Clean Alternative Fuel Vehicle Eligible"/>
    <s v="34"/>
    <s v="0"/>
    <s v="47"/>
    <n v="275698937"/>
    <s v="POINT (-122.23035 47.3074)"/>
    <x v="1"/>
    <s v="53033029902"/>
  </r>
  <r>
    <x v="990"/>
    <x v="7"/>
    <s v="Tenino"/>
    <s v="WA"/>
    <n v="98589"/>
    <x v="3"/>
    <x v="19"/>
    <s v="SPORTAGE"/>
    <x v="0"/>
    <s v="Clean Alternative Fuel Vehicle Eligible"/>
    <s v="34"/>
    <s v="0"/>
    <s v="20"/>
    <n v="268538987"/>
    <s v="POINT (-122.85135 46.85752)"/>
    <x v="0"/>
    <s v="53067012620"/>
  </r>
  <r>
    <x v="991"/>
    <x v="1"/>
    <s v="Seattle"/>
    <s v="WA"/>
    <n v="98101"/>
    <x v="4"/>
    <x v="19"/>
    <s v="SPORTAGE"/>
    <x v="0"/>
    <s v="Clean Alternative Fuel Vehicle Eligible"/>
    <s v="34"/>
    <s v="0"/>
    <s v="43"/>
    <n v="282019776"/>
    <s v="POINT (-122.34223 47.61085)"/>
    <x v="4"/>
    <s v="53033008300"/>
  </r>
  <r>
    <x v="992"/>
    <x v="7"/>
    <s v="Yelm"/>
    <s v="WA"/>
    <n v="98597"/>
    <x v="4"/>
    <x v="19"/>
    <s v="SPORTAGE"/>
    <x v="0"/>
    <s v="Clean Alternative Fuel Vehicle Eligible"/>
    <s v="34"/>
    <s v="0"/>
    <s v="2"/>
    <n v="280119143"/>
    <s v="POINT (-122.60735 46.94239)"/>
    <x v="0"/>
    <s v="53067012422"/>
  </r>
  <r>
    <x v="993"/>
    <x v="0"/>
    <s v="Port Orchard"/>
    <s v="WA"/>
    <n v="98367"/>
    <x v="4"/>
    <x v="19"/>
    <s v="SPORTAGE"/>
    <x v="0"/>
    <s v="Clean Alternative Fuel Vehicle Eligible"/>
    <s v="34"/>
    <s v="0"/>
    <s v="26"/>
    <n v="277414056"/>
    <s v="POINT (-122.70348 47.52028)"/>
    <x v="0"/>
    <s v="53035092102"/>
  </r>
  <r>
    <x v="994"/>
    <x v="8"/>
    <s v="Chehalis"/>
    <s v="WA"/>
    <n v="98532"/>
    <x v="4"/>
    <x v="19"/>
    <s v="SPORTAGE"/>
    <x v="0"/>
    <s v="Clean Alternative Fuel Vehicle Eligible"/>
    <s v="34"/>
    <s v="0"/>
    <s v="20"/>
    <n v="274139022"/>
    <s v="POINT (-122.96462 46.6621)"/>
    <x v="1"/>
    <s v="53041970800"/>
  </r>
  <r>
    <x v="995"/>
    <x v="19"/>
    <s v="Port Townsend"/>
    <s v="WA"/>
    <n v="98368"/>
    <x v="4"/>
    <x v="19"/>
    <s v="SPORTAGE"/>
    <x v="0"/>
    <s v="Clean Alternative Fuel Vehicle Eligible"/>
    <s v="34"/>
    <s v="0"/>
    <s v="24"/>
    <n v="278126761"/>
    <s v="POINT (-122.77263 48.1212)"/>
    <x v="19"/>
    <s v="53031950400"/>
  </r>
  <r>
    <x v="996"/>
    <x v="7"/>
    <s v="Tumwater"/>
    <s v="WA"/>
    <n v="98501"/>
    <x v="4"/>
    <x v="19"/>
    <s v="SORENTO"/>
    <x v="0"/>
    <s v="Clean Alternative Fuel Vehicle Eligible"/>
    <s v="30"/>
    <s v="0"/>
    <s v="35"/>
    <n v="274211332"/>
    <s v="POINT (-122.89165 47.03954)"/>
    <x v="0"/>
    <s v="53067011720"/>
  </r>
  <r>
    <x v="997"/>
    <x v="2"/>
    <s v="Bothell"/>
    <s v="WA"/>
    <n v="98012"/>
    <x v="2"/>
    <x v="19"/>
    <s v="SORENTO"/>
    <x v="0"/>
    <s v="Clean Alternative Fuel Vehicle Eligible"/>
    <s v="32"/>
    <s v="0"/>
    <s v="1"/>
    <n v="212303472"/>
    <s v="POINT (-122.21061 47.83448)"/>
    <x v="0"/>
    <s v="53061051933"/>
  </r>
  <r>
    <x v="998"/>
    <x v="1"/>
    <s v="Seattle"/>
    <s v="WA"/>
    <n v="98117"/>
    <x v="0"/>
    <x v="19"/>
    <s v="SORENTO"/>
    <x v="0"/>
    <s v="Clean Alternative Fuel Vehicle Eligible"/>
    <s v="32"/>
    <s v="0"/>
    <s v="36"/>
    <n v="228041404"/>
    <s v="POINT (-122.38418 47.70044)"/>
    <x v="4"/>
    <s v="53033003000"/>
  </r>
  <r>
    <x v="999"/>
    <x v="1"/>
    <s v="Kirkland"/>
    <s v="WA"/>
    <n v="98033"/>
    <x v="1"/>
    <x v="28"/>
    <s v="PS2"/>
    <x v="1"/>
    <s v="Clean Alternative Fuel Vehicle Eligible"/>
    <s v="233"/>
    <s v="0"/>
    <s v="45"/>
    <n v="257674336"/>
    <s v="POINT (-122.2066 47.67887)"/>
    <x v="1"/>
    <s v="53033022006"/>
  </r>
  <r>
    <x v="1000"/>
    <x v="3"/>
    <s v="Yakima"/>
    <s v="WA"/>
    <n v="98908"/>
    <x v="2"/>
    <x v="28"/>
    <s v="PS2"/>
    <x v="1"/>
    <s v="Eligibility unknown as battery range has not been researched"/>
    <s v="0"/>
    <s v="0"/>
    <s v="14"/>
    <n v="278406467"/>
    <s v="POINT (-120.60199 46.59817)"/>
    <x v="2"/>
    <s v="53077002900"/>
  </r>
  <r>
    <x v="1001"/>
    <x v="1"/>
    <s v="Seattle"/>
    <s v="WA"/>
    <n v="98144"/>
    <x v="1"/>
    <x v="28"/>
    <s v="PS2"/>
    <x v="1"/>
    <s v="Clean Alternative Fuel Vehicle Eligible"/>
    <s v="233"/>
    <s v="0"/>
    <s v="37"/>
    <n v="270017401"/>
    <s v="POINT (-122.30866 47.57874)"/>
    <x v="4"/>
    <s v="53033009500"/>
  </r>
  <r>
    <x v="1001"/>
    <x v="1"/>
    <s v="Seattle"/>
    <s v="WA"/>
    <n v="98117"/>
    <x v="1"/>
    <x v="28"/>
    <s v="PS2"/>
    <x v="1"/>
    <s v="Clean Alternative Fuel Vehicle Eligible"/>
    <s v="233"/>
    <s v="0"/>
    <s v="36"/>
    <n v="180570736"/>
    <s v="POINT (-122.38418 47.70044)"/>
    <x v="4"/>
    <s v="53033003202"/>
  </r>
  <r>
    <x v="1002"/>
    <x v="1"/>
    <s v="Bellevue"/>
    <s v="WA"/>
    <n v="98004"/>
    <x v="2"/>
    <x v="28"/>
    <s v="PS2"/>
    <x v="1"/>
    <s v="Eligibility unknown as battery range has not been researched"/>
    <s v="0"/>
    <s v="0"/>
    <s v="48"/>
    <n v="200574062"/>
    <s v="POINT (-122.1872 47.61001)"/>
    <x v="1"/>
    <s v="53033024001"/>
  </r>
  <r>
    <x v="1003"/>
    <x v="1"/>
    <s v="Issaquah"/>
    <s v="WA"/>
    <n v="98029"/>
    <x v="1"/>
    <x v="28"/>
    <s v="PS2"/>
    <x v="1"/>
    <s v="Clean Alternative Fuel Vehicle Eligible"/>
    <s v="233"/>
    <s v="0"/>
    <s v="5"/>
    <n v="281300001"/>
    <s v="POINT (-122.00292 47.54748)"/>
    <x v="1"/>
    <s v="53033032221"/>
  </r>
  <r>
    <x v="1004"/>
    <x v="1"/>
    <s v="Seattle"/>
    <s v="WA"/>
    <n v="98103"/>
    <x v="10"/>
    <x v="22"/>
    <s v="XC60"/>
    <x v="0"/>
    <s v="Not eligible due to low battery range"/>
    <s v="17"/>
    <s v="52900"/>
    <s v="43"/>
    <n v="212123964"/>
    <s v="POINT (-122.35436 47.67596)"/>
    <x v="4"/>
    <s v="53033005000"/>
  </r>
  <r>
    <x v="1005"/>
    <x v="1"/>
    <s v="Seattle"/>
    <s v="WA"/>
    <n v="98105"/>
    <x v="4"/>
    <x v="29"/>
    <s v="RANGE ROVER"/>
    <x v="0"/>
    <s v="Clean Alternative Fuel Vehicle Eligible"/>
    <s v="58"/>
    <s v="0"/>
    <s v="46"/>
    <n v="274470640"/>
    <s v="POINT (-122.31307 47.66127)"/>
    <x v="4"/>
    <s v="53033004101"/>
  </r>
  <r>
    <x v="1006"/>
    <x v="5"/>
    <s v="Oak Harbor"/>
    <s v="WA"/>
    <n v="98277"/>
    <x v="0"/>
    <x v="30"/>
    <s v="OCEAN"/>
    <x v="1"/>
    <s v="Eligibility unknown as battery range has not been researched"/>
    <s v="0"/>
    <s v="0"/>
    <s v="10"/>
    <n v="262580377"/>
    <s v="POINT (-122.64682 48.29077)"/>
    <x v="0"/>
    <s v="53029970402"/>
  </r>
  <r>
    <x v="1007"/>
    <x v="1"/>
    <s v="Medina"/>
    <s v="WA"/>
    <n v="98039"/>
    <x v="11"/>
    <x v="14"/>
    <s v="GLC-CLASS"/>
    <x v="0"/>
    <s v="Not eligible due to low battery range"/>
    <s v="22"/>
    <s v="0"/>
    <s v="48"/>
    <n v="282764422"/>
    <s v="POINT (-122.23892 47.61613)"/>
    <x v="1"/>
    <s v="53033024200"/>
  </r>
  <r>
    <x v="1008"/>
    <x v="1"/>
    <s v="Seattle"/>
    <s v="WA"/>
    <n v="98199"/>
    <x v="0"/>
    <x v="14"/>
    <s v="EQB-CLASS"/>
    <x v="1"/>
    <s v="Eligibility unknown as battery range has not been researched"/>
    <s v="0"/>
    <s v="0"/>
    <s v="36"/>
    <n v="261807703"/>
    <s v="POINT (-122.40092 47.65908)"/>
    <x v="4"/>
    <s v="53033005600"/>
  </r>
  <r>
    <x v="1009"/>
    <x v="6"/>
    <s v="Tacoma"/>
    <s v="WA"/>
    <n v="98406"/>
    <x v="4"/>
    <x v="14"/>
    <s v="GLC-CLASS"/>
    <x v="0"/>
    <s v="Clean Alternative Fuel Vehicle Eligible"/>
    <s v="54"/>
    <s v="0"/>
    <s v="27"/>
    <n v="277614501"/>
    <s v="POINT (-122.52082 47.26887)"/>
    <x v="11"/>
    <s v="53053060500"/>
  </r>
  <r>
    <x v="1010"/>
    <x v="1"/>
    <s v="Seattle"/>
    <s v="WA"/>
    <n v="98122"/>
    <x v="4"/>
    <x v="14"/>
    <s v="GLC-CLASS"/>
    <x v="0"/>
    <s v="Not eligible due to low battery range"/>
    <s v="1"/>
    <s v="0"/>
    <s v="37"/>
    <n v="274080355"/>
    <s v="POINT (-122.31009 47.60803)"/>
    <x v="4"/>
    <s v="53033007800"/>
  </r>
  <r>
    <x v="1011"/>
    <x v="1"/>
    <s v="Kirkland"/>
    <s v="WA"/>
    <n v="98034"/>
    <x v="4"/>
    <x v="31"/>
    <s v="Q6"/>
    <x v="1"/>
    <s v="Eligibility unknown as battery range has not been researched"/>
    <s v="0"/>
    <s v="0"/>
    <s v="1"/>
    <n v="284839089"/>
    <s v="POINT (-122.22901 47.72201)"/>
    <x v="1"/>
    <s v="53033022203"/>
  </r>
  <r>
    <x v="1012"/>
    <x v="1"/>
    <s v="Seattle"/>
    <s v="WA"/>
    <n v="98122"/>
    <x v="4"/>
    <x v="31"/>
    <s v="Q6"/>
    <x v="1"/>
    <s v="Eligibility unknown as battery range has not been researched"/>
    <s v="0"/>
    <s v="0"/>
    <s v="37"/>
    <n v="280276797"/>
    <s v="POINT (-122.31009 47.60803)"/>
    <x v="4"/>
    <s v="53033007800"/>
  </r>
  <r>
    <x v="1013"/>
    <x v="1"/>
    <s v="Seattle"/>
    <s v="WA"/>
    <n v="98144"/>
    <x v="3"/>
    <x v="31"/>
    <s v="Q4"/>
    <x v="1"/>
    <s v="Eligibility unknown as battery range has not been researched"/>
    <s v="0"/>
    <s v="0"/>
    <s v="37"/>
    <n v="271080274"/>
    <s v="POINT (-122.30866 47.57874)"/>
    <x v="4"/>
    <s v="53033009500"/>
  </r>
  <r>
    <x v="1014"/>
    <x v="1"/>
    <s v="Kirkland"/>
    <s v="WA"/>
    <n v="98033"/>
    <x v="3"/>
    <x v="31"/>
    <s v="Q8"/>
    <x v="1"/>
    <s v="Eligibility unknown as battery range has not been researched"/>
    <s v="0"/>
    <s v="0"/>
    <s v="48"/>
    <n v="262657139"/>
    <s v="POINT (-122.2066 47.67887)"/>
    <x v="1"/>
    <s v="53033022702"/>
  </r>
  <r>
    <x v="1015"/>
    <x v="2"/>
    <s v="Monroe"/>
    <s v="WA"/>
    <n v="98272"/>
    <x v="1"/>
    <x v="31"/>
    <s v="E-TRON"/>
    <x v="1"/>
    <s v="Clean Alternative Fuel Vehicle Eligible"/>
    <s v="222"/>
    <s v="0"/>
    <s v="39"/>
    <n v="148329016"/>
    <s v="POINT (-121.98087 47.8526)"/>
    <x v="0"/>
    <s v="53061052203"/>
  </r>
  <r>
    <x v="1016"/>
    <x v="1"/>
    <s v="Seattle"/>
    <s v="WA"/>
    <n v="98126"/>
    <x v="1"/>
    <x v="31"/>
    <s v="E-TRON"/>
    <x v="1"/>
    <s v="Clean Alternative Fuel Vehicle Eligible"/>
    <s v="222"/>
    <s v="0"/>
    <s v="34"/>
    <n v="161549244"/>
    <s v="POINT (-122.36893 47.54701)"/>
    <x v="4"/>
    <s v="53033009801"/>
  </r>
  <r>
    <x v="1017"/>
    <x v="0"/>
    <s v="Port Orchard"/>
    <s v="WA"/>
    <n v="98367"/>
    <x v="1"/>
    <x v="31"/>
    <s v="E-TRON"/>
    <x v="1"/>
    <s v="Clean Alternative Fuel Vehicle Eligible"/>
    <s v="222"/>
    <s v="0"/>
    <s v="35"/>
    <n v="156660507"/>
    <s v="POINT (-122.70348 47.52028)"/>
    <x v="0"/>
    <s v="53035092901"/>
  </r>
  <r>
    <x v="1018"/>
    <x v="1"/>
    <s v="Seattle"/>
    <s v="WA"/>
    <n v="98105"/>
    <x v="11"/>
    <x v="31"/>
    <s v="Q5 E"/>
    <x v="0"/>
    <s v="Not eligible due to low battery range"/>
    <s v="20"/>
    <s v="0"/>
    <s v="46"/>
    <n v="103619449"/>
    <s v="POINT (-122.31307 47.66127)"/>
    <x v="4"/>
    <s v="53033004101"/>
  </r>
  <r>
    <x v="1019"/>
    <x v="0"/>
    <s v="Bainbridge Island"/>
    <s v="WA"/>
    <n v="98110"/>
    <x v="1"/>
    <x v="31"/>
    <s v="Q5 E"/>
    <x v="0"/>
    <s v="Not eligible due to low battery range"/>
    <s v="18"/>
    <s v="0"/>
    <s v="23"/>
    <n v="278909347"/>
    <s v="POINT (-122.521 47.62732)"/>
    <x v="0"/>
    <s v="53035090902"/>
  </r>
  <r>
    <x v="1020"/>
    <x v="3"/>
    <s v="Selah"/>
    <s v="WA"/>
    <n v="98942"/>
    <x v="3"/>
    <x v="31"/>
    <s v="Q5 E"/>
    <x v="0"/>
    <s v="Not eligible due to low battery range"/>
    <s v="23"/>
    <s v="0"/>
    <s v="15"/>
    <n v="270927884"/>
    <s v="POINT (-120.53145 46.65405)"/>
    <x v="2"/>
    <s v="53077003200"/>
  </r>
  <r>
    <x v="1021"/>
    <x v="7"/>
    <s v="Olympia"/>
    <s v="WA"/>
    <n v="98512"/>
    <x v="3"/>
    <x v="31"/>
    <s v="Q5 E"/>
    <x v="0"/>
    <s v="Not eligible due to low battery range"/>
    <s v="23"/>
    <s v="0"/>
    <s v="22"/>
    <n v="263239938"/>
    <s v="POINT (-122.90787 46.9461)"/>
    <x v="0"/>
    <s v="53067010910"/>
  </r>
  <r>
    <x v="1022"/>
    <x v="2"/>
    <s v="Tulalip"/>
    <s v="WA"/>
    <n v="98271"/>
    <x v="0"/>
    <x v="31"/>
    <s v="Q5 E"/>
    <x v="0"/>
    <s v="Not eligible due to low battery range"/>
    <s v="23"/>
    <s v="0"/>
    <s v="38"/>
    <n v="232919305"/>
    <s v="POINT (-122.1677 48.11026)"/>
    <x v="0"/>
    <s v="53061940001"/>
  </r>
  <r>
    <x v="1023"/>
    <x v="3"/>
    <s v="Selah"/>
    <s v="WA"/>
    <n v="98942"/>
    <x v="3"/>
    <x v="31"/>
    <s v="Q5 E"/>
    <x v="0"/>
    <s v="Not eligible due to low battery range"/>
    <s v="23"/>
    <s v="0"/>
    <s v="15"/>
    <n v="268102138"/>
    <s v="POINT (-120.53145 46.65405)"/>
    <x v="2"/>
    <s v="53077003100"/>
  </r>
  <r>
    <x v="1024"/>
    <x v="0"/>
    <s v="Bainbridge Island"/>
    <s v="WA"/>
    <n v="98110"/>
    <x v="4"/>
    <x v="31"/>
    <s v="Q5 E"/>
    <x v="0"/>
    <s v="Not eligible due to low battery range"/>
    <s v="28"/>
    <s v="0"/>
    <s v="23"/>
    <n v="276812707"/>
    <s v="POINT (-122.521 47.62732)"/>
    <x v="0"/>
    <s v="53035091001"/>
  </r>
  <r>
    <x v="1024"/>
    <x v="2"/>
    <s v="Everett"/>
    <s v="WA"/>
    <n v="98201"/>
    <x v="4"/>
    <x v="31"/>
    <s v="Q5 E"/>
    <x v="0"/>
    <s v="Not eligible due to low battery range"/>
    <s v="28"/>
    <s v="0"/>
    <s v="38"/>
    <n v="275132539"/>
    <s v="POINT (-122.20596 47.97659)"/>
    <x v="0"/>
    <s v="53061040100"/>
  </r>
  <r>
    <x v="1025"/>
    <x v="0"/>
    <s v="Silverdale"/>
    <s v="WA"/>
    <n v="98383"/>
    <x v="1"/>
    <x v="31"/>
    <s v="Q5 E"/>
    <x v="0"/>
    <s v="Not eligible due to low battery range"/>
    <s v="18"/>
    <s v="0"/>
    <s v="23"/>
    <n v="135145664"/>
    <s v="POINT (-122.69275 47.65171)"/>
    <x v="0"/>
    <s v="53035091302"/>
  </r>
  <r>
    <x v="1026"/>
    <x v="1"/>
    <s v="Medina"/>
    <s v="WA"/>
    <n v="98039"/>
    <x v="3"/>
    <x v="31"/>
    <s v="Q5 E"/>
    <x v="0"/>
    <s v="Not eligible due to low battery range"/>
    <s v="23"/>
    <s v="0"/>
    <s v="48"/>
    <n v="269794465"/>
    <s v="POINT (-122.23892 47.61613)"/>
    <x v="1"/>
    <s v="53033024200"/>
  </r>
  <r>
    <x v="1027"/>
    <x v="2"/>
    <s v="Monroe"/>
    <s v="WA"/>
    <n v="98272"/>
    <x v="2"/>
    <x v="31"/>
    <s v="Q5"/>
    <x v="0"/>
    <s v="Not eligible due to low battery range"/>
    <s v="23"/>
    <s v="0"/>
    <s v="39"/>
    <n v="180279900"/>
    <s v="POINT (-121.98087 47.8526)"/>
    <x v="0"/>
    <s v="53061053801"/>
  </r>
  <r>
    <x v="1028"/>
    <x v="7"/>
    <s v="Olympia"/>
    <s v="WA"/>
    <n v="98501"/>
    <x v="1"/>
    <x v="31"/>
    <s v="Q5 E"/>
    <x v="0"/>
    <s v="Not eligible due to low battery range"/>
    <s v="18"/>
    <s v="0"/>
    <s v="22"/>
    <n v="172874775"/>
    <s v="POINT (-122.89165 47.03954)"/>
    <x v="0"/>
    <s v="53067011721"/>
  </r>
  <r>
    <x v="1029"/>
    <x v="0"/>
    <s v="Poulsbo"/>
    <s v="WA"/>
    <n v="98370"/>
    <x v="3"/>
    <x v="31"/>
    <s v="Q4"/>
    <x v="1"/>
    <s v="Eligibility unknown as battery range has not been researched"/>
    <s v="0"/>
    <s v="0"/>
    <s v="23"/>
    <n v="267836509"/>
    <s v="POINT (-122.64681 47.73689)"/>
    <x v="0"/>
    <s v="53035090201"/>
  </r>
  <r>
    <x v="1030"/>
    <x v="1"/>
    <s v="Seattle"/>
    <s v="WA"/>
    <n v="98146"/>
    <x v="12"/>
    <x v="31"/>
    <s v="E-TRON"/>
    <x v="1"/>
    <s v="Clean Alternative Fuel Vehicle Eligible"/>
    <s v="204"/>
    <s v="0"/>
    <s v="34"/>
    <n v="186733116"/>
    <s v="POINT (-122.36178 47.49408)"/>
    <x v="4"/>
    <s v="53033012100"/>
  </r>
  <r>
    <x v="1031"/>
    <x v="3"/>
    <s v="Yakima"/>
    <s v="WA"/>
    <n v="98901"/>
    <x v="2"/>
    <x v="31"/>
    <s v="E-TRON"/>
    <x v="1"/>
    <s v="Eligibility unknown as battery range has not been researched"/>
    <s v="0"/>
    <s v="0"/>
    <s v="15"/>
    <n v="183111071"/>
    <s v="POINT (-120.50729 46.60464)"/>
    <x v="2"/>
    <s v="53077001602"/>
  </r>
  <r>
    <x v="1032"/>
    <x v="7"/>
    <s v="Tenino"/>
    <s v="WA"/>
    <n v="98589"/>
    <x v="12"/>
    <x v="31"/>
    <s v="E-TRON"/>
    <x v="1"/>
    <s v="Clean Alternative Fuel Vehicle Eligible"/>
    <s v="204"/>
    <s v="0"/>
    <s v="20"/>
    <n v="255297647"/>
    <s v="POINT (-122.85135 46.85752)"/>
    <x v="0"/>
    <s v="53067012610"/>
  </r>
  <r>
    <x v="1033"/>
    <x v="1"/>
    <s v="Newcastle"/>
    <s v="WA"/>
    <n v="98059"/>
    <x v="3"/>
    <x v="31"/>
    <s v="Q4"/>
    <x v="1"/>
    <s v="Eligibility unknown as battery range has not been researched"/>
    <s v="0"/>
    <s v="0"/>
    <s v="41"/>
    <n v="276452130"/>
    <s v="POINT (-122.16335 47.53505)"/>
    <x v="1"/>
    <s v="53033025005"/>
  </r>
  <r>
    <x v="1034"/>
    <x v="1"/>
    <s v="Bothell"/>
    <s v="WA"/>
    <n v="98011"/>
    <x v="12"/>
    <x v="31"/>
    <s v="E-TRON"/>
    <x v="1"/>
    <s v="Clean Alternative Fuel Vehicle Eligible"/>
    <s v="204"/>
    <s v="0"/>
    <s v="1"/>
    <n v="261190968"/>
    <s v="POINT (-122.20563 47.76144)"/>
    <x v="1"/>
    <s v="53033022102"/>
  </r>
  <r>
    <x v="1035"/>
    <x v="1"/>
    <s v="Kent"/>
    <s v="WA"/>
    <n v="98031"/>
    <x v="12"/>
    <x v="31"/>
    <s v="E-TRON"/>
    <x v="1"/>
    <s v="Clean Alternative Fuel Vehicle Eligible"/>
    <s v="204"/>
    <s v="0"/>
    <s v="11"/>
    <n v="259426821"/>
    <s v="POINT (-122.17743 47.41185)"/>
    <x v="1"/>
    <s v="53033029306"/>
  </r>
  <r>
    <x v="1036"/>
    <x v="2"/>
    <s v="Edmonds"/>
    <s v="WA"/>
    <n v="98020"/>
    <x v="12"/>
    <x v="31"/>
    <s v="E-TRON"/>
    <x v="1"/>
    <s v="Clean Alternative Fuel Vehicle Eligible"/>
    <s v="204"/>
    <s v="0"/>
    <s v="21"/>
    <n v="142089972"/>
    <s v="POINT (-122.37689 47.81116)"/>
    <x v="0"/>
    <s v="53061050403"/>
  </r>
  <r>
    <x v="1037"/>
    <x v="1"/>
    <s v="Kirkland"/>
    <s v="WA"/>
    <n v="98033"/>
    <x v="12"/>
    <x v="31"/>
    <s v="E-TRON"/>
    <x v="1"/>
    <s v="Clean Alternative Fuel Vehicle Eligible"/>
    <s v="204"/>
    <s v="0"/>
    <s v="48"/>
    <n v="100707519"/>
    <s v="POINT (-122.2066 47.67887)"/>
    <x v="1"/>
    <s v="53033022501"/>
  </r>
  <r>
    <x v="1038"/>
    <x v="0"/>
    <s v="Bainbridge Island"/>
    <s v="WA"/>
    <n v="98110"/>
    <x v="12"/>
    <x v="31"/>
    <s v="E-TRON"/>
    <x v="1"/>
    <s v="Clean Alternative Fuel Vehicle Eligible"/>
    <s v="204"/>
    <s v="0"/>
    <s v="23"/>
    <n v="4697920"/>
    <s v="POINT (-122.521 47.62732)"/>
    <x v="0"/>
    <s v="53035091002"/>
  </r>
  <r>
    <x v="1039"/>
    <x v="1"/>
    <s v="Bellevue"/>
    <s v="WA"/>
    <n v="98005"/>
    <x v="2"/>
    <x v="31"/>
    <s v="RS E-TRON GT"/>
    <x v="1"/>
    <s v="Eligibility unknown as battery range has not been researched"/>
    <s v="0"/>
    <s v="0"/>
    <s v="48"/>
    <n v="183341350"/>
    <s v="POINT (-122.1621 47.64441)"/>
    <x v="1"/>
    <s v="53033023701"/>
  </r>
  <r>
    <x v="1040"/>
    <x v="1"/>
    <s v="Seattle"/>
    <s v="WA"/>
    <n v="98102"/>
    <x v="0"/>
    <x v="31"/>
    <s v="RS E-TRON GT"/>
    <x v="1"/>
    <s v="Eligibility unknown as battery range has not been researched"/>
    <s v="0"/>
    <s v="0"/>
    <s v="43"/>
    <n v="245857195"/>
    <s v="POINT (-122.32427 47.63433)"/>
    <x v="4"/>
    <s v="53033006100"/>
  </r>
  <r>
    <x v="1041"/>
    <x v="1"/>
    <s v="Kirkland"/>
    <s v="WA"/>
    <n v="98033"/>
    <x v="2"/>
    <x v="31"/>
    <s v="E-TRON GT"/>
    <x v="1"/>
    <s v="Eligibility unknown as battery range has not been researched"/>
    <s v="0"/>
    <s v="0"/>
    <s v="48"/>
    <n v="209187961"/>
    <s v="POINT (-122.2066 47.67887)"/>
    <x v="1"/>
    <s v="53033022501"/>
  </r>
  <r>
    <x v="1042"/>
    <x v="17"/>
    <s v="Friday Harbor"/>
    <s v="WA"/>
    <n v="98250"/>
    <x v="2"/>
    <x v="31"/>
    <s v="E-TRON GT"/>
    <x v="1"/>
    <s v="Eligibility unknown as battery range has not been researched"/>
    <s v="0"/>
    <s v="0"/>
    <s v="40"/>
    <n v="169469016"/>
    <s v="POINT (-123.01648 48.53448)"/>
    <x v="16"/>
    <s v="53055960301"/>
  </r>
  <r>
    <x v="1043"/>
    <x v="1"/>
    <s v="Seattle"/>
    <s v="WA"/>
    <n v="98144"/>
    <x v="9"/>
    <x v="31"/>
    <s v="A3"/>
    <x v="0"/>
    <s v="Not eligible due to low battery range"/>
    <s v="16"/>
    <s v="0"/>
    <s v="11"/>
    <n v="270834623"/>
    <s v="POINT (-122.30866 47.57874)"/>
    <x v="4"/>
    <s v="53033009300"/>
  </r>
  <r>
    <x v="1044"/>
    <x v="1"/>
    <s v="Seattle"/>
    <s v="WA"/>
    <n v="98178"/>
    <x v="5"/>
    <x v="31"/>
    <s v="A3"/>
    <x v="0"/>
    <s v="Not eligible due to low battery range"/>
    <s v="16"/>
    <s v="0"/>
    <s v="37"/>
    <n v="131779336"/>
    <s v="POINT (-122.23825 47.49461)"/>
    <x v="4"/>
    <s v="53033011902"/>
  </r>
  <r>
    <x v="1045"/>
    <x v="1"/>
    <s v="Burien"/>
    <s v="WA"/>
    <n v="98146"/>
    <x v="10"/>
    <x v="31"/>
    <s v="A3"/>
    <x v="0"/>
    <s v="Not eligible due to low battery range"/>
    <s v="16"/>
    <s v="0"/>
    <s v="34"/>
    <n v="202976644"/>
    <s v="POINT (-122.36178 47.49408)"/>
    <x v="4"/>
    <s v="53033026700"/>
  </r>
  <r>
    <x v="1046"/>
    <x v="15"/>
    <s v="Spokane"/>
    <s v="WA"/>
    <n v="99223"/>
    <x v="5"/>
    <x v="31"/>
    <s v="A3"/>
    <x v="0"/>
    <s v="Not eligible due to low battery range"/>
    <s v="16"/>
    <s v="0"/>
    <s v="6"/>
    <n v="136378833"/>
    <s v="POINT (-117.36043 47.63396)"/>
    <x v="12"/>
    <s v="53063004900"/>
  </r>
  <r>
    <x v="1047"/>
    <x v="1"/>
    <s v="Auburn"/>
    <s v="WA"/>
    <n v="98092"/>
    <x v="10"/>
    <x v="31"/>
    <s v="A3"/>
    <x v="0"/>
    <s v="Not eligible due to low battery range"/>
    <s v="16"/>
    <s v="0"/>
    <s v="47"/>
    <n v="330993645"/>
    <s v="POINT (-122.18497 47.28825)"/>
    <x v="1"/>
    <s v="53033029602"/>
  </r>
  <r>
    <x v="1048"/>
    <x v="1"/>
    <s v="Vashon"/>
    <s v="WA"/>
    <n v="98070"/>
    <x v="5"/>
    <x v="31"/>
    <s v="A3"/>
    <x v="0"/>
    <s v="Not eligible due to low battery range"/>
    <s v="16"/>
    <s v="0"/>
    <s v="34"/>
    <n v="160102148"/>
    <s v="POINT (-122.4573 47.44929)"/>
    <x v="1"/>
    <s v="53033027701"/>
  </r>
  <r>
    <x v="1049"/>
    <x v="3"/>
    <s v="Wapato"/>
    <s v="WA"/>
    <n v="98951"/>
    <x v="10"/>
    <x v="31"/>
    <s v="A3"/>
    <x v="0"/>
    <s v="Not eligible due to low battery range"/>
    <s v="16"/>
    <s v="0"/>
    <s v="15"/>
    <n v="318160860"/>
    <s v="POINT (-120.42083 46.44779)"/>
    <x v="2"/>
    <s v="53077940008"/>
  </r>
  <r>
    <x v="1050"/>
    <x v="1"/>
    <s v="Seattle"/>
    <s v="WA"/>
    <n v="98109"/>
    <x v="5"/>
    <x v="31"/>
    <s v="A3"/>
    <x v="0"/>
    <s v="Not eligible due to low battery range"/>
    <s v="16"/>
    <s v="0"/>
    <s v="36"/>
    <n v="264427369"/>
    <s v="POINT (-122.35022 47.63824)"/>
    <x v="4"/>
    <s v="53033007101"/>
  </r>
  <r>
    <x v="1051"/>
    <x v="1"/>
    <s v="Bellevue"/>
    <s v="WA"/>
    <n v="98005"/>
    <x v="2"/>
    <x v="13"/>
    <s v="IX"/>
    <x v="1"/>
    <s v="Eligibility unknown as battery range has not been researched"/>
    <s v="0"/>
    <s v="0"/>
    <s v="48"/>
    <n v="213530992"/>
    <s v="POINT (-122.1621 47.64441)"/>
    <x v="1"/>
    <s v="53033023701"/>
  </r>
  <r>
    <x v="1052"/>
    <x v="1"/>
    <s v="Sammamish"/>
    <s v="WA"/>
    <n v="98075"/>
    <x v="3"/>
    <x v="13"/>
    <s v="IX"/>
    <x v="1"/>
    <s v="Eligibility unknown as battery range has not been researched"/>
    <s v="0"/>
    <s v="0"/>
    <s v="41"/>
    <n v="260192859"/>
    <s v="POINT (-122.03539 47.61344)"/>
    <x v="1"/>
    <s v="53033032213"/>
  </r>
  <r>
    <x v="1053"/>
    <x v="2"/>
    <s v="Snohomish"/>
    <s v="WA"/>
    <n v="98296"/>
    <x v="4"/>
    <x v="13"/>
    <s v="IX"/>
    <x v="1"/>
    <s v="Eligibility unknown as battery range has not been researched"/>
    <s v="0"/>
    <s v="0"/>
    <s v="1"/>
    <n v="276705845"/>
    <s v="POINT (-122.1389 47.87115)"/>
    <x v="0"/>
    <s v="53061052112"/>
  </r>
  <r>
    <x v="1054"/>
    <x v="1"/>
    <s v="Seattle"/>
    <s v="WA"/>
    <n v="98112"/>
    <x v="4"/>
    <x v="13"/>
    <s v="IX"/>
    <x v="1"/>
    <s v="Eligibility unknown as battery range has not been researched"/>
    <s v="0"/>
    <s v="0"/>
    <s v="43"/>
    <n v="279183642"/>
    <s v="POINT (-122.30207 47.64085)"/>
    <x v="4"/>
    <s v="53033007600"/>
  </r>
  <r>
    <x v="1055"/>
    <x v="4"/>
    <s v="Vancouver"/>
    <s v="WA"/>
    <n v="98682"/>
    <x v="3"/>
    <x v="13"/>
    <s v="IX"/>
    <x v="1"/>
    <s v="Eligibility unknown as battery range has not been researched"/>
    <s v="0"/>
    <s v="0"/>
    <s v="18"/>
    <n v="251774015"/>
    <s v="POINT (-122.55149 45.69345)"/>
    <x v="3"/>
    <s v="53011040603"/>
  </r>
  <r>
    <x v="1055"/>
    <x v="4"/>
    <s v="Vancouver"/>
    <s v="WA"/>
    <n v="98686"/>
    <x v="3"/>
    <x v="13"/>
    <s v="IX"/>
    <x v="1"/>
    <s v="Eligibility unknown as battery range has not been researched"/>
    <s v="0"/>
    <s v="0"/>
    <s v="49"/>
    <n v="266009418"/>
    <s v="POINT (-122.62731 45.71668)"/>
    <x v="3"/>
    <s v="53011040803"/>
  </r>
  <r>
    <x v="1056"/>
    <x v="1"/>
    <s v="Kirkland"/>
    <s v="WA"/>
    <n v="98033"/>
    <x v="2"/>
    <x v="13"/>
    <s v="IX"/>
    <x v="1"/>
    <s v="Eligibility unknown as battery range has not been researched"/>
    <s v="0"/>
    <s v="0"/>
    <s v="48"/>
    <n v="211167351"/>
    <s v="POINT (-122.2066 47.67887)"/>
    <x v="1"/>
    <s v="53033022701"/>
  </r>
  <r>
    <x v="1057"/>
    <x v="1"/>
    <s v="Issaquah"/>
    <s v="WA"/>
    <n v="98029"/>
    <x v="3"/>
    <x v="13"/>
    <s v="IX"/>
    <x v="1"/>
    <s v="Eligibility unknown as battery range has not been researched"/>
    <s v="0"/>
    <s v="0"/>
    <s v="5"/>
    <n v="254437781"/>
    <s v="POINT (-122.00292 47.54748)"/>
    <x v="1"/>
    <s v="53033032221"/>
  </r>
  <r>
    <x v="1057"/>
    <x v="1"/>
    <s v="Redmond"/>
    <s v="WA"/>
    <n v="98053"/>
    <x v="3"/>
    <x v="13"/>
    <s v="IX"/>
    <x v="1"/>
    <s v="Eligibility unknown as battery range has not been researched"/>
    <s v="0"/>
    <s v="0"/>
    <s v="45"/>
    <n v="249783950"/>
    <s v="POINT (-122.03287 47.68555)"/>
    <x v="1"/>
    <s v="53033032332"/>
  </r>
  <r>
    <x v="1058"/>
    <x v="0"/>
    <s v="Poulsbo"/>
    <s v="WA"/>
    <n v="98370"/>
    <x v="0"/>
    <x v="13"/>
    <s v="IX"/>
    <x v="1"/>
    <s v="Eligibility unknown as battery range has not been researched"/>
    <s v="0"/>
    <s v="0"/>
    <s v="23"/>
    <n v="230154263"/>
    <s v="POINT (-122.64681 47.73689)"/>
    <x v="0"/>
    <s v="53035940100"/>
  </r>
  <r>
    <x v="1059"/>
    <x v="4"/>
    <s v="Vancouver"/>
    <s v="WA"/>
    <n v="98686"/>
    <x v="3"/>
    <x v="13"/>
    <s v="IX"/>
    <x v="1"/>
    <s v="Eligibility unknown as battery range has not been researched"/>
    <s v="0"/>
    <s v="0"/>
    <s v="49"/>
    <n v="271406621"/>
    <s v="POINT (-122.62731 45.71668)"/>
    <x v="3"/>
    <s v="53011040803"/>
  </r>
  <r>
    <x v="1060"/>
    <x v="1"/>
    <s v="Bothell"/>
    <s v="WA"/>
    <n v="98011"/>
    <x v="2"/>
    <x v="13"/>
    <s v="530E"/>
    <x v="0"/>
    <s v="Not eligible due to low battery range"/>
    <s v="21"/>
    <s v="0"/>
    <s v="1"/>
    <n v="282709801"/>
    <s v="POINT (-122.20563 47.76144)"/>
    <x v="1"/>
    <s v="53033021905"/>
  </r>
  <r>
    <x v="1061"/>
    <x v="1"/>
    <s v="Issaquah"/>
    <s v="WA"/>
    <n v="98027"/>
    <x v="1"/>
    <x v="13"/>
    <s v="330E"/>
    <x v="0"/>
    <s v="Not eligible due to low battery range"/>
    <s v="22"/>
    <s v="0"/>
    <s v="5"/>
    <n v="272743586"/>
    <s v="POINT (-122.03439 47.5301)"/>
    <x v="1"/>
    <s v="53033032104"/>
  </r>
  <r>
    <x v="1062"/>
    <x v="1"/>
    <s v="Bellevue"/>
    <s v="WA"/>
    <n v="98008"/>
    <x v="1"/>
    <x v="13"/>
    <s v="330E"/>
    <x v="0"/>
    <s v="Not eligible due to low battery range"/>
    <s v="20"/>
    <s v="0"/>
    <s v="48"/>
    <n v="167430679"/>
    <s v="POINT (-122.11867 47.63131)"/>
    <x v="1"/>
    <s v="53033023100"/>
  </r>
  <r>
    <x v="1063"/>
    <x v="3"/>
    <s v="Selah"/>
    <s v="WA"/>
    <n v="98942"/>
    <x v="10"/>
    <x v="13"/>
    <s v="740E"/>
    <x v="0"/>
    <s v="Not eligible due to low battery range"/>
    <s v="14"/>
    <s v="90700"/>
    <s v="15"/>
    <n v="179548379"/>
    <s v="POINT (-120.53145 46.65405)"/>
    <x v="2"/>
    <s v="53077003400"/>
  </r>
  <r>
    <x v="1064"/>
    <x v="23"/>
    <s v="Richland"/>
    <s v="WA"/>
    <n v="99352"/>
    <x v="4"/>
    <x v="13"/>
    <s v="I5"/>
    <x v="1"/>
    <s v="Eligibility unknown as battery range has not been researched"/>
    <s v="0"/>
    <s v="0"/>
    <s v="8"/>
    <n v="274337416"/>
    <s v="POINT (-119.27372 46.27391)"/>
    <x v="24"/>
    <s v="53005010817"/>
  </r>
  <r>
    <x v="1065"/>
    <x v="15"/>
    <s v="Spokane"/>
    <s v="WA"/>
    <n v="99224"/>
    <x v="8"/>
    <x v="13"/>
    <s v="I3"/>
    <x v="1"/>
    <s v="Clean Alternative Fuel Vehicle Eligible"/>
    <s v="81"/>
    <s v="0"/>
    <s v="6"/>
    <n v="272902738"/>
    <s v="POINT (-117.46996 47.59431)"/>
    <x v="15"/>
    <s v="53063003900"/>
  </r>
  <r>
    <x v="1066"/>
    <x v="1"/>
    <s v="Seattle"/>
    <s v="WA"/>
    <n v="98199"/>
    <x v="6"/>
    <x v="13"/>
    <s v="I3"/>
    <x v="1"/>
    <s v="Clean Alternative Fuel Vehicle Eligible"/>
    <s v="81"/>
    <s v="0"/>
    <s v="36"/>
    <n v="348678221"/>
    <s v="POINT (-122.40092 47.65908)"/>
    <x v="4"/>
    <s v="53033005700"/>
  </r>
  <r>
    <x v="1067"/>
    <x v="0"/>
    <s v="Poulsbo"/>
    <s v="WA"/>
    <n v="98370"/>
    <x v="6"/>
    <x v="13"/>
    <s v="I3"/>
    <x v="1"/>
    <s v="Clean Alternative Fuel Vehicle Eligible"/>
    <s v="81"/>
    <s v="0"/>
    <s v="23"/>
    <n v="163895798"/>
    <s v="POINT (-122.64681 47.73689)"/>
    <x v="0"/>
    <s v="53035091100"/>
  </r>
  <r>
    <x v="1068"/>
    <x v="1"/>
    <s v="Seattle"/>
    <s v="WA"/>
    <n v="98144"/>
    <x v="5"/>
    <x v="13"/>
    <s v="I3"/>
    <x v="1"/>
    <s v="Clean Alternative Fuel Vehicle Eligible"/>
    <s v="81"/>
    <s v="0"/>
    <s v="37"/>
    <n v="130618904"/>
    <s v="POINT (-122.30866 47.57874)"/>
    <x v="4"/>
    <s v="53033010001"/>
  </r>
  <r>
    <x v="1069"/>
    <x v="1"/>
    <s v="Seattle"/>
    <s v="WA"/>
    <n v="98107"/>
    <x v="6"/>
    <x v="13"/>
    <s v="I3"/>
    <x v="0"/>
    <s v="Clean Alternative Fuel Vehicle Eligible"/>
    <s v="72"/>
    <s v="0"/>
    <s v="36"/>
    <n v="214448048"/>
    <s v="POINT (-122.38591 47.67597)"/>
    <x v="4"/>
    <s v="53033003202"/>
  </r>
  <r>
    <x v="1070"/>
    <x v="16"/>
    <s v="Hoodsport"/>
    <s v="WA"/>
    <n v="98548"/>
    <x v="8"/>
    <x v="13"/>
    <s v="I3"/>
    <x v="0"/>
    <s v="Clean Alternative Fuel Vehicle Eligible"/>
    <s v="72"/>
    <s v="0"/>
    <s v="35"/>
    <n v="251970904"/>
    <s v="POINT (-123.14135 47.40639)"/>
    <x v="14"/>
    <s v="53045960201"/>
  </r>
  <r>
    <x v="1071"/>
    <x v="0"/>
    <s v="Seabeck"/>
    <s v="WA"/>
    <n v="98380"/>
    <x v="8"/>
    <x v="13"/>
    <s v="I3"/>
    <x v="0"/>
    <s v="Clean Alternative Fuel Vehicle Eligible"/>
    <s v="72"/>
    <s v="0"/>
    <s v="35"/>
    <n v="3572089"/>
    <s v="POINT (-122.81585 47.64509)"/>
    <x v="0"/>
    <s v="53035092000"/>
  </r>
  <r>
    <x v="1072"/>
    <x v="0"/>
    <s v="Bremerton"/>
    <s v="WA"/>
    <n v="98312"/>
    <x v="8"/>
    <x v="13"/>
    <s v="I3"/>
    <x v="0"/>
    <s v="Clean Alternative Fuel Vehicle Eligible"/>
    <s v="72"/>
    <s v="0"/>
    <s v="26"/>
    <n v="152353421"/>
    <s v="POINT (-122.65223 47.57192)"/>
    <x v="0"/>
    <s v="53035080600"/>
  </r>
  <r>
    <x v="1073"/>
    <x v="0"/>
    <s v="Poulsbo"/>
    <s v="WA"/>
    <n v="98370"/>
    <x v="5"/>
    <x v="13"/>
    <s v="I3"/>
    <x v="0"/>
    <s v="Clean Alternative Fuel Vehicle Eligible"/>
    <s v="72"/>
    <s v="0"/>
    <s v="23"/>
    <n v="208580123"/>
    <s v="POINT (-122.64681 47.73689)"/>
    <x v="0"/>
    <s v="53035090502"/>
  </r>
  <r>
    <x v="1074"/>
    <x v="1"/>
    <s v="Seattle"/>
    <s v="WA"/>
    <n v="98105"/>
    <x v="9"/>
    <x v="13"/>
    <s v="I3"/>
    <x v="1"/>
    <s v="Clean Alternative Fuel Vehicle Eligible"/>
    <s v="81"/>
    <s v="0"/>
    <s v="46"/>
    <n v="348980306"/>
    <s v="POINT (-122.31307 47.66127)"/>
    <x v="4"/>
    <s v="53033004201"/>
  </r>
  <r>
    <x v="1075"/>
    <x v="1"/>
    <s v="Seattle"/>
    <s v="WA"/>
    <n v="98112"/>
    <x v="9"/>
    <x v="13"/>
    <s v="I3"/>
    <x v="1"/>
    <s v="Clean Alternative Fuel Vehicle Eligible"/>
    <s v="81"/>
    <s v="0"/>
    <s v="37"/>
    <n v="278759890"/>
    <s v="POINT (-122.30207 47.64085)"/>
    <x v="4"/>
    <s v="53033007700"/>
  </r>
  <r>
    <x v="1076"/>
    <x v="0"/>
    <s v="Bainbridge Island"/>
    <s v="WA"/>
    <n v="98110"/>
    <x v="9"/>
    <x v="13"/>
    <s v="I3"/>
    <x v="0"/>
    <s v="Clean Alternative Fuel Vehicle Eligible"/>
    <s v="97"/>
    <s v="0"/>
    <s v="23"/>
    <n v="210279919"/>
    <s v="POINT (-122.521 47.62732)"/>
    <x v="0"/>
    <s v="53035090700"/>
  </r>
  <r>
    <x v="1077"/>
    <x v="0"/>
    <s v="Port Orchard"/>
    <s v="WA"/>
    <n v="98367"/>
    <x v="9"/>
    <x v="13"/>
    <s v="I3"/>
    <x v="0"/>
    <s v="Clean Alternative Fuel Vehicle Eligible"/>
    <s v="97"/>
    <s v="0"/>
    <s v="26"/>
    <n v="172695190"/>
    <s v="POINT (-122.70348 47.52028)"/>
    <x v="0"/>
    <s v="53035092801"/>
  </r>
  <r>
    <x v="1078"/>
    <x v="1"/>
    <s v="Bellevue"/>
    <s v="WA"/>
    <n v="98004"/>
    <x v="9"/>
    <x v="13"/>
    <s v="I3"/>
    <x v="0"/>
    <s v="Clean Alternative Fuel Vehicle Eligible"/>
    <s v="97"/>
    <s v="0"/>
    <s v="41"/>
    <n v="137420006"/>
    <s v="POINT (-122.1872 47.61001)"/>
    <x v="1"/>
    <s v="53033023902"/>
  </r>
  <r>
    <x v="1079"/>
    <x v="1"/>
    <s v="Kent"/>
    <s v="WA"/>
    <n v="98031"/>
    <x v="9"/>
    <x v="13"/>
    <s v="I3"/>
    <x v="0"/>
    <s v="Clean Alternative Fuel Vehicle Eligible"/>
    <s v="97"/>
    <s v="0"/>
    <s v="47"/>
    <n v="191085121"/>
    <s v="POINT (-122.17743 47.41185)"/>
    <x v="1"/>
    <s v="53033029407"/>
  </r>
  <r>
    <x v="1080"/>
    <x v="1"/>
    <s v="Seattle"/>
    <s v="WA"/>
    <n v="98101"/>
    <x v="6"/>
    <x v="13"/>
    <s v="I8"/>
    <x v="0"/>
    <s v="Not eligible due to low battery range"/>
    <s v="14"/>
    <s v="0"/>
    <s v="43"/>
    <n v="103055032"/>
    <s v="POINT (-122.34223 47.61085)"/>
    <x v="4"/>
    <s v="53033007302"/>
  </r>
  <r>
    <x v="1081"/>
    <x v="1"/>
    <s v="Bellevue"/>
    <s v="WA"/>
    <n v="98004"/>
    <x v="3"/>
    <x v="13"/>
    <s v="I4"/>
    <x v="1"/>
    <s v="Eligibility unknown as battery range has not been researched"/>
    <s v="0"/>
    <s v="0"/>
    <s v="48"/>
    <n v="272429685"/>
    <s v="POINT (-122.1872 47.61001)"/>
    <x v="1"/>
    <s v="53033023805"/>
  </r>
  <r>
    <x v="1082"/>
    <x v="1"/>
    <s v="Seattle"/>
    <s v="WA"/>
    <n v="98116"/>
    <x v="0"/>
    <x v="13"/>
    <s v="I4"/>
    <x v="1"/>
    <s v="Eligibility unknown as battery range has not been researched"/>
    <s v="0"/>
    <s v="0"/>
    <s v="34"/>
    <n v="234948192"/>
    <s v="POINT (-122.41067 47.57894)"/>
    <x v="4"/>
    <s v="53033009702"/>
  </r>
  <r>
    <x v="1083"/>
    <x v="1"/>
    <s v="Bellevue"/>
    <s v="WA"/>
    <n v="98005"/>
    <x v="4"/>
    <x v="13"/>
    <s v="I4"/>
    <x v="1"/>
    <s v="Eligibility unknown as battery range has not been researched"/>
    <s v="0"/>
    <s v="0"/>
    <s v="48"/>
    <n v="279173569"/>
    <s v="POINT (-122.1621 47.64441)"/>
    <x v="1"/>
    <s v="53033023702"/>
  </r>
  <r>
    <x v="1084"/>
    <x v="1"/>
    <s v="Kirkland"/>
    <s v="WA"/>
    <n v="98033"/>
    <x v="3"/>
    <x v="13"/>
    <s v="I4"/>
    <x v="1"/>
    <s v="Eligibility unknown as battery range has not been researched"/>
    <s v="0"/>
    <s v="0"/>
    <s v="48"/>
    <n v="274157173"/>
    <s v="POINT (-122.2066 47.67887)"/>
    <x v="1"/>
    <s v="53033022701"/>
  </r>
  <r>
    <x v="1085"/>
    <x v="1"/>
    <s v="Seattle"/>
    <s v="WA"/>
    <n v="98199"/>
    <x v="10"/>
    <x v="13"/>
    <s v="I3"/>
    <x v="1"/>
    <s v="Clean Alternative Fuel Vehicle Eligible"/>
    <s v="114"/>
    <s v="0"/>
    <s v="36"/>
    <n v="118108749"/>
    <s v="POINT (-122.40092 47.65908)"/>
    <x v="4"/>
    <s v="53033005803"/>
  </r>
  <r>
    <x v="1086"/>
    <x v="1"/>
    <s v="Kent"/>
    <s v="WA"/>
    <n v="98031"/>
    <x v="10"/>
    <x v="13"/>
    <s v="I3"/>
    <x v="1"/>
    <s v="Clean Alternative Fuel Vehicle Eligible"/>
    <s v="114"/>
    <s v="0"/>
    <s v="11"/>
    <n v="167374784"/>
    <s v="POINT (-122.17743 47.41185)"/>
    <x v="1"/>
    <s v="53033029306"/>
  </r>
  <r>
    <x v="1087"/>
    <x v="1"/>
    <s v="Duvall"/>
    <s v="WA"/>
    <n v="98019"/>
    <x v="10"/>
    <x v="13"/>
    <s v="I3"/>
    <x v="0"/>
    <s v="Clean Alternative Fuel Vehicle Eligible"/>
    <s v="97"/>
    <s v="0"/>
    <s v="5"/>
    <n v="284569659"/>
    <s v="POINT (-121.98609 47.74068)"/>
    <x v="1"/>
    <s v="53033032401"/>
  </r>
  <r>
    <x v="1088"/>
    <x v="1"/>
    <s v="Seattle"/>
    <s v="WA"/>
    <n v="98112"/>
    <x v="10"/>
    <x v="13"/>
    <s v="I3"/>
    <x v="1"/>
    <s v="Clean Alternative Fuel Vehicle Eligible"/>
    <s v="114"/>
    <s v="0"/>
    <s v="37"/>
    <n v="285122995"/>
    <s v="POINT (-122.30207 47.64085)"/>
    <x v="4"/>
    <s v="53033007700"/>
  </r>
  <r>
    <x v="1089"/>
    <x v="14"/>
    <s v="Walla Walla"/>
    <s v="WA"/>
    <n v="99362"/>
    <x v="10"/>
    <x v="13"/>
    <s v="I3"/>
    <x v="0"/>
    <s v="Clean Alternative Fuel Vehicle Eligible"/>
    <s v="97"/>
    <s v="0"/>
    <s v="16"/>
    <n v="177927578"/>
    <s v="POINT (-118.34261 46.07068)"/>
    <x v="2"/>
    <s v="53071920701"/>
  </r>
  <r>
    <x v="1090"/>
    <x v="0"/>
    <s v="Bremerton"/>
    <s v="WA"/>
    <n v="98310"/>
    <x v="10"/>
    <x v="13"/>
    <s v="I3"/>
    <x v="0"/>
    <s v="Clean Alternative Fuel Vehicle Eligible"/>
    <s v="97"/>
    <s v="0"/>
    <s v="23"/>
    <n v="474007551"/>
    <s v="POINT (-122.61273 47.57428)"/>
    <x v="0"/>
    <s v="53035080400"/>
  </r>
  <r>
    <x v="1091"/>
    <x v="7"/>
    <s v="Olympia"/>
    <s v="WA"/>
    <n v="98502"/>
    <x v="3"/>
    <x v="13"/>
    <s v="I4"/>
    <x v="1"/>
    <s v="Eligibility unknown as battery range has not been researched"/>
    <s v="0"/>
    <s v="0"/>
    <s v="35"/>
    <n v="276359226"/>
    <s v="POINT (-122.92333 47.03779)"/>
    <x v="0"/>
    <s v="53067011902"/>
  </r>
  <r>
    <x v="1092"/>
    <x v="7"/>
    <s v="Lacey"/>
    <s v="WA"/>
    <n v="98503"/>
    <x v="3"/>
    <x v="13"/>
    <s v="I4"/>
    <x v="1"/>
    <s v="Eligibility unknown as battery range has not been researched"/>
    <s v="0"/>
    <s v="0"/>
    <s v="22"/>
    <n v="258129413"/>
    <s v="POINT (-122.82324 47.04437)"/>
    <x v="0"/>
    <s v="53067011422"/>
  </r>
  <r>
    <x v="1093"/>
    <x v="1"/>
    <s v="Seattle"/>
    <s v="WA"/>
    <n v="98117"/>
    <x v="12"/>
    <x v="13"/>
    <s v="I3"/>
    <x v="1"/>
    <s v="Clean Alternative Fuel Vehicle Eligible"/>
    <s v="153"/>
    <s v="0"/>
    <s v="36"/>
    <n v="195483557"/>
    <s v="POINT (-122.38418 47.70044)"/>
    <x v="4"/>
    <s v="53033003100"/>
  </r>
  <r>
    <x v="1094"/>
    <x v="1"/>
    <s v="Seattle"/>
    <s v="WA"/>
    <n v="98125"/>
    <x v="12"/>
    <x v="13"/>
    <s v="I3"/>
    <x v="0"/>
    <s v="Clean Alternative Fuel Vehicle Eligible"/>
    <s v="126"/>
    <s v="0"/>
    <s v="46"/>
    <n v="172447362"/>
    <s v="POINT (-122.30253 47.72656)"/>
    <x v="4"/>
    <s v="53033000700"/>
  </r>
  <r>
    <x v="1095"/>
    <x v="22"/>
    <s v="Ferndale"/>
    <s v="WA"/>
    <n v="98248"/>
    <x v="9"/>
    <x v="14"/>
    <s v="S-CLASS"/>
    <x v="0"/>
    <s v="Not eligible due to low battery range"/>
    <s v="12"/>
    <s v="0"/>
    <s v="42"/>
    <n v="109066233"/>
    <s v="POINT (-122.5945 48.84787)"/>
    <x v="23"/>
    <s v="53073010600"/>
  </r>
  <r>
    <x v="1096"/>
    <x v="2"/>
    <s v="Woodway"/>
    <s v="WA"/>
    <n v="98020"/>
    <x v="5"/>
    <x v="14"/>
    <s v="B-CLASS"/>
    <x v="1"/>
    <s v="Clean Alternative Fuel Vehicle Eligible"/>
    <s v="87"/>
    <s v="0"/>
    <s v="32"/>
    <n v="146731322"/>
    <s v="POINT (-122.37689 47.81116)"/>
    <x v="0"/>
    <s v="53061050600"/>
  </r>
  <r>
    <x v="1097"/>
    <x v="7"/>
    <s v="Olympia"/>
    <s v="WA"/>
    <n v="98512"/>
    <x v="6"/>
    <x v="14"/>
    <s v="B-CLASS"/>
    <x v="1"/>
    <s v="Clean Alternative Fuel Vehicle Eligible"/>
    <s v="87"/>
    <s v="0"/>
    <s v="35"/>
    <n v="100195742"/>
    <s v="POINT (-122.90787 46.9461)"/>
    <x v="0"/>
    <s v="53067011822"/>
  </r>
  <r>
    <x v="1098"/>
    <x v="2"/>
    <s v="Monroe"/>
    <s v="WA"/>
    <n v="98272"/>
    <x v="5"/>
    <x v="32"/>
    <s v="FORTWO"/>
    <x v="1"/>
    <s v="Clean Alternative Fuel Vehicle Eligible"/>
    <s v="68"/>
    <s v="0"/>
    <s v="39"/>
    <n v="329175486"/>
    <s v="POINT (-121.98087 47.8526)"/>
    <x v="0"/>
    <s v="53061053801"/>
  </r>
  <r>
    <x v="1099"/>
    <x v="0"/>
    <s v="Bremerton"/>
    <s v="WA"/>
    <n v="98311"/>
    <x v="5"/>
    <x v="32"/>
    <s v="FORTWO"/>
    <x v="1"/>
    <s v="Clean Alternative Fuel Vehicle Eligible"/>
    <s v="68"/>
    <s v="0"/>
    <s v="23"/>
    <n v="6051475"/>
    <s v="POINT (-122.60915 47.62631)"/>
    <x v="0"/>
    <s v="53035091204"/>
  </r>
  <r>
    <x v="1100"/>
    <x v="1"/>
    <s v="Kirkland"/>
    <s v="WA"/>
    <n v="98034"/>
    <x v="9"/>
    <x v="32"/>
    <s v="FORTWO"/>
    <x v="1"/>
    <s v="Clean Alternative Fuel Vehicle Eligible"/>
    <s v="58"/>
    <s v="0"/>
    <s v="45"/>
    <n v="133639404"/>
    <s v="POINT (-122.22901 47.72201)"/>
    <x v="1"/>
    <s v="53033021904"/>
  </r>
  <r>
    <x v="1101"/>
    <x v="7"/>
    <s v="Lacey"/>
    <s v="WA"/>
    <n v="98503"/>
    <x v="10"/>
    <x v="32"/>
    <s v="EQ FORTWO"/>
    <x v="1"/>
    <s v="Clean Alternative Fuel Vehicle Eligible"/>
    <s v="58"/>
    <s v="0"/>
    <s v="22"/>
    <n v="248881202"/>
    <s v="POINT (-122.82324 47.04437)"/>
    <x v="0"/>
    <s v="53067011200"/>
  </r>
  <r>
    <x v="1102"/>
    <x v="4"/>
    <s v="Vancouver"/>
    <s v="WA"/>
    <n v="98686"/>
    <x v="0"/>
    <x v="33"/>
    <s v="HARDTOP"/>
    <x v="1"/>
    <s v="Eligibility unknown as battery range has not been researched"/>
    <s v="0"/>
    <s v="0"/>
    <s v="49"/>
    <n v="228707230"/>
    <s v="POINT (-122.62731 45.71668)"/>
    <x v="3"/>
    <s v="53011040803"/>
  </r>
  <r>
    <x v="1103"/>
    <x v="11"/>
    <s v="Anacortes"/>
    <s v="WA"/>
    <n v="98221"/>
    <x v="2"/>
    <x v="33"/>
    <s v="HARDTOP"/>
    <x v="1"/>
    <s v="Eligibility unknown as battery range has not been researched"/>
    <s v="0"/>
    <s v="0"/>
    <s v="40"/>
    <n v="227423367"/>
    <s v="POINT (-122.61216 48.51749)"/>
    <x v="0"/>
    <s v="53057940401"/>
  </r>
  <r>
    <x v="1104"/>
    <x v="2"/>
    <s v="Edmonds"/>
    <s v="WA"/>
    <n v="98020"/>
    <x v="2"/>
    <x v="33"/>
    <s v="HARDTOP"/>
    <x v="1"/>
    <s v="Eligibility unknown as battery range has not been researched"/>
    <s v="0"/>
    <s v="0"/>
    <s v="21"/>
    <n v="170921376"/>
    <s v="POINT (-122.37689 47.81116)"/>
    <x v="0"/>
    <s v="53061050402"/>
  </r>
  <r>
    <x v="1105"/>
    <x v="2"/>
    <s v="Everett"/>
    <s v="WA"/>
    <n v="98201"/>
    <x v="0"/>
    <x v="33"/>
    <s v="HARDTOP"/>
    <x v="1"/>
    <s v="Eligibility unknown as battery range has not been researched"/>
    <s v="0"/>
    <s v="0"/>
    <s v="38"/>
    <n v="220413119"/>
    <s v="POINT (-122.20596 47.97659)"/>
    <x v="0"/>
    <s v="53061040100"/>
  </r>
  <r>
    <x v="1106"/>
    <x v="1"/>
    <s v="Seattle"/>
    <s v="WA"/>
    <n v="98177"/>
    <x v="2"/>
    <x v="33"/>
    <s v="HARDTOP"/>
    <x v="1"/>
    <s v="Eligibility unknown as battery range has not been researched"/>
    <s v="0"/>
    <s v="0"/>
    <s v="32"/>
    <n v="212057296"/>
    <s v="POINT (-122.36498 47.72238)"/>
    <x v="4"/>
    <s v="53033001400"/>
  </r>
  <r>
    <x v="1107"/>
    <x v="1"/>
    <s v="Burien"/>
    <s v="WA"/>
    <n v="98146"/>
    <x v="1"/>
    <x v="33"/>
    <s v="HARDTOP"/>
    <x v="1"/>
    <s v="Clean Alternative Fuel Vehicle Eligible"/>
    <s v="110"/>
    <s v="0"/>
    <s v="34"/>
    <n v="132419542"/>
    <s v="POINT (-122.36178 47.49408)"/>
    <x v="4"/>
    <s v="53033026700"/>
  </r>
  <r>
    <x v="1108"/>
    <x v="1"/>
    <s v="Federal Way"/>
    <s v="WA"/>
    <n v="98003"/>
    <x v="1"/>
    <x v="33"/>
    <s v="HARDTOP"/>
    <x v="1"/>
    <s v="Clean Alternative Fuel Vehicle Eligible"/>
    <s v="110"/>
    <s v="0"/>
    <s v="30"/>
    <n v="124684318"/>
    <s v="POINT (-122.3303 47.30151)"/>
    <x v="1"/>
    <s v="53033030204"/>
  </r>
  <r>
    <x v="1109"/>
    <x v="6"/>
    <s v="Lakewood"/>
    <s v="WA"/>
    <n v="98499"/>
    <x v="2"/>
    <x v="33"/>
    <s v="COUNTRYMAN"/>
    <x v="0"/>
    <s v="Not eligible due to low battery range"/>
    <s v="17"/>
    <s v="0"/>
    <s v="28"/>
    <n v="152434054"/>
    <s v="POINT (-122.51495 47.16196)"/>
    <x v="38"/>
    <s v="53053071806"/>
  </r>
  <r>
    <x v="1110"/>
    <x v="1"/>
    <s v="Renton"/>
    <s v="WA"/>
    <n v="98055"/>
    <x v="2"/>
    <x v="34"/>
    <s v="TAYCAN"/>
    <x v="1"/>
    <s v="Eligibility unknown as battery range has not been researched"/>
    <s v="0"/>
    <s v="0"/>
    <s v="33"/>
    <n v="190724572"/>
    <s v="POINT (-122.20784 47.46004)"/>
    <x v="1"/>
    <s v="53033029305"/>
  </r>
  <r>
    <x v="1111"/>
    <x v="1"/>
    <s v="Issaquah"/>
    <s v="WA"/>
    <n v="98029"/>
    <x v="0"/>
    <x v="34"/>
    <s v="TAYCAN"/>
    <x v="1"/>
    <s v="Eligibility unknown as battery range has not been researched"/>
    <s v="0"/>
    <s v="0"/>
    <s v="5"/>
    <n v="265071831"/>
    <s v="POINT (-122.00292 47.54748)"/>
    <x v="1"/>
    <s v="53033032221"/>
  </r>
  <r>
    <x v="1112"/>
    <x v="1"/>
    <s v="Redmond"/>
    <s v="WA"/>
    <n v="98053"/>
    <x v="11"/>
    <x v="34"/>
    <s v="TAYCAN"/>
    <x v="1"/>
    <s v="Clean Alternative Fuel Vehicle Eligible"/>
    <s v="203"/>
    <s v="0"/>
    <s v="45"/>
    <n v="172399524"/>
    <s v="POINT (-122.03287 47.68555)"/>
    <x v="1"/>
    <s v="53033032332"/>
  </r>
  <r>
    <x v="1113"/>
    <x v="1"/>
    <s v="Sammamish"/>
    <s v="WA"/>
    <n v="98075"/>
    <x v="2"/>
    <x v="34"/>
    <s v="TAYCAN"/>
    <x v="1"/>
    <s v="Eligibility unknown as battery range has not been researched"/>
    <s v="0"/>
    <s v="0"/>
    <s v="41"/>
    <n v="187401063"/>
    <s v="POINT (-122.03539 47.61344)"/>
    <x v="1"/>
    <s v="53033032215"/>
  </r>
  <r>
    <x v="1114"/>
    <x v="1"/>
    <s v="Issaquah"/>
    <s v="WA"/>
    <n v="98029"/>
    <x v="2"/>
    <x v="34"/>
    <s v="TAYCAN"/>
    <x v="1"/>
    <s v="Eligibility unknown as battery range has not been researched"/>
    <s v="0"/>
    <s v="0"/>
    <s v="5"/>
    <n v="207729021"/>
    <s v="POINT (-122.00292 47.54748)"/>
    <x v="1"/>
    <s v="53033032220"/>
  </r>
  <r>
    <x v="1115"/>
    <x v="1"/>
    <s v="Issaquah"/>
    <s v="WA"/>
    <n v="98029"/>
    <x v="0"/>
    <x v="34"/>
    <s v="TAYCAN"/>
    <x v="1"/>
    <s v="Eligibility unknown as battery range has not been researched"/>
    <s v="0"/>
    <s v="0"/>
    <s v="5"/>
    <n v="258852604"/>
    <s v="POINT (-122.00292 47.54748)"/>
    <x v="1"/>
    <s v="53033032221"/>
  </r>
  <r>
    <x v="1116"/>
    <x v="1"/>
    <s v="Kirkland"/>
    <s v="WA"/>
    <n v="98033"/>
    <x v="10"/>
    <x v="34"/>
    <s v="PANAMERA"/>
    <x v="0"/>
    <s v="Not eligible due to low battery range"/>
    <s v="16"/>
    <s v="0"/>
    <s v="48"/>
    <n v="207668009"/>
    <s v="POINT (-122.2066 47.67887)"/>
    <x v="1"/>
    <s v="53033022701"/>
  </r>
  <r>
    <x v="1117"/>
    <x v="2"/>
    <s v="Everett"/>
    <s v="WA"/>
    <n v="98203"/>
    <x v="4"/>
    <x v="34"/>
    <s v="PANAMERA"/>
    <x v="0"/>
    <s v="Not eligible due to low battery range"/>
    <s v="28"/>
    <s v="0"/>
    <s v="38"/>
    <n v="275868400"/>
    <s v="POINT (-122.23019 47.94949)"/>
    <x v="0"/>
    <s v="53061041304"/>
  </r>
  <r>
    <x v="1118"/>
    <x v="15"/>
    <s v="Spokane"/>
    <s v="WA"/>
    <n v="99223"/>
    <x v="0"/>
    <x v="34"/>
    <s v="TAYCAN"/>
    <x v="1"/>
    <s v="Eligibility unknown as battery range has not been researched"/>
    <s v="0"/>
    <s v="0"/>
    <s v="6"/>
    <n v="238071382"/>
    <s v="POINT (-117.36043 47.63396)"/>
    <x v="12"/>
    <s v="53063005000"/>
  </r>
  <r>
    <x v="1119"/>
    <x v="1"/>
    <s v="Mercer Island"/>
    <s v="WA"/>
    <n v="98040"/>
    <x v="10"/>
    <x v="34"/>
    <s v="PANAMERA"/>
    <x v="0"/>
    <s v="Not eligible due to low battery range"/>
    <s v="14"/>
    <s v="184400"/>
    <s v="41"/>
    <n v="103328963"/>
    <s v="POINT (-122.21238 47.57816)"/>
    <x v="1"/>
    <s v="53033024500"/>
  </r>
  <r>
    <x v="1120"/>
    <x v="1"/>
    <s v="Seattle"/>
    <s v="WA"/>
    <n v="98144"/>
    <x v="4"/>
    <x v="34"/>
    <s v="MACAN"/>
    <x v="1"/>
    <s v="Eligibility unknown as battery range has not been researched"/>
    <s v="0"/>
    <s v="0"/>
    <s v="37"/>
    <n v="278745442"/>
    <s v="POINT (-122.30866 47.57874)"/>
    <x v="4"/>
    <s v="53033008900"/>
  </r>
  <r>
    <x v="1121"/>
    <x v="3"/>
    <s v="Yakima"/>
    <s v="WA"/>
    <n v="98903"/>
    <x v="11"/>
    <x v="34"/>
    <s v="CAYENNE"/>
    <x v="0"/>
    <s v="Not eligible due to low battery range"/>
    <s v="14"/>
    <s v="81100"/>
    <s v="14"/>
    <n v="255472465"/>
    <s v="POINT (-120.47777 46.55666)"/>
    <x v="2"/>
    <s v="53077002803"/>
  </r>
  <r>
    <x v="1122"/>
    <x v="1"/>
    <s v="Seattle"/>
    <s v="WA"/>
    <n v="98112"/>
    <x v="4"/>
    <x v="34"/>
    <s v="CAYENNE"/>
    <x v="0"/>
    <s v="Not eligible due to low battery range"/>
    <s v="29"/>
    <s v="0"/>
    <s v="43"/>
    <n v="282280071"/>
    <s v="POINT (-122.30207 47.64085)"/>
    <x v="4"/>
    <s v="53033006400"/>
  </r>
  <r>
    <x v="1123"/>
    <x v="1"/>
    <s v="Seattle"/>
    <s v="WA"/>
    <n v="98112"/>
    <x v="4"/>
    <x v="34"/>
    <s v="CAYENNE"/>
    <x v="0"/>
    <s v="Not eligible due to low battery range"/>
    <s v="27"/>
    <s v="0"/>
    <s v="43"/>
    <n v="274203905"/>
    <s v="POINT (-122.30207 47.64085)"/>
    <x v="4"/>
    <s v="53033006400"/>
  </r>
  <r>
    <x v="1124"/>
    <x v="15"/>
    <s v="Spokane"/>
    <s v="WA"/>
    <n v="99202"/>
    <x v="4"/>
    <x v="6"/>
    <s v="ID. BUZZ"/>
    <x v="1"/>
    <s v="Eligibility unknown as battery range has not been researched"/>
    <s v="0"/>
    <s v="0"/>
    <s v="3"/>
    <n v="283245070"/>
    <s v="POINT (-117.3797 47.65548)"/>
    <x v="15"/>
    <s v="53063014500"/>
  </r>
  <r>
    <x v="1125"/>
    <x v="22"/>
    <s v="Bellingham"/>
    <s v="WA"/>
    <n v="98226"/>
    <x v="1"/>
    <x v="6"/>
    <s v="ID.4"/>
    <x v="1"/>
    <s v="Eligibility unknown as battery range has not been researched"/>
    <s v="0"/>
    <s v="0"/>
    <s v="40"/>
    <n v="151053360"/>
    <s v="POINT (-122.49756 48.7999)"/>
    <x v="23"/>
    <s v="53073000807"/>
  </r>
  <r>
    <x v="1126"/>
    <x v="1"/>
    <s v="Seattle"/>
    <s v="WA"/>
    <n v="98101"/>
    <x v="1"/>
    <x v="6"/>
    <s v="ID.4"/>
    <x v="1"/>
    <s v="Eligibility unknown as battery range has not been researched"/>
    <s v="0"/>
    <s v="0"/>
    <s v="36"/>
    <n v="157513170"/>
    <s v="POINT (-122.34223 47.61085)"/>
    <x v="4"/>
    <s v="53033008002"/>
  </r>
  <r>
    <x v="1127"/>
    <x v="1"/>
    <s v="Maple Valley"/>
    <s v="WA"/>
    <n v="98038"/>
    <x v="2"/>
    <x v="6"/>
    <s v="ID.4"/>
    <x v="1"/>
    <s v="Eligibility unknown as battery range has not been researched"/>
    <s v="0"/>
    <s v="0"/>
    <s v="5"/>
    <n v="209459834"/>
    <s v="POINT (-122.04526 47.39394)"/>
    <x v="1"/>
    <s v="53033031603"/>
  </r>
  <r>
    <x v="1128"/>
    <x v="1"/>
    <s v="Seattle"/>
    <s v="WA"/>
    <n v="98144"/>
    <x v="4"/>
    <x v="6"/>
    <s v="ID. BUZZ"/>
    <x v="1"/>
    <s v="Eligibility unknown as battery range has not been researched"/>
    <s v="0"/>
    <s v="0"/>
    <s v="37"/>
    <n v="285993473"/>
    <s v="POINT (-122.30866 47.57874)"/>
    <x v="4"/>
    <s v="53033010002"/>
  </r>
  <r>
    <x v="1129"/>
    <x v="1"/>
    <s v="Seattle"/>
    <s v="WA"/>
    <n v="98117"/>
    <x v="1"/>
    <x v="6"/>
    <s v="ID.4"/>
    <x v="1"/>
    <s v="Eligibility unknown as battery range has not been researched"/>
    <s v="0"/>
    <s v="0"/>
    <s v="36"/>
    <n v="265691730"/>
    <s v="POINT (-122.38418 47.70044)"/>
    <x v="4"/>
    <s v="53033003100"/>
  </r>
  <r>
    <x v="1130"/>
    <x v="1"/>
    <s v="Seattle"/>
    <s v="WA"/>
    <n v="98119"/>
    <x v="2"/>
    <x v="6"/>
    <s v="ID.4"/>
    <x v="1"/>
    <s v="Eligibility unknown as battery range has not been researched"/>
    <s v="0"/>
    <s v="0"/>
    <s v="36"/>
    <n v="212214964"/>
    <s v="POINT (-122.3684 47.64586)"/>
    <x v="4"/>
    <s v="53033005902"/>
  </r>
  <r>
    <x v="1131"/>
    <x v="1"/>
    <s v="Renton"/>
    <s v="WA"/>
    <n v="98055"/>
    <x v="2"/>
    <x v="6"/>
    <s v="ID.4"/>
    <x v="1"/>
    <s v="Eligibility unknown as battery range has not been researched"/>
    <s v="0"/>
    <s v="0"/>
    <s v="11"/>
    <n v="211041785"/>
    <s v="POINT (-122.20784 47.46004)"/>
    <x v="1"/>
    <s v="53033025806"/>
  </r>
  <r>
    <x v="1132"/>
    <x v="2"/>
    <s v="Everett"/>
    <s v="WA"/>
    <n v="98201"/>
    <x v="5"/>
    <x v="6"/>
    <s v="E-GOLF"/>
    <x v="1"/>
    <s v="Clean Alternative Fuel Vehicle Eligible"/>
    <s v="83"/>
    <s v="0"/>
    <s v="38"/>
    <n v="138264325"/>
    <s v="POINT (-122.20596 47.97659)"/>
    <x v="0"/>
    <s v="53061041500"/>
  </r>
  <r>
    <x v="1133"/>
    <x v="1"/>
    <s v="Seattle"/>
    <s v="WA"/>
    <n v="98199"/>
    <x v="12"/>
    <x v="6"/>
    <s v="E-GOLF"/>
    <x v="1"/>
    <s v="Clean Alternative Fuel Vehicle Eligible"/>
    <s v="125"/>
    <s v="0"/>
    <s v="36"/>
    <n v="114585761"/>
    <s v="POINT (-122.40092 47.65908)"/>
    <x v="4"/>
    <s v="53033005700"/>
  </r>
  <r>
    <x v="1134"/>
    <x v="7"/>
    <s v="Olympia"/>
    <s v="WA"/>
    <n v="98506"/>
    <x v="9"/>
    <x v="6"/>
    <s v="E-GOLF"/>
    <x v="1"/>
    <s v="Clean Alternative Fuel Vehicle Eligible"/>
    <s v="125"/>
    <s v="0"/>
    <s v="22"/>
    <n v="248317772"/>
    <s v="POINT (-122.87741 47.05997)"/>
    <x v="0"/>
    <s v="53067012100"/>
  </r>
  <r>
    <x v="1135"/>
    <x v="2"/>
    <s v="Mountlake Terrace"/>
    <s v="WA"/>
    <n v="98043"/>
    <x v="12"/>
    <x v="6"/>
    <s v="E-GOLF"/>
    <x v="1"/>
    <s v="Clean Alternative Fuel Vehicle Eligible"/>
    <s v="125"/>
    <s v="0"/>
    <s v="1"/>
    <n v="5008706"/>
    <s v="POINT (-122.31111 47.78803)"/>
    <x v="0"/>
    <s v="53061051200"/>
  </r>
  <r>
    <x v="1136"/>
    <x v="1"/>
    <s v="Kent"/>
    <s v="WA"/>
    <n v="98030"/>
    <x v="5"/>
    <x v="6"/>
    <s v="E-GOLF"/>
    <x v="1"/>
    <s v="Clean Alternative Fuel Vehicle Eligible"/>
    <s v="83"/>
    <s v="0"/>
    <s v="47"/>
    <n v="9627117"/>
    <s v="POINT (-122.224 47.37943)"/>
    <x v="1"/>
    <s v="53033029603"/>
  </r>
  <r>
    <x v="1137"/>
    <x v="2"/>
    <s v="Woodinville"/>
    <s v="WA"/>
    <n v="98072"/>
    <x v="12"/>
    <x v="6"/>
    <s v="E-GOLF"/>
    <x v="1"/>
    <s v="Clean Alternative Fuel Vehicle Eligible"/>
    <s v="125"/>
    <s v="0"/>
    <s v="1"/>
    <n v="3293832"/>
    <s v="POINT (-122.15545 47.75448)"/>
    <x v="0"/>
    <s v="53061051912"/>
  </r>
  <r>
    <x v="1138"/>
    <x v="2"/>
    <s v="Edmonds"/>
    <s v="WA"/>
    <n v="98020"/>
    <x v="10"/>
    <x v="6"/>
    <s v="E-GOLF"/>
    <x v="1"/>
    <s v="Clean Alternative Fuel Vehicle Eligible"/>
    <s v="125"/>
    <s v="0"/>
    <s v="21"/>
    <n v="178950936"/>
    <s v="POINT (-122.37689 47.81116)"/>
    <x v="0"/>
    <s v="53061050501"/>
  </r>
  <r>
    <x v="1139"/>
    <x v="0"/>
    <s v="Bainbridge Island"/>
    <s v="WA"/>
    <n v="98110"/>
    <x v="1"/>
    <x v="22"/>
    <s v="V60"/>
    <x v="0"/>
    <s v="Not eligible due to low battery range"/>
    <s v="22"/>
    <s v="0"/>
    <s v="23"/>
    <n v="148283530"/>
    <s v="POINT (-122.521 47.62732)"/>
    <x v="0"/>
    <s v="53035091002"/>
  </r>
  <r>
    <x v="1140"/>
    <x v="0"/>
    <s v="Poulsbo"/>
    <s v="WA"/>
    <n v="98370"/>
    <x v="3"/>
    <x v="22"/>
    <s v="V60"/>
    <x v="0"/>
    <s v="Clean Alternative Fuel Vehicle Eligible"/>
    <s v="41"/>
    <s v="0"/>
    <s v="23"/>
    <n v="264488654"/>
    <s v="POINT (-122.64681 47.73689)"/>
    <x v="0"/>
    <s v="53035090400"/>
  </r>
  <r>
    <x v="1141"/>
    <x v="1"/>
    <s v="Seattle"/>
    <s v="WA"/>
    <n v="98112"/>
    <x v="3"/>
    <x v="22"/>
    <s v="V60"/>
    <x v="0"/>
    <s v="Clean Alternative Fuel Vehicle Eligible"/>
    <s v="41"/>
    <s v="0"/>
    <s v="43"/>
    <n v="260971371"/>
    <s v="POINT (-122.30207 47.64085)"/>
    <x v="4"/>
    <s v="53033006300"/>
  </r>
  <r>
    <x v="1142"/>
    <x v="2"/>
    <s v="Lake Stevens"/>
    <s v="WA"/>
    <n v="98258"/>
    <x v="1"/>
    <x v="22"/>
    <s v="XC90"/>
    <x v="0"/>
    <s v="Not eligible due to low battery range"/>
    <s v="18"/>
    <s v="0"/>
    <s v="44"/>
    <n v="141743948"/>
    <s v="POINT (-122.06402 48.01497)"/>
    <x v="0"/>
    <s v="53061052504"/>
  </r>
  <r>
    <x v="1143"/>
    <x v="5"/>
    <s v="Oak Harbor"/>
    <s v="WA"/>
    <n v="98277"/>
    <x v="2"/>
    <x v="22"/>
    <s v="XC90"/>
    <x v="0"/>
    <s v="Not eligible due to low battery range"/>
    <s v="18"/>
    <s v="0"/>
    <s v="10"/>
    <n v="271910999"/>
    <s v="POINT (-122.64682 48.29077)"/>
    <x v="0"/>
    <s v="53029970401"/>
  </r>
  <r>
    <x v="1144"/>
    <x v="3"/>
    <s v="Selah"/>
    <s v="WA"/>
    <n v="98942"/>
    <x v="1"/>
    <x v="22"/>
    <s v="XC90"/>
    <x v="0"/>
    <s v="Not eligible due to low battery range"/>
    <s v="18"/>
    <s v="0"/>
    <s v="15"/>
    <n v="262707882"/>
    <s v="POINT (-120.53145 46.65405)"/>
    <x v="2"/>
    <s v="53077003400"/>
  </r>
  <r>
    <x v="1145"/>
    <x v="1"/>
    <s v="Kirkland"/>
    <s v="WA"/>
    <n v="98033"/>
    <x v="1"/>
    <x v="22"/>
    <s v="XC90"/>
    <x v="0"/>
    <s v="Not eligible due to low battery range"/>
    <s v="18"/>
    <s v="0"/>
    <s v="45"/>
    <n v="168693787"/>
    <s v="POINT (-122.2066 47.67887)"/>
    <x v="1"/>
    <s v="53033022401"/>
  </r>
  <r>
    <x v="1146"/>
    <x v="1"/>
    <s v="Seatac"/>
    <s v="WA"/>
    <n v="98188"/>
    <x v="1"/>
    <x v="22"/>
    <s v="XC90"/>
    <x v="0"/>
    <s v="Not eligible due to low battery range"/>
    <s v="18"/>
    <s v="0"/>
    <s v="33"/>
    <n v="280743872"/>
    <s v="POINT (-122.27427 47.43405)"/>
    <x v="1"/>
    <s v="53033028100"/>
  </r>
  <r>
    <x v="1147"/>
    <x v="1"/>
    <s v="Seattle"/>
    <s v="WA"/>
    <n v="98105"/>
    <x v="1"/>
    <x v="22"/>
    <s v="XC60"/>
    <x v="0"/>
    <s v="Not eligible due to low battery range"/>
    <s v="18"/>
    <s v="0"/>
    <s v="43"/>
    <n v="264522779"/>
    <s v="POINT (-122.31307 47.66127)"/>
    <x v="4"/>
    <s v="53033005201"/>
  </r>
  <r>
    <x v="1148"/>
    <x v="0"/>
    <s v="Bainbridge Island"/>
    <s v="WA"/>
    <n v="98110"/>
    <x v="1"/>
    <x v="22"/>
    <s v="XC60"/>
    <x v="0"/>
    <s v="Not eligible due to low battery range"/>
    <s v="18"/>
    <s v="0"/>
    <s v="23"/>
    <n v="137091349"/>
    <s v="POINT (-122.521 47.62732)"/>
    <x v="0"/>
    <s v="53035090800"/>
  </r>
  <r>
    <x v="1149"/>
    <x v="5"/>
    <s v="Greenbank"/>
    <s v="WA"/>
    <n v="98253"/>
    <x v="11"/>
    <x v="22"/>
    <s v="XC60"/>
    <x v="0"/>
    <s v="Not eligible due to low battery range"/>
    <s v="18"/>
    <s v="0"/>
    <s v="10"/>
    <n v="109733963"/>
    <s v="POINT (-122.56817 48.08827)"/>
    <x v="0"/>
    <s v="53029971302"/>
  </r>
  <r>
    <x v="1150"/>
    <x v="1"/>
    <s v="Auburn"/>
    <s v="WA"/>
    <n v="98092"/>
    <x v="11"/>
    <x v="22"/>
    <s v="XC60"/>
    <x v="0"/>
    <s v="Not eligible due to low battery range"/>
    <s v="19"/>
    <s v="0"/>
    <s v="47"/>
    <n v="112630199"/>
    <s v="POINT (-122.18497 47.28825)"/>
    <x v="1"/>
    <s v="53033029602"/>
  </r>
  <r>
    <x v="1151"/>
    <x v="0"/>
    <s v="Bainbridge Island"/>
    <s v="WA"/>
    <n v="98110"/>
    <x v="10"/>
    <x v="22"/>
    <s v="XC90"/>
    <x v="0"/>
    <s v="Not eligible due to low battery range"/>
    <s v="19"/>
    <s v="64950"/>
    <s v="23"/>
    <n v="132469508"/>
    <s v="POINT (-122.521 47.62732)"/>
    <x v="0"/>
    <s v="53035090700"/>
  </r>
  <r>
    <x v="1152"/>
    <x v="2"/>
    <s v="Everett"/>
    <s v="WA"/>
    <n v="98203"/>
    <x v="2"/>
    <x v="22"/>
    <s v="C40"/>
    <x v="1"/>
    <s v="Eligibility unknown as battery range has not been researched"/>
    <s v="0"/>
    <s v="0"/>
    <s v="38"/>
    <n v="261344933"/>
    <s v="POINT (-122.23019 47.94949)"/>
    <x v="0"/>
    <s v="53061041304"/>
  </r>
  <r>
    <x v="1153"/>
    <x v="1"/>
    <s v="Seattle"/>
    <s v="WA"/>
    <n v="98126"/>
    <x v="2"/>
    <x v="22"/>
    <s v="C40"/>
    <x v="1"/>
    <s v="Eligibility unknown as battery range has not been researched"/>
    <s v="0"/>
    <s v="0"/>
    <s v="34"/>
    <n v="209653118"/>
    <s v="POINT (-122.36893 47.54701)"/>
    <x v="4"/>
    <s v="53033009900"/>
  </r>
  <r>
    <x v="1154"/>
    <x v="11"/>
    <s v="Anacortes"/>
    <s v="WA"/>
    <n v="98221"/>
    <x v="0"/>
    <x v="22"/>
    <s v="C40"/>
    <x v="1"/>
    <s v="Eligibility unknown as battery range has not been researched"/>
    <s v="0"/>
    <s v="0"/>
    <s v="40"/>
    <n v="231172042"/>
    <s v="POINT (-122.61216 48.51749)"/>
    <x v="0"/>
    <s v="53057940401"/>
  </r>
  <r>
    <x v="1155"/>
    <x v="1"/>
    <s v="Seattle"/>
    <s v="WA"/>
    <n v="98116"/>
    <x v="0"/>
    <x v="22"/>
    <s v="XC40"/>
    <x v="1"/>
    <s v="Eligibility unknown as battery range has not been researched"/>
    <s v="0"/>
    <s v="0"/>
    <s v="34"/>
    <n v="276584640"/>
    <s v="POINT (-122.41067 47.57894)"/>
    <x v="4"/>
    <s v="53033009702"/>
  </r>
  <r>
    <x v="1156"/>
    <x v="11"/>
    <s v="Bow"/>
    <s v="WA"/>
    <n v="98232"/>
    <x v="1"/>
    <x v="22"/>
    <s v="XC40"/>
    <x v="1"/>
    <s v="Eligibility unknown as battery range has not been researched"/>
    <s v="0"/>
    <s v="0"/>
    <s v="40"/>
    <n v="171141729"/>
    <s v="POINT (-122.397 48.56045)"/>
    <x v="0"/>
    <s v="53057950801"/>
  </r>
  <r>
    <x v="1156"/>
    <x v="1"/>
    <s v="Kirkland"/>
    <s v="WA"/>
    <n v="98033"/>
    <x v="1"/>
    <x v="22"/>
    <s v="XC40"/>
    <x v="1"/>
    <s v="Eligibility unknown as battery range has not been researched"/>
    <s v="0"/>
    <s v="0"/>
    <s v="45"/>
    <n v="261816404"/>
    <s v="POINT (-122.2066 47.67887)"/>
    <x v="1"/>
    <s v="53033022603"/>
  </r>
  <r>
    <x v="1157"/>
    <x v="1"/>
    <s v="Redmond"/>
    <s v="WA"/>
    <n v="98052"/>
    <x v="2"/>
    <x v="22"/>
    <s v="XC40"/>
    <x v="1"/>
    <s v="Eligibility unknown as battery range has not been researched"/>
    <s v="0"/>
    <s v="0"/>
    <s v="45"/>
    <n v="275256341"/>
    <s v="POINT (-122.13158 47.67858)"/>
    <x v="1"/>
    <s v="53033032323"/>
  </r>
  <r>
    <x v="1158"/>
    <x v="1"/>
    <s v="Redmond"/>
    <s v="WA"/>
    <n v="98052"/>
    <x v="1"/>
    <x v="22"/>
    <s v="XC40"/>
    <x v="1"/>
    <s v="Eligibility unknown as battery range has not been researched"/>
    <s v="0"/>
    <s v="0"/>
    <s v="48"/>
    <n v="151075711"/>
    <s v="POINT (-122.13158 47.67858)"/>
    <x v="1"/>
    <s v="53033032325"/>
  </r>
  <r>
    <x v="1159"/>
    <x v="1"/>
    <s v="Seattle"/>
    <s v="WA"/>
    <n v="98177"/>
    <x v="4"/>
    <x v="22"/>
    <s v="EX30"/>
    <x v="1"/>
    <s v="Eligibility unknown as battery range has not been researched"/>
    <s v="0"/>
    <s v="0"/>
    <s v="32"/>
    <n v="280963637"/>
    <s v="POINT (-122.36498 47.72238)"/>
    <x v="4"/>
    <s v="53033000500"/>
  </r>
  <r>
    <x v="1160"/>
    <x v="2"/>
    <s v="Edmonds"/>
    <s v="WA"/>
    <n v="98020"/>
    <x v="4"/>
    <x v="22"/>
    <s v="EX40"/>
    <x v="1"/>
    <s v="Eligibility unknown as battery range has not been researched"/>
    <s v="0"/>
    <s v="0"/>
    <s v="21"/>
    <n v="280401614"/>
    <s v="POINT (-122.37689 47.81116)"/>
    <x v="0"/>
    <s v="53061050502"/>
  </r>
  <r>
    <x v="1161"/>
    <x v="1"/>
    <s v="Shoreline"/>
    <s v="WA"/>
    <n v="98177"/>
    <x v="3"/>
    <x v="22"/>
    <s v="XC40"/>
    <x v="1"/>
    <s v="Eligibility unknown as battery range has not been researched"/>
    <s v="0"/>
    <s v="0"/>
    <s v="32"/>
    <n v="275868372"/>
    <s v="POINT (-122.36498 47.72238)"/>
    <x v="4"/>
    <s v="53033020200"/>
  </r>
  <r>
    <x v="1162"/>
    <x v="1"/>
    <s v="Seattle"/>
    <s v="WA"/>
    <n v="98199"/>
    <x v="0"/>
    <x v="22"/>
    <s v="XC90"/>
    <x v="0"/>
    <s v="Clean Alternative Fuel Vehicle Eligible"/>
    <s v="32"/>
    <s v="0"/>
    <s v="36"/>
    <n v="260124287"/>
    <s v="POINT (-122.40092 47.65908)"/>
    <x v="4"/>
    <s v="53033005600"/>
  </r>
  <r>
    <x v="1163"/>
    <x v="1"/>
    <s v="Seattle"/>
    <s v="WA"/>
    <n v="98125"/>
    <x v="0"/>
    <x v="22"/>
    <s v="XC90"/>
    <x v="0"/>
    <s v="Clean Alternative Fuel Vehicle Eligible"/>
    <s v="32"/>
    <s v="0"/>
    <s v="46"/>
    <n v="228419264"/>
    <s v="POINT (-122.30253 47.72656)"/>
    <x v="4"/>
    <s v="53033001100"/>
  </r>
  <r>
    <x v="1164"/>
    <x v="3"/>
    <s v="Yakima"/>
    <s v="WA"/>
    <n v="98901"/>
    <x v="0"/>
    <x v="22"/>
    <s v="XC90"/>
    <x v="0"/>
    <s v="Clean Alternative Fuel Vehicle Eligible"/>
    <s v="32"/>
    <s v="0"/>
    <s v="15"/>
    <n v="230117681"/>
    <s v="POINT (-120.50729 46.60464)"/>
    <x v="2"/>
    <s v="53077001601"/>
  </r>
  <r>
    <x v="1165"/>
    <x v="1"/>
    <s v="Bothell"/>
    <s v="WA"/>
    <n v="98011"/>
    <x v="0"/>
    <x v="22"/>
    <s v="XC90"/>
    <x v="0"/>
    <s v="Clean Alternative Fuel Vehicle Eligible"/>
    <s v="32"/>
    <s v="0"/>
    <s v="1"/>
    <n v="244884517"/>
    <s v="POINT (-122.20563 47.76144)"/>
    <x v="1"/>
    <s v="53033022001"/>
  </r>
  <r>
    <x v="1166"/>
    <x v="25"/>
    <s v="Ellensburg"/>
    <s v="WA"/>
    <n v="98926"/>
    <x v="3"/>
    <x v="22"/>
    <s v="XC60"/>
    <x v="0"/>
    <s v="Clean Alternative Fuel Vehicle Eligible"/>
    <s v="35"/>
    <s v="0"/>
    <s v="13"/>
    <n v="261871431"/>
    <s v="POINT (-120.54872 46.99703)"/>
    <x v="0"/>
    <s v="53037975300"/>
  </r>
  <r>
    <x v="1167"/>
    <x v="1"/>
    <s v="Kirkland"/>
    <s v="WA"/>
    <n v="98033"/>
    <x v="3"/>
    <x v="22"/>
    <s v="XC60"/>
    <x v="0"/>
    <s v="Clean Alternative Fuel Vehicle Eligible"/>
    <s v="35"/>
    <s v="0"/>
    <s v="48"/>
    <n v="262565012"/>
    <s v="POINT (-122.2066 47.67887)"/>
    <x v="1"/>
    <s v="53033022603"/>
  </r>
  <r>
    <x v="1168"/>
    <x v="1"/>
    <s v="Seattle"/>
    <s v="WA"/>
    <n v="98105"/>
    <x v="3"/>
    <x v="22"/>
    <s v="XC60"/>
    <x v="0"/>
    <s v="Clean Alternative Fuel Vehicle Eligible"/>
    <s v="35"/>
    <s v="0"/>
    <s v="43"/>
    <n v="249923607"/>
    <s v="POINT (-122.31307 47.66127)"/>
    <x v="4"/>
    <s v="53033004500"/>
  </r>
  <r>
    <x v="1169"/>
    <x v="28"/>
    <s v="Pullman"/>
    <s v="WA"/>
    <n v="99163"/>
    <x v="0"/>
    <x v="22"/>
    <s v="XC60"/>
    <x v="0"/>
    <s v="Clean Alternative Fuel Vehicle Eligible"/>
    <s v="35"/>
    <s v="0"/>
    <s v="9"/>
    <n v="244872407"/>
    <s v="POINT (-117.18147 46.73015)"/>
    <x v="9"/>
    <s v="53075000202"/>
  </r>
  <r>
    <x v="1170"/>
    <x v="1"/>
    <s v="Seattle"/>
    <s v="WA"/>
    <n v="98177"/>
    <x v="4"/>
    <x v="22"/>
    <s v="XC60"/>
    <x v="0"/>
    <s v="Clean Alternative Fuel Vehicle Eligible"/>
    <s v="35"/>
    <s v="0"/>
    <s v="32"/>
    <n v="281405330"/>
    <s v="POINT (-122.36498 47.72238)"/>
    <x v="4"/>
    <s v="53033000500"/>
  </r>
  <r>
    <x v="1171"/>
    <x v="1"/>
    <s v="Seattle"/>
    <s v="WA"/>
    <n v="98112"/>
    <x v="4"/>
    <x v="22"/>
    <s v="XC60"/>
    <x v="0"/>
    <s v="Clean Alternative Fuel Vehicle Eligible"/>
    <s v="35"/>
    <s v="0"/>
    <s v="43"/>
    <n v="282404279"/>
    <s v="POINT (-122.30207 47.64085)"/>
    <x v="4"/>
    <s v="53033006300"/>
  </r>
  <r>
    <x v="1172"/>
    <x v="6"/>
    <s v="Orting"/>
    <s v="WA"/>
    <n v="98360"/>
    <x v="3"/>
    <x v="7"/>
    <s v="HORNET"/>
    <x v="0"/>
    <s v="Clean Alternative Fuel Vehicle Eligible"/>
    <s v="32"/>
    <s v="0"/>
    <s v="2"/>
    <n v="283009142"/>
    <s v="POINT (-122.20166 47.09596)"/>
    <x v="1"/>
    <s v="53053070404"/>
  </r>
  <r>
    <x v="1173"/>
    <x v="1"/>
    <s v="Enumclaw"/>
    <s v="WA"/>
    <n v="98022"/>
    <x v="3"/>
    <x v="7"/>
    <s v="HORNET"/>
    <x v="0"/>
    <s v="Clean Alternative Fuel Vehicle Eligible"/>
    <s v="32"/>
    <s v="0"/>
    <s v="31"/>
    <n v="269759920"/>
    <s v="POINT (-121.99136 47.20433)"/>
    <x v="1"/>
    <s v="53033031302"/>
  </r>
  <r>
    <x v="1174"/>
    <x v="6"/>
    <s v="Tacoma"/>
    <s v="WA"/>
    <n v="98407"/>
    <x v="3"/>
    <x v="35"/>
    <s v="TONALE"/>
    <x v="0"/>
    <s v="Clean Alternative Fuel Vehicle Eligible"/>
    <s v="33"/>
    <s v="0"/>
    <s v="27"/>
    <n v="262874559"/>
    <s v="POINT (-122.51134 47.29238)"/>
    <x v="11"/>
    <s v="53053060903"/>
  </r>
  <r>
    <x v="1175"/>
    <x v="1"/>
    <s v="Kent"/>
    <s v="WA"/>
    <n v="98031"/>
    <x v="3"/>
    <x v="10"/>
    <s v="500E"/>
    <x v="1"/>
    <s v="Eligibility unknown as battery range has not been researched"/>
    <s v="0"/>
    <s v="0"/>
    <s v="47"/>
    <n v="273859078"/>
    <s v="POINT (-122.17743 47.41185)"/>
    <x v="1"/>
    <s v="53033029408"/>
  </r>
  <r>
    <x v="1176"/>
    <x v="1"/>
    <s v="Seattle"/>
    <s v="WA"/>
    <n v="98103"/>
    <x v="3"/>
    <x v="10"/>
    <s v="500E"/>
    <x v="1"/>
    <s v="Eligibility unknown as battery range has not been researched"/>
    <s v="0"/>
    <s v="0"/>
    <s v="36"/>
    <n v="272218453"/>
    <s v="POINT (-122.35436 47.67596)"/>
    <x v="4"/>
    <s v="53033002800"/>
  </r>
  <r>
    <x v="1177"/>
    <x v="1"/>
    <s v="Seattle"/>
    <s v="WA"/>
    <n v="98178"/>
    <x v="3"/>
    <x v="10"/>
    <s v="500E"/>
    <x v="1"/>
    <s v="Eligibility unknown as battery range has not been researched"/>
    <s v="0"/>
    <s v="0"/>
    <s v="37"/>
    <n v="278528288"/>
    <s v="POINT (-122.23825 47.49461)"/>
    <x v="4"/>
    <s v="530330119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C551A-6CA3-415A-8592-15E830B4125B}" name="RegistrosPorComarca" cacheId="1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marcas">
  <location ref="H13:J45" firstHeaderRow="0" firstDataRow="1" firstDataCol="1"/>
  <pivotFields count="17">
    <pivotField dataField="1" showAll="0"/>
    <pivotField axis="axisRow" dataField="1" showAll="0">
      <items count="33">
        <item x="23"/>
        <item x="10"/>
        <item x="20"/>
        <item x="4"/>
        <item x="29"/>
        <item x="27"/>
        <item x="30"/>
        <item x="13"/>
        <item x="24"/>
        <item x="5"/>
        <item x="19"/>
        <item x="1"/>
        <item x="0"/>
        <item x="25"/>
        <item x="21"/>
        <item x="8"/>
        <item x="16"/>
        <item x="18"/>
        <item x="31"/>
        <item x="9"/>
        <item x="6"/>
        <item x="17"/>
        <item x="11"/>
        <item x="2"/>
        <item x="15"/>
        <item x="12"/>
        <item x="7"/>
        <item x="14"/>
        <item x="22"/>
        <item x="28"/>
        <item x="3"/>
        <item x="26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Registros" fld="0" subtotal="count" baseField="1" baseItem="0"/>
    <dataField name="Porcentaje" fld="1" subtotal="count" showDataAs="percentOfCol" baseField="1" baseItem="0" numFmtId="10"/>
  </dataField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1F9EE-7155-47E0-AC6B-5A56340CCDF0}" name="Vehiculos matriculados" cacheId="15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F4:F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Recuento distinto de VIN (1-10)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VIN (1-10)"/>
  </pivotHierarchie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lectric_Vehicle_Population_Data_Carlos.xlsx!Datos_conjuntos">
        <x15:activeTabTopLevelEntity name="[Datos_conjun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9F42B-9281-466C-BD67-BBCEC595F820}" name="RegistrosPOrMarca" cacheId="1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L13:M44" firstHeaderRow="1" firstDataRow="1" firstDataCol="1"/>
  <pivotFields count="17">
    <pivotField dataField="1" showAll="0"/>
    <pivotField showAll="0">
      <items count="33">
        <item x="26"/>
        <item x="23"/>
        <item x="10"/>
        <item x="20"/>
        <item x="4"/>
        <item x="29"/>
        <item x="27"/>
        <item x="30"/>
        <item x="13"/>
        <item x="24"/>
        <item x="5"/>
        <item x="19"/>
        <item x="1"/>
        <item x="0"/>
        <item x="25"/>
        <item x="21"/>
        <item x="8"/>
        <item x="16"/>
        <item x="18"/>
        <item x="31"/>
        <item x="9"/>
        <item x="6"/>
        <item x="17"/>
        <item x="11"/>
        <item x="2"/>
        <item x="15"/>
        <item x="12"/>
        <item x="7"/>
        <item x="14"/>
        <item x="22"/>
        <item x="28"/>
        <item x="3"/>
        <item t="default"/>
      </items>
    </pivotField>
    <pivotField showAll="0"/>
    <pivotField showAll="0"/>
    <pivotField numFmtId="1" showAll="0"/>
    <pivotField showAll="0"/>
    <pivotField axis="axisRow" showAll="0">
      <items count="37">
        <item x="15"/>
        <item x="35"/>
        <item x="31"/>
        <item x="13"/>
        <item x="4"/>
        <item x="2"/>
        <item x="8"/>
        <item x="7"/>
        <item x="10"/>
        <item x="30"/>
        <item x="1"/>
        <item x="18"/>
        <item x="3"/>
        <item x="12"/>
        <item x="23"/>
        <item x="0"/>
        <item x="19"/>
        <item x="29"/>
        <item x="26"/>
        <item x="17"/>
        <item x="16"/>
        <item x="25"/>
        <item x="14"/>
        <item x="33"/>
        <item x="24"/>
        <item x="5"/>
        <item x="28"/>
        <item x="34"/>
        <item x="11"/>
        <item x="21"/>
        <item x="32"/>
        <item x="27"/>
        <item x="20"/>
        <item x="9"/>
        <item x="6"/>
        <item x="22"/>
        <item t="default"/>
      </items>
    </pivotField>
    <pivotField showAll="0"/>
    <pivotField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</pivotFields>
  <rowFields count="1">
    <field x="6"/>
  </rowFields>
  <rowItems count="31">
    <i>
      <x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20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Cuenta de VIN (1-10)" fld="0" subtotal="count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4D488-CBD0-4B60-A6AC-31EA5D1BAD42}" name="EvolucionRegistros" cacheId="1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D13:E31" firstHeaderRow="1" firstDataRow="1" firstDataCol="1"/>
  <pivotFields count="17">
    <pivotField dataField="1" showAll="0"/>
    <pivotField showAll="0">
      <items count="33">
        <item x="26"/>
        <item x="23"/>
        <item x="10"/>
        <item x="20"/>
        <item x="4"/>
        <item x="29"/>
        <item x="27"/>
        <item x="30"/>
        <item x="13"/>
        <item x="24"/>
        <item x="5"/>
        <item x="19"/>
        <item x="1"/>
        <item x="0"/>
        <item x="25"/>
        <item x="21"/>
        <item x="8"/>
        <item x="16"/>
        <item x="18"/>
        <item x="31"/>
        <item x="9"/>
        <item x="6"/>
        <item x="17"/>
        <item x="11"/>
        <item x="2"/>
        <item x="15"/>
        <item x="12"/>
        <item x="7"/>
        <item x="14"/>
        <item x="22"/>
        <item x="28"/>
        <item x="3"/>
        <item t="default"/>
      </items>
    </pivotField>
    <pivotField showAll="0"/>
    <pivotField showAll="0"/>
    <pivotField numFmtId="1" showAll="0"/>
    <pivotField axis="axisRow" showAll="0">
      <items count="18">
        <item x="15"/>
        <item x="16"/>
        <item x="13"/>
        <item x="7"/>
        <item x="6"/>
        <item x="8"/>
        <item x="5"/>
        <item x="9"/>
        <item x="10"/>
        <item x="12"/>
        <item x="11"/>
        <item x="1"/>
        <item x="2"/>
        <item x="0"/>
        <item x="3"/>
        <item x="4"/>
        <item x="14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uenta de VIN (1-10)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7CD7E-D136-46C6-BDD8-301ACE4E3A1F}" name="PorcentajePorTipoElectrificacion" cacheId="15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2">
  <location ref="H4:I7" firstHeaderRow="1" firstDataRow="1" firstDataCol="1"/>
  <pivotFields count="2">
    <pivotField axis="axisRow" allDrilled="1" subtotalTop="0" showAll="0" dataSourceSort="1" defaultSubtotal="0" defaultAttributeDrillState="1">
      <items count="2">
        <item n="BEV" x="0"/>
        <item n="PHEV"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Recuento distinto de VIN (1-10)" fld="1" subtotal="count" showDataAs="percentOfCol" baseField="0" baseItem="0" numFmtId="1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VIN (1-10)"/>
  </pivotHierarchies>
  <pivotTableStyleInfo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lectric_Vehicle_Population_Data_Carlos.xlsx!Datos_conjuntos">
        <x15:activeTabTopLevelEntity name="[Datos_conjun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477DD-57E8-477D-B3C1-169CEBDBB3C8}" name="RegistrosTotales" cacheId="1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4:D5" firstHeaderRow="1" firstDataRow="1" firstDataCol="0"/>
  <pivotFields count="17">
    <pivotField showAll="0"/>
    <pivotField showAll="0">
      <items count="33">
        <item x="26"/>
        <item x="23"/>
        <item x="10"/>
        <item x="20"/>
        <item x="4"/>
        <item x="29"/>
        <item x="27"/>
        <item x="30"/>
        <item x="13"/>
        <item x="24"/>
        <item x="5"/>
        <item x="19"/>
        <item x="1"/>
        <item x="0"/>
        <item x="25"/>
        <item x="21"/>
        <item x="8"/>
        <item x="16"/>
        <item x="18"/>
        <item x="31"/>
        <item x="9"/>
        <item x="6"/>
        <item x="17"/>
        <item x="11"/>
        <item x="2"/>
        <item x="15"/>
        <item x="12"/>
        <item x="7"/>
        <item x="14"/>
        <item x="22"/>
        <item x="28"/>
        <item x="3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dataField="1" numFmtId="1" showAll="0"/>
    <pivotField showAll="0"/>
    <pivotField showAll="0"/>
    <pivotField showAll="0"/>
  </pivotFields>
  <rowItems count="1">
    <i/>
  </rowItems>
  <colItems count="1">
    <i/>
  </colItems>
  <dataFields count="1">
    <dataField name="Cuenta de DOL Vehicle ID" fld="1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lectric_Vehicle_Type" xr10:uid="{BAEEEB59-C2C3-4EB8-BAC7-550722CC5D63}" sourceName="Electric Vehicle Type">
  <pivotTables>
    <pivotTable tabId="4" name="EvolucionRegistros"/>
    <pivotTable tabId="4" name="RegistrosPorComarca"/>
    <pivotTable tabId="4" name="RegistrosPOrMarca"/>
    <pivotTable tabId="4" name="RegistrosTotales"/>
  </pivotTables>
  <data>
    <tabular pivotCacheId="941791298">
      <items count="2"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y" xr10:uid="{4B84114D-0FC0-4FDF-97F5-699FFFC333FD}" sourceName="County">
  <pivotTables>
    <pivotTable tabId="4" name="RegistrosPorComarca"/>
    <pivotTable tabId="4" name="EvolucionRegistros"/>
    <pivotTable tabId="4" name="RegistrosPOrMarca"/>
    <pivotTable tabId="4" name="RegistrosTotales"/>
  </pivotTables>
  <data>
    <tabular pivotCacheId="941791298">
      <items count="32">
        <i x="23" s="1"/>
        <i x="10" s="1"/>
        <i x="20" s="1"/>
        <i x="4" s="1"/>
        <i x="29" s="1"/>
        <i x="27" s="1"/>
        <i x="30" s="1"/>
        <i x="13" s="1"/>
        <i x="24" s="1"/>
        <i x="5" s="1"/>
        <i x="19" s="1"/>
        <i x="1" s="1"/>
        <i x="0" s="1"/>
        <i x="25" s="1"/>
        <i x="21" s="1"/>
        <i x="8" s="1"/>
        <i x="16" s="1"/>
        <i x="18" s="1"/>
        <i x="31" s="1"/>
        <i x="9" s="1"/>
        <i x="6" s="1"/>
        <i x="17" s="1"/>
        <i x="11" s="1"/>
        <i x="2" s="1"/>
        <i x="15" s="1"/>
        <i x="12" s="1"/>
        <i x="7" s="1"/>
        <i x="14" s="1"/>
        <i x="22" s="1"/>
        <i x="28" s="1"/>
        <i x="3" s="1"/>
        <i x="2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lectric Vehicle Type" xr10:uid="{33B7D2ED-2E2F-40AD-BA52-B76856E74202}" cache="SegmentaciónDeDatos_Electric_Vehicle_Type" caption="Electric Vehicle Type" rowHeight="225425"/>
  <slicer name="County" xr10:uid="{F67DE2BA-1113-41B6-839B-48148D8433E0}" cache="SegmentaciónDeDatos_County" caption="County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lectric Vehicle Type 1" xr10:uid="{E76DB117-099D-40C9-9C1F-EA2C16CBBBEC}" cache="SegmentaciónDeDatos_Electric_Vehicle_Type" caption="Electric Vehicle Type" rowHeight="225425"/>
  <slicer name="County 1" xr10:uid="{A7DAB5FB-A813-41FF-8C0A-3704C893C471}" cache="SegmentaciónDeDatos_County" caption="County" startItem="3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_conjuntos" displayName="Datos_conjuntos" ref="A1:Q1496">
  <autoFilter ref="A1:Q1496" xr:uid="{00000000-0009-0000-0100-000001000000}">
    <filterColumn colId="8">
      <filters>
        <filter val="Plug-in Hybrid Electric Vehicle (PHEV)"/>
      </filters>
    </filterColumn>
  </autoFilter>
  <tableColumns count="17">
    <tableColumn id="1" xr3:uid="{00000000-0010-0000-0000-000001000000}" name="VIN (1-10)"/>
    <tableColumn id="2" xr3:uid="{00000000-0010-0000-0000-000002000000}" name="County"/>
    <tableColumn id="3" xr3:uid="{00000000-0010-0000-0000-000003000000}" name="City"/>
    <tableColumn id="4" xr3:uid="{00000000-0010-0000-0000-000004000000}" name="State"/>
    <tableColumn id="5" xr3:uid="{00000000-0010-0000-0000-000005000000}" name="Postal Code"/>
    <tableColumn id="6" xr3:uid="{00000000-0010-0000-0000-000006000000}" name="Model Year"/>
    <tableColumn id="7" xr3:uid="{00000000-0010-0000-0000-000007000000}" name="Make"/>
    <tableColumn id="8" xr3:uid="{00000000-0010-0000-0000-000008000000}" name="Model"/>
    <tableColumn id="9" xr3:uid="{00000000-0010-0000-0000-000009000000}" name="Electric Vehicle Type"/>
    <tableColumn id="10" xr3:uid="{00000000-0010-0000-0000-00000A000000}" name="Clean Alternative Fuel Vehicle (CAFV) Eligibility"/>
    <tableColumn id="11" xr3:uid="{00000000-0010-0000-0000-00000B000000}" name="Electric Range"/>
    <tableColumn id="12" xr3:uid="{00000000-0010-0000-0000-00000C000000}" name="Base MSRP"/>
    <tableColumn id="13" xr3:uid="{00000000-0010-0000-0000-00000D000000}" name="Legislative District"/>
    <tableColumn id="14" xr3:uid="{00000000-0010-0000-0000-00000E000000}" name="DOL Vehicle ID"/>
    <tableColumn id="15" xr3:uid="{00000000-0010-0000-0000-00000F000000}" name="Vehicle Location"/>
    <tableColumn id="16" xr3:uid="{00000000-0010-0000-0000-000010000000}" name="Electric Utility"/>
    <tableColumn id="17" xr3:uid="{00000000-0010-0000-0000-000011000000}" name="2020 Census Tract"/>
  </tableColumns>
  <tableStyleInfo name="Electric_Vehic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496"/>
  <sheetViews>
    <sheetView topLeftCell="J1" workbookViewId="0">
      <pane ySplit="2" topLeftCell="A1466" activePane="bottomLeft" state="frozen"/>
      <selection pane="bottomLeft" activeCell="A2" sqref="A2"/>
    </sheetView>
  </sheetViews>
  <sheetFormatPr baseColWidth="10" defaultColWidth="12.5703125" defaultRowHeight="15.75" customHeight="1" x14ac:dyDescent="0.2"/>
  <cols>
    <col min="1" max="1" width="17.140625" customWidth="1"/>
    <col min="3" max="3" width="15.140625" customWidth="1"/>
    <col min="5" max="5" width="17.7109375" customWidth="1"/>
    <col min="6" max="6" width="13.85546875" customWidth="1"/>
    <col min="9" max="9" width="30.140625" customWidth="1"/>
    <col min="10" max="10" width="37.5703125" customWidth="1"/>
    <col min="11" max="11" width="16.140625" customWidth="1"/>
    <col min="12" max="12" width="14.140625" customWidth="1"/>
    <col min="13" max="13" width="19.140625" customWidth="1"/>
    <col min="14" max="14" width="16.42578125" customWidth="1"/>
    <col min="15" max="15" width="24.42578125" customWidth="1"/>
    <col min="16" max="16" width="62.28515625" customWidth="1"/>
    <col min="17" max="17" width="19.42578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2" t="s">
        <v>18</v>
      </c>
      <c r="C2" s="2" t="s">
        <v>19</v>
      </c>
      <c r="D2" s="2" t="s">
        <v>20</v>
      </c>
      <c r="E2" s="3">
        <v>98370</v>
      </c>
      <c r="F2" s="4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4" t="s">
        <v>26</v>
      </c>
      <c r="L2" s="4" t="s">
        <v>27</v>
      </c>
      <c r="M2" s="4" t="s">
        <v>28</v>
      </c>
      <c r="N2" s="5">
        <v>228896741</v>
      </c>
      <c r="O2" s="2" t="s">
        <v>29</v>
      </c>
      <c r="P2" s="2" t="s">
        <v>30</v>
      </c>
      <c r="Q2" s="4" t="s">
        <v>31</v>
      </c>
    </row>
    <row r="3" spans="1:17" x14ac:dyDescent="0.2">
      <c r="A3" s="2" t="s">
        <v>32</v>
      </c>
      <c r="B3" s="2" t="s">
        <v>33</v>
      </c>
      <c r="C3" s="2" t="s">
        <v>34</v>
      </c>
      <c r="D3" s="2" t="s">
        <v>20</v>
      </c>
      <c r="E3" s="3">
        <v>98027</v>
      </c>
      <c r="F3" s="4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4" t="s">
        <v>26</v>
      </c>
      <c r="L3" s="4" t="s">
        <v>27</v>
      </c>
      <c r="M3" s="4" t="s">
        <v>35</v>
      </c>
      <c r="N3" s="5">
        <v>227324478</v>
      </c>
      <c r="O3" s="2" t="s">
        <v>36</v>
      </c>
      <c r="P3" s="2" t="s">
        <v>37</v>
      </c>
      <c r="Q3" s="4" t="s">
        <v>38</v>
      </c>
    </row>
    <row r="4" spans="1:17" x14ac:dyDescent="0.2">
      <c r="A4" s="2" t="s">
        <v>39</v>
      </c>
      <c r="B4" s="2" t="s">
        <v>40</v>
      </c>
      <c r="C4" s="2" t="s">
        <v>41</v>
      </c>
      <c r="D4" s="2" t="s">
        <v>20</v>
      </c>
      <c r="E4" s="3">
        <v>98223</v>
      </c>
      <c r="F4" s="4" t="s">
        <v>42</v>
      </c>
      <c r="G4" s="2" t="s">
        <v>22</v>
      </c>
      <c r="H4" s="2" t="s">
        <v>23</v>
      </c>
      <c r="I4" s="2" t="s">
        <v>24</v>
      </c>
      <c r="J4" s="2" t="s">
        <v>25</v>
      </c>
      <c r="K4" s="4" t="s">
        <v>43</v>
      </c>
      <c r="L4" s="4" t="s">
        <v>27</v>
      </c>
      <c r="M4" s="4" t="s">
        <v>44</v>
      </c>
      <c r="N4" s="5">
        <v>207435581</v>
      </c>
      <c r="O4" s="2" t="s">
        <v>45</v>
      </c>
      <c r="P4" s="2" t="s">
        <v>30</v>
      </c>
      <c r="Q4" s="4" t="s">
        <v>46</v>
      </c>
    </row>
    <row r="5" spans="1:17" x14ac:dyDescent="0.2">
      <c r="A5" s="2" t="s">
        <v>47</v>
      </c>
      <c r="B5" s="2" t="s">
        <v>48</v>
      </c>
      <c r="C5" s="2" t="s">
        <v>49</v>
      </c>
      <c r="D5" s="2" t="s">
        <v>20</v>
      </c>
      <c r="E5" s="3">
        <v>98953</v>
      </c>
      <c r="F5" s="4" t="s">
        <v>42</v>
      </c>
      <c r="G5" s="2" t="s">
        <v>22</v>
      </c>
      <c r="H5" s="2" t="s">
        <v>23</v>
      </c>
      <c r="I5" s="2" t="s">
        <v>24</v>
      </c>
      <c r="J5" s="2" t="s">
        <v>25</v>
      </c>
      <c r="K5" s="4" t="s">
        <v>43</v>
      </c>
      <c r="L5" s="4" t="s">
        <v>27</v>
      </c>
      <c r="M5" s="4" t="s">
        <v>50</v>
      </c>
      <c r="N5" s="5">
        <v>213616364</v>
      </c>
      <c r="O5" s="2" t="s">
        <v>51</v>
      </c>
      <c r="P5" s="2" t="s">
        <v>52</v>
      </c>
      <c r="Q5" s="4" t="s">
        <v>53</v>
      </c>
    </row>
    <row r="6" spans="1:17" x14ac:dyDescent="0.2">
      <c r="A6" s="2" t="s">
        <v>54</v>
      </c>
      <c r="B6" s="2" t="s">
        <v>55</v>
      </c>
      <c r="C6" s="2" t="s">
        <v>56</v>
      </c>
      <c r="D6" s="2" t="s">
        <v>20</v>
      </c>
      <c r="E6" s="3">
        <v>98607</v>
      </c>
      <c r="F6" s="4" t="s">
        <v>57</v>
      </c>
      <c r="G6" s="2" t="s">
        <v>22</v>
      </c>
      <c r="H6" s="2" t="s">
        <v>23</v>
      </c>
      <c r="I6" s="2" t="s">
        <v>24</v>
      </c>
      <c r="J6" s="2" t="s">
        <v>25</v>
      </c>
      <c r="K6" s="4" t="s">
        <v>26</v>
      </c>
      <c r="L6" s="4" t="s">
        <v>27</v>
      </c>
      <c r="M6" s="4" t="s">
        <v>58</v>
      </c>
      <c r="N6" s="5">
        <v>211139862</v>
      </c>
      <c r="O6" s="2" t="s">
        <v>59</v>
      </c>
      <c r="P6" s="2" t="s">
        <v>60</v>
      </c>
      <c r="Q6" s="4" t="s">
        <v>61</v>
      </c>
    </row>
    <row r="7" spans="1:17" x14ac:dyDescent="0.2">
      <c r="A7" s="2" t="s">
        <v>62</v>
      </c>
      <c r="B7" s="2" t="s">
        <v>55</v>
      </c>
      <c r="C7" s="2" t="s">
        <v>63</v>
      </c>
      <c r="D7" s="2" t="s">
        <v>20</v>
      </c>
      <c r="E7" s="3">
        <v>98682</v>
      </c>
      <c r="F7" s="4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4" t="s">
        <v>26</v>
      </c>
      <c r="L7" s="4" t="s">
        <v>27</v>
      </c>
      <c r="M7" s="4" t="s">
        <v>64</v>
      </c>
      <c r="N7" s="5">
        <v>277862868</v>
      </c>
      <c r="O7" s="2" t="s">
        <v>65</v>
      </c>
      <c r="P7" s="2" t="s">
        <v>60</v>
      </c>
      <c r="Q7" s="4" t="s">
        <v>66</v>
      </c>
    </row>
    <row r="8" spans="1:17" x14ac:dyDescent="0.2">
      <c r="A8" s="2" t="s">
        <v>67</v>
      </c>
      <c r="B8" s="2" t="s">
        <v>33</v>
      </c>
      <c r="C8" s="2" t="s">
        <v>68</v>
      </c>
      <c r="D8" s="2" t="s">
        <v>20</v>
      </c>
      <c r="E8" s="3">
        <v>98002</v>
      </c>
      <c r="F8" s="4" t="s">
        <v>42</v>
      </c>
      <c r="G8" s="2" t="s">
        <v>22</v>
      </c>
      <c r="H8" s="2" t="s">
        <v>23</v>
      </c>
      <c r="I8" s="2" t="s">
        <v>24</v>
      </c>
      <c r="J8" s="2" t="s">
        <v>25</v>
      </c>
      <c r="K8" s="4" t="s">
        <v>43</v>
      </c>
      <c r="L8" s="4" t="s">
        <v>27</v>
      </c>
      <c r="M8" s="4" t="s">
        <v>69</v>
      </c>
      <c r="N8" s="5">
        <v>277131536</v>
      </c>
      <c r="O8" s="2" t="s">
        <v>70</v>
      </c>
      <c r="P8" s="2" t="s">
        <v>37</v>
      </c>
      <c r="Q8" s="4" t="s">
        <v>71</v>
      </c>
    </row>
    <row r="9" spans="1:17" x14ac:dyDescent="0.2">
      <c r="A9" s="2" t="s">
        <v>72</v>
      </c>
      <c r="B9" s="2" t="s">
        <v>40</v>
      </c>
      <c r="C9" s="2" t="s">
        <v>73</v>
      </c>
      <c r="D9" s="2" t="s">
        <v>20</v>
      </c>
      <c r="E9" s="3">
        <v>98036</v>
      </c>
      <c r="F9" s="4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4" t="s">
        <v>26</v>
      </c>
      <c r="L9" s="4" t="s">
        <v>27</v>
      </c>
      <c r="M9" s="4" t="s">
        <v>74</v>
      </c>
      <c r="N9" s="5">
        <v>223474261</v>
      </c>
      <c r="O9" s="2" t="s">
        <v>75</v>
      </c>
      <c r="P9" s="2" t="s">
        <v>30</v>
      </c>
      <c r="Q9" s="4" t="s">
        <v>76</v>
      </c>
    </row>
    <row r="10" spans="1:17" x14ac:dyDescent="0.2">
      <c r="A10" s="2" t="s">
        <v>77</v>
      </c>
      <c r="B10" s="2" t="s">
        <v>55</v>
      </c>
      <c r="C10" s="2" t="s">
        <v>78</v>
      </c>
      <c r="D10" s="2" t="s">
        <v>20</v>
      </c>
      <c r="E10" s="3">
        <v>98629</v>
      </c>
      <c r="F10" s="4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4" t="s">
        <v>26</v>
      </c>
      <c r="L10" s="4" t="s">
        <v>27</v>
      </c>
      <c r="M10" s="4" t="s">
        <v>79</v>
      </c>
      <c r="N10" s="5">
        <v>236286123</v>
      </c>
      <c r="O10" s="2" t="s">
        <v>80</v>
      </c>
      <c r="P10" s="2" t="s">
        <v>60</v>
      </c>
      <c r="Q10" s="4" t="s">
        <v>81</v>
      </c>
    </row>
    <row r="11" spans="1:17" x14ac:dyDescent="0.2">
      <c r="A11" s="2" t="s">
        <v>82</v>
      </c>
      <c r="B11" s="2" t="s">
        <v>33</v>
      </c>
      <c r="C11" s="2" t="s">
        <v>83</v>
      </c>
      <c r="D11" s="2" t="s">
        <v>20</v>
      </c>
      <c r="E11" s="3">
        <v>98177</v>
      </c>
      <c r="F11" s="4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4" t="s">
        <v>26</v>
      </c>
      <c r="L11" s="4" t="s">
        <v>27</v>
      </c>
      <c r="M11" s="4" t="s">
        <v>84</v>
      </c>
      <c r="N11" s="5">
        <v>279267138</v>
      </c>
      <c r="O11" s="2" t="s">
        <v>85</v>
      </c>
      <c r="P11" s="2" t="s">
        <v>86</v>
      </c>
      <c r="Q11" s="4" t="s">
        <v>87</v>
      </c>
    </row>
    <row r="12" spans="1:17" x14ac:dyDescent="0.2">
      <c r="A12" s="2" t="s">
        <v>88</v>
      </c>
      <c r="B12" s="2" t="s">
        <v>40</v>
      </c>
      <c r="C12" s="2" t="s">
        <v>89</v>
      </c>
      <c r="D12" s="2" t="s">
        <v>20</v>
      </c>
      <c r="E12" s="3">
        <v>98012</v>
      </c>
      <c r="F12" s="4" t="s">
        <v>57</v>
      </c>
      <c r="G12" s="2" t="s">
        <v>22</v>
      </c>
      <c r="H12" s="2" t="s">
        <v>23</v>
      </c>
      <c r="I12" s="2" t="s">
        <v>24</v>
      </c>
      <c r="J12" s="2" t="s">
        <v>25</v>
      </c>
      <c r="K12" s="4" t="s">
        <v>90</v>
      </c>
      <c r="L12" s="4" t="s">
        <v>27</v>
      </c>
      <c r="M12" s="4" t="s">
        <v>26</v>
      </c>
      <c r="N12" s="5">
        <v>280653922</v>
      </c>
      <c r="O12" s="2" t="s">
        <v>91</v>
      </c>
      <c r="P12" s="2" t="s">
        <v>30</v>
      </c>
      <c r="Q12" s="4" t="s">
        <v>92</v>
      </c>
    </row>
    <row r="13" spans="1:17" x14ac:dyDescent="0.2">
      <c r="A13" s="2" t="s">
        <v>93</v>
      </c>
      <c r="B13" s="2" t="s">
        <v>94</v>
      </c>
      <c r="C13" s="2" t="s">
        <v>95</v>
      </c>
      <c r="D13" s="2" t="s">
        <v>20</v>
      </c>
      <c r="E13" s="3">
        <v>98260</v>
      </c>
      <c r="F13" s="4" t="s">
        <v>42</v>
      </c>
      <c r="G13" s="2" t="s">
        <v>22</v>
      </c>
      <c r="H13" s="2" t="s">
        <v>23</v>
      </c>
      <c r="I13" s="2" t="s">
        <v>24</v>
      </c>
      <c r="J13" s="2" t="s">
        <v>25</v>
      </c>
      <c r="K13" s="4" t="s">
        <v>26</v>
      </c>
      <c r="L13" s="4" t="s">
        <v>27</v>
      </c>
      <c r="M13" s="4" t="s">
        <v>96</v>
      </c>
      <c r="N13" s="5">
        <v>231209506</v>
      </c>
      <c r="O13" s="2" t="s">
        <v>97</v>
      </c>
      <c r="P13" s="2" t="s">
        <v>30</v>
      </c>
      <c r="Q13" s="4" t="s">
        <v>98</v>
      </c>
    </row>
    <row r="14" spans="1:17" x14ac:dyDescent="0.2">
      <c r="A14" s="2" t="s">
        <v>99</v>
      </c>
      <c r="B14" s="2" t="s">
        <v>18</v>
      </c>
      <c r="C14" s="2" t="s">
        <v>100</v>
      </c>
      <c r="D14" s="2" t="s">
        <v>20</v>
      </c>
      <c r="E14" s="3">
        <v>98366</v>
      </c>
      <c r="F14" s="4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4" t="s">
        <v>26</v>
      </c>
      <c r="L14" s="4" t="s">
        <v>27</v>
      </c>
      <c r="M14" s="4" t="s">
        <v>101</v>
      </c>
      <c r="N14" s="5">
        <v>224488743</v>
      </c>
      <c r="O14" s="2" t="s">
        <v>102</v>
      </c>
      <c r="P14" s="2" t="s">
        <v>30</v>
      </c>
      <c r="Q14" s="4" t="s">
        <v>103</v>
      </c>
    </row>
    <row r="15" spans="1:17" x14ac:dyDescent="0.2">
      <c r="A15" s="2" t="s">
        <v>104</v>
      </c>
      <c r="B15" s="2" t="s">
        <v>94</v>
      </c>
      <c r="C15" s="2" t="s">
        <v>105</v>
      </c>
      <c r="D15" s="2" t="s">
        <v>20</v>
      </c>
      <c r="E15" s="3">
        <v>98282</v>
      </c>
      <c r="F15" s="4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4" t="s">
        <v>26</v>
      </c>
      <c r="L15" s="4" t="s">
        <v>27</v>
      </c>
      <c r="M15" s="4" t="s">
        <v>96</v>
      </c>
      <c r="N15" s="5">
        <v>258841376</v>
      </c>
      <c r="O15" s="2" t="s">
        <v>106</v>
      </c>
      <c r="P15" s="2" t="s">
        <v>107</v>
      </c>
      <c r="Q15" s="4" t="s">
        <v>108</v>
      </c>
    </row>
    <row r="16" spans="1:17" x14ac:dyDescent="0.2">
      <c r="A16" s="2" t="s">
        <v>109</v>
      </c>
      <c r="B16" s="2" t="s">
        <v>110</v>
      </c>
      <c r="C16" s="2" t="s">
        <v>111</v>
      </c>
      <c r="D16" s="2" t="s">
        <v>20</v>
      </c>
      <c r="E16" s="3">
        <v>98391</v>
      </c>
      <c r="F16" s="4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4" t="s">
        <v>26</v>
      </c>
      <c r="L16" s="4" t="s">
        <v>27</v>
      </c>
      <c r="M16" s="4" t="s">
        <v>112</v>
      </c>
      <c r="N16" s="5">
        <v>221355004</v>
      </c>
      <c r="O16" s="2" t="s">
        <v>113</v>
      </c>
      <c r="P16" s="2" t="s">
        <v>37</v>
      </c>
      <c r="Q16" s="4" t="s">
        <v>114</v>
      </c>
    </row>
    <row r="17" spans="1:17" x14ac:dyDescent="0.2">
      <c r="A17" s="2" t="s">
        <v>115</v>
      </c>
      <c r="B17" s="2" t="s">
        <v>40</v>
      </c>
      <c r="C17" s="2" t="s">
        <v>40</v>
      </c>
      <c r="D17" s="2" t="s">
        <v>20</v>
      </c>
      <c r="E17" s="3">
        <v>98290</v>
      </c>
      <c r="F17" s="4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4" t="s">
        <v>26</v>
      </c>
      <c r="L17" s="4" t="s">
        <v>27</v>
      </c>
      <c r="M17" s="4" t="s">
        <v>116</v>
      </c>
      <c r="N17" s="5">
        <v>252346566</v>
      </c>
      <c r="O17" s="2" t="s">
        <v>117</v>
      </c>
      <c r="P17" s="2" t="s">
        <v>30</v>
      </c>
      <c r="Q17" s="4" t="s">
        <v>118</v>
      </c>
    </row>
    <row r="18" spans="1:17" x14ac:dyDescent="0.2">
      <c r="A18" s="2" t="s">
        <v>119</v>
      </c>
      <c r="B18" s="2" t="s">
        <v>40</v>
      </c>
      <c r="C18" s="2" t="s">
        <v>120</v>
      </c>
      <c r="D18" s="2" t="s">
        <v>20</v>
      </c>
      <c r="E18" s="3">
        <v>98292</v>
      </c>
      <c r="F18" s="4" t="s">
        <v>121</v>
      </c>
      <c r="G18" s="2" t="s">
        <v>22</v>
      </c>
      <c r="H18" s="2" t="s">
        <v>23</v>
      </c>
      <c r="I18" s="2" t="s">
        <v>24</v>
      </c>
      <c r="J18" s="2" t="s">
        <v>25</v>
      </c>
      <c r="K18" s="4" t="s">
        <v>26</v>
      </c>
      <c r="L18" s="4" t="s">
        <v>27</v>
      </c>
      <c r="M18" s="4" t="s">
        <v>96</v>
      </c>
      <c r="N18" s="5">
        <v>272212475</v>
      </c>
      <c r="O18" s="2" t="s">
        <v>122</v>
      </c>
      <c r="P18" s="2" t="s">
        <v>107</v>
      </c>
      <c r="Q18" s="4" t="s">
        <v>123</v>
      </c>
    </row>
    <row r="19" spans="1:17" x14ac:dyDescent="0.2">
      <c r="A19" s="2" t="s">
        <v>124</v>
      </c>
      <c r="B19" s="2" t="s">
        <v>94</v>
      </c>
      <c r="C19" s="2" t="s">
        <v>125</v>
      </c>
      <c r="D19" s="2" t="s">
        <v>20</v>
      </c>
      <c r="E19" s="3">
        <v>98277</v>
      </c>
      <c r="F19" s="4" t="s">
        <v>121</v>
      </c>
      <c r="G19" s="2" t="s">
        <v>22</v>
      </c>
      <c r="H19" s="2" t="s">
        <v>23</v>
      </c>
      <c r="I19" s="2" t="s">
        <v>24</v>
      </c>
      <c r="J19" s="2" t="s">
        <v>25</v>
      </c>
      <c r="K19" s="4" t="s">
        <v>26</v>
      </c>
      <c r="L19" s="4" t="s">
        <v>27</v>
      </c>
      <c r="M19" s="4" t="s">
        <v>96</v>
      </c>
      <c r="N19" s="5">
        <v>274699652</v>
      </c>
      <c r="O19" s="2" t="s">
        <v>126</v>
      </c>
      <c r="P19" s="2" t="s">
        <v>30</v>
      </c>
      <c r="Q19" s="4" t="s">
        <v>127</v>
      </c>
    </row>
    <row r="20" spans="1:17" x14ac:dyDescent="0.2">
      <c r="A20" s="2" t="s">
        <v>128</v>
      </c>
      <c r="B20" s="2" t="s">
        <v>40</v>
      </c>
      <c r="C20" s="2" t="s">
        <v>129</v>
      </c>
      <c r="D20" s="2" t="s">
        <v>20</v>
      </c>
      <c r="E20" s="3">
        <v>98258</v>
      </c>
      <c r="F20" s="4" t="s">
        <v>130</v>
      </c>
      <c r="G20" s="2" t="s">
        <v>22</v>
      </c>
      <c r="H20" s="2" t="s">
        <v>23</v>
      </c>
      <c r="I20" s="2" t="s">
        <v>24</v>
      </c>
      <c r="J20" s="2" t="s">
        <v>25</v>
      </c>
      <c r="K20" s="4" t="s">
        <v>26</v>
      </c>
      <c r="L20" s="4" t="s">
        <v>27</v>
      </c>
      <c r="M20" s="4" t="s">
        <v>116</v>
      </c>
      <c r="N20" s="5">
        <v>285984863</v>
      </c>
      <c r="O20" s="2" t="s">
        <v>131</v>
      </c>
      <c r="P20" s="2" t="s">
        <v>30</v>
      </c>
      <c r="Q20" s="4" t="s">
        <v>132</v>
      </c>
    </row>
    <row r="21" spans="1:17" x14ac:dyDescent="0.2">
      <c r="A21" s="2" t="s">
        <v>133</v>
      </c>
      <c r="B21" s="2" t="s">
        <v>33</v>
      </c>
      <c r="C21" s="2" t="s">
        <v>134</v>
      </c>
      <c r="D21" s="2" t="s">
        <v>20</v>
      </c>
      <c r="E21" s="3">
        <v>98022</v>
      </c>
      <c r="F21" s="4" t="s">
        <v>121</v>
      </c>
      <c r="G21" s="2" t="s">
        <v>22</v>
      </c>
      <c r="H21" s="2" t="s">
        <v>23</v>
      </c>
      <c r="I21" s="2" t="s">
        <v>24</v>
      </c>
      <c r="J21" s="2" t="s">
        <v>25</v>
      </c>
      <c r="K21" s="4" t="s">
        <v>26</v>
      </c>
      <c r="L21" s="4" t="s">
        <v>27</v>
      </c>
      <c r="M21" s="4" t="s">
        <v>112</v>
      </c>
      <c r="N21" s="5">
        <v>276389886</v>
      </c>
      <c r="O21" s="2" t="s">
        <v>135</v>
      </c>
      <c r="P21" s="2" t="s">
        <v>37</v>
      </c>
      <c r="Q21" s="4" t="s">
        <v>136</v>
      </c>
    </row>
    <row r="22" spans="1:17" x14ac:dyDescent="0.2">
      <c r="A22" s="2" t="s">
        <v>133</v>
      </c>
      <c r="B22" s="2" t="s">
        <v>18</v>
      </c>
      <c r="C22" s="2" t="s">
        <v>100</v>
      </c>
      <c r="D22" s="2" t="s">
        <v>20</v>
      </c>
      <c r="E22" s="3">
        <v>98366</v>
      </c>
      <c r="F22" s="4" t="s">
        <v>121</v>
      </c>
      <c r="G22" s="2" t="s">
        <v>22</v>
      </c>
      <c r="H22" s="2" t="s">
        <v>23</v>
      </c>
      <c r="I22" s="2" t="s">
        <v>24</v>
      </c>
      <c r="J22" s="2" t="s">
        <v>25</v>
      </c>
      <c r="K22" s="4" t="s">
        <v>26</v>
      </c>
      <c r="L22" s="4" t="s">
        <v>27</v>
      </c>
      <c r="M22" s="4" t="s">
        <v>101</v>
      </c>
      <c r="N22" s="5">
        <v>272699633</v>
      </c>
      <c r="O22" s="2" t="s">
        <v>102</v>
      </c>
      <c r="P22" s="2" t="s">
        <v>30</v>
      </c>
      <c r="Q22" s="4" t="s">
        <v>137</v>
      </c>
    </row>
    <row r="23" spans="1:17" x14ac:dyDescent="0.2">
      <c r="A23" s="2" t="s">
        <v>138</v>
      </c>
      <c r="B23" s="2" t="s">
        <v>33</v>
      </c>
      <c r="C23" s="2" t="s">
        <v>139</v>
      </c>
      <c r="D23" s="2" t="s">
        <v>20</v>
      </c>
      <c r="E23" s="3">
        <v>98058</v>
      </c>
      <c r="F23" s="4" t="s">
        <v>121</v>
      </c>
      <c r="G23" s="2" t="s">
        <v>22</v>
      </c>
      <c r="H23" s="2" t="s">
        <v>23</v>
      </c>
      <c r="I23" s="2" t="s">
        <v>24</v>
      </c>
      <c r="J23" s="2" t="s">
        <v>25</v>
      </c>
      <c r="K23" s="4" t="s">
        <v>26</v>
      </c>
      <c r="L23" s="4" t="s">
        <v>27</v>
      </c>
      <c r="M23" s="4" t="s">
        <v>140</v>
      </c>
      <c r="N23" s="5">
        <v>257802366</v>
      </c>
      <c r="O23" s="2" t="s">
        <v>141</v>
      </c>
      <c r="P23" s="2" t="s">
        <v>37</v>
      </c>
      <c r="Q23" s="4" t="s">
        <v>142</v>
      </c>
    </row>
    <row r="24" spans="1:17" x14ac:dyDescent="0.2">
      <c r="A24" s="2" t="s">
        <v>143</v>
      </c>
      <c r="B24" s="2" t="s">
        <v>94</v>
      </c>
      <c r="C24" s="2" t="s">
        <v>125</v>
      </c>
      <c r="D24" s="2" t="s">
        <v>20</v>
      </c>
      <c r="E24" s="3">
        <v>98278</v>
      </c>
      <c r="F24" s="4" t="s">
        <v>121</v>
      </c>
      <c r="G24" s="2" t="s">
        <v>22</v>
      </c>
      <c r="H24" s="2" t="s">
        <v>23</v>
      </c>
      <c r="I24" s="2" t="s">
        <v>24</v>
      </c>
      <c r="J24" s="2" t="s">
        <v>25</v>
      </c>
      <c r="K24" s="4" t="s">
        <v>26</v>
      </c>
      <c r="L24" s="4" t="s">
        <v>27</v>
      </c>
      <c r="M24" s="4" t="s">
        <v>96</v>
      </c>
      <c r="N24" s="5">
        <v>273292540</v>
      </c>
      <c r="O24" s="2" t="s">
        <v>144</v>
      </c>
      <c r="P24" s="2" t="s">
        <v>30</v>
      </c>
      <c r="Q24" s="4" t="s">
        <v>145</v>
      </c>
    </row>
    <row r="25" spans="1:17" x14ac:dyDescent="0.2">
      <c r="A25" s="2" t="s">
        <v>143</v>
      </c>
      <c r="B25" s="2" t="s">
        <v>33</v>
      </c>
      <c r="C25" s="2" t="s">
        <v>146</v>
      </c>
      <c r="D25" s="2" t="s">
        <v>20</v>
      </c>
      <c r="E25" s="3">
        <v>98004</v>
      </c>
      <c r="F25" s="4" t="s">
        <v>121</v>
      </c>
      <c r="G25" s="2" t="s">
        <v>22</v>
      </c>
      <c r="H25" s="2" t="s">
        <v>23</v>
      </c>
      <c r="I25" s="2" t="s">
        <v>24</v>
      </c>
      <c r="J25" s="2" t="s">
        <v>25</v>
      </c>
      <c r="K25" s="4" t="s">
        <v>26</v>
      </c>
      <c r="L25" s="4" t="s">
        <v>27</v>
      </c>
      <c r="M25" s="4" t="s">
        <v>147</v>
      </c>
      <c r="N25" s="5">
        <v>257630243</v>
      </c>
      <c r="O25" s="2" t="s">
        <v>148</v>
      </c>
      <c r="P25" s="2" t="s">
        <v>37</v>
      </c>
      <c r="Q25" s="4" t="s">
        <v>149</v>
      </c>
    </row>
    <row r="26" spans="1:17" x14ac:dyDescent="0.2">
      <c r="A26" s="2" t="s">
        <v>150</v>
      </c>
      <c r="B26" s="2" t="s">
        <v>151</v>
      </c>
      <c r="C26" s="2" t="s">
        <v>152</v>
      </c>
      <c r="D26" s="2" t="s">
        <v>20</v>
      </c>
      <c r="E26" s="3">
        <v>98501</v>
      </c>
      <c r="F26" s="4" t="s">
        <v>121</v>
      </c>
      <c r="G26" s="2" t="s">
        <v>22</v>
      </c>
      <c r="H26" s="2" t="s">
        <v>23</v>
      </c>
      <c r="I26" s="2" t="s">
        <v>24</v>
      </c>
      <c r="J26" s="2" t="s">
        <v>25</v>
      </c>
      <c r="K26" s="4" t="s">
        <v>26</v>
      </c>
      <c r="L26" s="4" t="s">
        <v>27</v>
      </c>
      <c r="M26" s="4" t="s">
        <v>90</v>
      </c>
      <c r="N26" s="5">
        <v>263014804</v>
      </c>
      <c r="O26" s="2" t="s">
        <v>153</v>
      </c>
      <c r="P26" s="2" t="s">
        <v>30</v>
      </c>
      <c r="Q26" s="4" t="s">
        <v>154</v>
      </c>
    </row>
    <row r="27" spans="1:17" x14ac:dyDescent="0.2">
      <c r="A27" s="2" t="s">
        <v>155</v>
      </c>
      <c r="B27" s="2" t="s">
        <v>156</v>
      </c>
      <c r="C27" s="2" t="s">
        <v>157</v>
      </c>
      <c r="D27" s="2" t="s">
        <v>20</v>
      </c>
      <c r="E27" s="3">
        <v>98531</v>
      </c>
      <c r="F27" s="4" t="s">
        <v>121</v>
      </c>
      <c r="G27" s="2" t="s">
        <v>22</v>
      </c>
      <c r="H27" s="2" t="s">
        <v>23</v>
      </c>
      <c r="I27" s="2" t="s">
        <v>24</v>
      </c>
      <c r="J27" s="2" t="s">
        <v>25</v>
      </c>
      <c r="K27" s="4" t="s">
        <v>26</v>
      </c>
      <c r="L27" s="4" t="s">
        <v>27</v>
      </c>
      <c r="M27" s="4" t="s">
        <v>79</v>
      </c>
      <c r="N27" s="5">
        <v>265763200</v>
      </c>
      <c r="O27" s="2" t="s">
        <v>158</v>
      </c>
      <c r="P27" s="2" t="s">
        <v>159</v>
      </c>
      <c r="Q27" s="4" t="s">
        <v>160</v>
      </c>
    </row>
    <row r="28" spans="1:17" x14ac:dyDescent="0.2">
      <c r="A28" s="2" t="s">
        <v>161</v>
      </c>
      <c r="B28" s="2" t="s">
        <v>162</v>
      </c>
      <c r="C28" s="2" t="s">
        <v>163</v>
      </c>
      <c r="D28" s="2" t="s">
        <v>20</v>
      </c>
      <c r="E28" s="3">
        <v>99156</v>
      </c>
      <c r="F28" s="4" t="s">
        <v>121</v>
      </c>
      <c r="G28" s="2" t="s">
        <v>22</v>
      </c>
      <c r="H28" s="2" t="s">
        <v>23</v>
      </c>
      <c r="I28" s="2" t="s">
        <v>24</v>
      </c>
      <c r="J28" s="2" t="s">
        <v>25</v>
      </c>
      <c r="K28" s="4" t="s">
        <v>26</v>
      </c>
      <c r="L28" s="4" t="s">
        <v>27</v>
      </c>
      <c r="M28" s="4" t="s">
        <v>164</v>
      </c>
      <c r="N28" s="5">
        <v>280428592</v>
      </c>
      <c r="O28" s="2" t="s">
        <v>165</v>
      </c>
      <c r="P28" s="2" t="s">
        <v>166</v>
      </c>
      <c r="Q28" s="4" t="s">
        <v>167</v>
      </c>
    </row>
    <row r="29" spans="1:17" x14ac:dyDescent="0.2">
      <c r="A29" s="2" t="s">
        <v>168</v>
      </c>
      <c r="B29" s="2" t="s">
        <v>33</v>
      </c>
      <c r="C29" s="2" t="s">
        <v>169</v>
      </c>
      <c r="D29" s="2" t="s">
        <v>20</v>
      </c>
      <c r="E29" s="3">
        <v>98034</v>
      </c>
      <c r="F29" s="4" t="s">
        <v>121</v>
      </c>
      <c r="G29" s="2" t="s">
        <v>22</v>
      </c>
      <c r="H29" s="2" t="s">
        <v>23</v>
      </c>
      <c r="I29" s="2" t="s">
        <v>24</v>
      </c>
      <c r="J29" s="2" t="s">
        <v>25</v>
      </c>
      <c r="K29" s="4" t="s">
        <v>26</v>
      </c>
      <c r="L29" s="4" t="s">
        <v>27</v>
      </c>
      <c r="M29" s="4" t="s">
        <v>170</v>
      </c>
      <c r="N29" s="5">
        <v>275423669</v>
      </c>
      <c r="O29" s="2" t="s">
        <v>171</v>
      </c>
      <c r="P29" s="2" t="s">
        <v>37</v>
      </c>
      <c r="Q29" s="4" t="s">
        <v>172</v>
      </c>
    </row>
    <row r="30" spans="1:17" x14ac:dyDescent="0.2">
      <c r="A30" s="2" t="s">
        <v>173</v>
      </c>
      <c r="B30" s="2" t="s">
        <v>156</v>
      </c>
      <c r="C30" s="2" t="s">
        <v>157</v>
      </c>
      <c r="D30" s="2" t="s">
        <v>20</v>
      </c>
      <c r="E30" s="3">
        <v>98531</v>
      </c>
      <c r="F30" s="4" t="s">
        <v>121</v>
      </c>
      <c r="G30" s="2" t="s">
        <v>22</v>
      </c>
      <c r="H30" s="2" t="s">
        <v>23</v>
      </c>
      <c r="I30" s="2" t="s">
        <v>24</v>
      </c>
      <c r="J30" s="2" t="s">
        <v>25</v>
      </c>
      <c r="K30" s="4" t="s">
        <v>26</v>
      </c>
      <c r="L30" s="4" t="s">
        <v>27</v>
      </c>
      <c r="M30" s="4" t="s">
        <v>79</v>
      </c>
      <c r="N30" s="5">
        <v>261231883</v>
      </c>
      <c r="O30" s="2" t="s">
        <v>158</v>
      </c>
      <c r="P30" s="2" t="s">
        <v>159</v>
      </c>
      <c r="Q30" s="4" t="s">
        <v>160</v>
      </c>
    </row>
    <row r="31" spans="1:17" x14ac:dyDescent="0.2">
      <c r="A31" s="2" t="s">
        <v>174</v>
      </c>
      <c r="B31" s="2" t="s">
        <v>175</v>
      </c>
      <c r="C31" s="2" t="s">
        <v>176</v>
      </c>
      <c r="D31" s="2" t="s">
        <v>20</v>
      </c>
      <c r="E31" s="3">
        <v>98826</v>
      </c>
      <c r="F31" s="4" t="s">
        <v>121</v>
      </c>
      <c r="G31" s="2" t="s">
        <v>22</v>
      </c>
      <c r="H31" s="2" t="s">
        <v>23</v>
      </c>
      <c r="I31" s="2" t="s">
        <v>24</v>
      </c>
      <c r="J31" s="2" t="s">
        <v>25</v>
      </c>
      <c r="K31" s="4" t="s">
        <v>26</v>
      </c>
      <c r="L31" s="4" t="s">
        <v>27</v>
      </c>
      <c r="M31" s="4" t="s">
        <v>177</v>
      </c>
      <c r="N31" s="5">
        <v>265861018</v>
      </c>
      <c r="O31" s="2" t="s">
        <v>178</v>
      </c>
      <c r="P31" s="2" t="s">
        <v>179</v>
      </c>
      <c r="Q31" s="4" t="s">
        <v>180</v>
      </c>
    </row>
    <row r="32" spans="1:17" x14ac:dyDescent="0.2">
      <c r="A32" s="2" t="s">
        <v>181</v>
      </c>
      <c r="B32" s="2" t="s">
        <v>156</v>
      </c>
      <c r="C32" s="2" t="s">
        <v>157</v>
      </c>
      <c r="D32" s="2" t="s">
        <v>20</v>
      </c>
      <c r="E32" s="3">
        <v>98531</v>
      </c>
      <c r="F32" s="4" t="s">
        <v>121</v>
      </c>
      <c r="G32" s="2" t="s">
        <v>22</v>
      </c>
      <c r="H32" s="2" t="s">
        <v>182</v>
      </c>
      <c r="I32" s="2" t="s">
        <v>24</v>
      </c>
      <c r="J32" s="2" t="s">
        <v>25</v>
      </c>
      <c r="K32" s="4" t="s">
        <v>43</v>
      </c>
      <c r="L32" s="4" t="s">
        <v>27</v>
      </c>
      <c r="M32" s="4" t="s">
        <v>79</v>
      </c>
      <c r="N32" s="5">
        <v>260491304</v>
      </c>
      <c r="O32" s="2" t="s">
        <v>158</v>
      </c>
      <c r="P32" s="2" t="s">
        <v>159</v>
      </c>
      <c r="Q32" s="4" t="s">
        <v>160</v>
      </c>
    </row>
    <row r="33" spans="1:17" x14ac:dyDescent="0.2">
      <c r="A33" s="2" t="s">
        <v>183</v>
      </c>
      <c r="B33" s="2" t="s">
        <v>55</v>
      </c>
      <c r="C33" s="2" t="s">
        <v>56</v>
      </c>
      <c r="D33" s="2" t="s">
        <v>20</v>
      </c>
      <c r="E33" s="3">
        <v>98607</v>
      </c>
      <c r="F33" s="4" t="s">
        <v>21</v>
      </c>
      <c r="G33" s="2" t="s">
        <v>22</v>
      </c>
      <c r="H33" s="2" t="s">
        <v>182</v>
      </c>
      <c r="I33" s="2" t="s">
        <v>24</v>
      </c>
      <c r="J33" s="2" t="s">
        <v>25</v>
      </c>
      <c r="K33" s="4" t="s">
        <v>43</v>
      </c>
      <c r="L33" s="4" t="s">
        <v>27</v>
      </c>
      <c r="M33" s="4" t="s">
        <v>58</v>
      </c>
      <c r="N33" s="5">
        <v>264697121</v>
      </c>
      <c r="O33" s="2" t="s">
        <v>59</v>
      </c>
      <c r="P33" s="2" t="s">
        <v>60</v>
      </c>
      <c r="Q33" s="4" t="s">
        <v>184</v>
      </c>
    </row>
    <row r="34" spans="1:17" x14ac:dyDescent="0.2">
      <c r="A34" s="2" t="s">
        <v>185</v>
      </c>
      <c r="B34" s="2" t="s">
        <v>33</v>
      </c>
      <c r="C34" s="2" t="s">
        <v>186</v>
      </c>
      <c r="D34" s="2" t="s">
        <v>20</v>
      </c>
      <c r="E34" s="3">
        <v>98023</v>
      </c>
      <c r="F34" s="4" t="s">
        <v>121</v>
      </c>
      <c r="G34" s="2" t="s">
        <v>22</v>
      </c>
      <c r="H34" s="2" t="s">
        <v>182</v>
      </c>
      <c r="I34" s="2" t="s">
        <v>24</v>
      </c>
      <c r="J34" s="2" t="s">
        <v>25</v>
      </c>
      <c r="K34" s="4" t="s">
        <v>43</v>
      </c>
      <c r="L34" s="4" t="s">
        <v>27</v>
      </c>
      <c r="M34" s="4" t="s">
        <v>187</v>
      </c>
      <c r="N34" s="5">
        <v>274799206</v>
      </c>
      <c r="O34" s="2" t="s">
        <v>188</v>
      </c>
      <c r="P34" s="2" t="s">
        <v>37</v>
      </c>
      <c r="Q34" s="4" t="s">
        <v>189</v>
      </c>
    </row>
    <row r="35" spans="1:17" x14ac:dyDescent="0.2">
      <c r="A35" s="2" t="s">
        <v>190</v>
      </c>
      <c r="B35" s="2" t="s">
        <v>55</v>
      </c>
      <c r="C35" s="2" t="s">
        <v>63</v>
      </c>
      <c r="D35" s="2" t="s">
        <v>20</v>
      </c>
      <c r="E35" s="3">
        <v>98662</v>
      </c>
      <c r="F35" s="4" t="s">
        <v>121</v>
      </c>
      <c r="G35" s="2" t="s">
        <v>22</v>
      </c>
      <c r="H35" s="2" t="s">
        <v>182</v>
      </c>
      <c r="I35" s="2" t="s">
        <v>24</v>
      </c>
      <c r="J35" s="2" t="s">
        <v>25</v>
      </c>
      <c r="K35" s="4" t="s">
        <v>43</v>
      </c>
      <c r="L35" s="4" t="s">
        <v>27</v>
      </c>
      <c r="M35" s="4" t="s">
        <v>191</v>
      </c>
      <c r="N35" s="5">
        <v>284000748</v>
      </c>
      <c r="O35" s="2" t="s">
        <v>192</v>
      </c>
      <c r="P35" s="2" t="s">
        <v>60</v>
      </c>
      <c r="Q35" s="4" t="s">
        <v>193</v>
      </c>
    </row>
    <row r="36" spans="1:17" x14ac:dyDescent="0.2">
      <c r="A36" s="2" t="s">
        <v>194</v>
      </c>
      <c r="B36" s="2" t="s">
        <v>33</v>
      </c>
      <c r="C36" s="2" t="s">
        <v>146</v>
      </c>
      <c r="D36" s="2" t="s">
        <v>20</v>
      </c>
      <c r="E36" s="3">
        <v>98004</v>
      </c>
      <c r="F36" s="4" t="s">
        <v>21</v>
      </c>
      <c r="G36" s="2" t="s">
        <v>22</v>
      </c>
      <c r="H36" s="2" t="s">
        <v>182</v>
      </c>
      <c r="I36" s="2" t="s">
        <v>24</v>
      </c>
      <c r="J36" s="2" t="s">
        <v>25</v>
      </c>
      <c r="K36" s="4" t="s">
        <v>43</v>
      </c>
      <c r="L36" s="4" t="s">
        <v>27</v>
      </c>
      <c r="M36" s="4" t="s">
        <v>147</v>
      </c>
      <c r="N36" s="5">
        <v>236240000</v>
      </c>
      <c r="O36" s="2" t="s">
        <v>148</v>
      </c>
      <c r="P36" s="2" t="s">
        <v>37</v>
      </c>
      <c r="Q36" s="4" t="s">
        <v>195</v>
      </c>
    </row>
    <row r="37" spans="1:17" x14ac:dyDescent="0.2">
      <c r="A37" s="2" t="s">
        <v>196</v>
      </c>
      <c r="B37" s="2" t="s">
        <v>33</v>
      </c>
      <c r="C37" s="2" t="s">
        <v>197</v>
      </c>
      <c r="D37" s="2" t="s">
        <v>20</v>
      </c>
      <c r="E37" s="3">
        <v>98072</v>
      </c>
      <c r="F37" s="4" t="s">
        <v>21</v>
      </c>
      <c r="G37" s="2" t="s">
        <v>22</v>
      </c>
      <c r="H37" s="2" t="s">
        <v>182</v>
      </c>
      <c r="I37" s="2" t="s">
        <v>24</v>
      </c>
      <c r="J37" s="2" t="s">
        <v>25</v>
      </c>
      <c r="K37" s="4" t="s">
        <v>43</v>
      </c>
      <c r="L37" s="4" t="s">
        <v>27</v>
      </c>
      <c r="M37" s="4" t="s">
        <v>198</v>
      </c>
      <c r="N37" s="5">
        <v>263158843</v>
      </c>
      <c r="O37" s="2" t="s">
        <v>199</v>
      </c>
      <c r="P37" s="2" t="s">
        <v>37</v>
      </c>
      <c r="Q37" s="4" t="s">
        <v>200</v>
      </c>
    </row>
    <row r="38" spans="1:17" x14ac:dyDescent="0.2">
      <c r="A38" s="2" t="s">
        <v>201</v>
      </c>
      <c r="B38" s="2" t="s">
        <v>18</v>
      </c>
      <c r="C38" s="2" t="s">
        <v>19</v>
      </c>
      <c r="D38" s="2" t="s">
        <v>20</v>
      </c>
      <c r="E38" s="3">
        <v>98370</v>
      </c>
      <c r="F38" s="4" t="s">
        <v>21</v>
      </c>
      <c r="G38" s="2" t="s">
        <v>22</v>
      </c>
      <c r="H38" s="2" t="s">
        <v>182</v>
      </c>
      <c r="I38" s="2" t="s">
        <v>24</v>
      </c>
      <c r="J38" s="2" t="s">
        <v>25</v>
      </c>
      <c r="K38" s="4" t="s">
        <v>43</v>
      </c>
      <c r="L38" s="4" t="s">
        <v>27</v>
      </c>
      <c r="M38" s="4" t="s">
        <v>28</v>
      </c>
      <c r="N38" s="5">
        <v>277080163</v>
      </c>
      <c r="O38" s="2" t="s">
        <v>29</v>
      </c>
      <c r="P38" s="2" t="s">
        <v>30</v>
      </c>
      <c r="Q38" s="4" t="s">
        <v>202</v>
      </c>
    </row>
    <row r="39" spans="1:17" x14ac:dyDescent="0.2">
      <c r="A39" s="2" t="s">
        <v>203</v>
      </c>
      <c r="B39" s="2" t="s">
        <v>33</v>
      </c>
      <c r="C39" s="2" t="s">
        <v>169</v>
      </c>
      <c r="D39" s="2" t="s">
        <v>20</v>
      </c>
      <c r="E39" s="3">
        <v>98033</v>
      </c>
      <c r="F39" s="4" t="s">
        <v>57</v>
      </c>
      <c r="G39" s="2" t="s">
        <v>22</v>
      </c>
      <c r="H39" s="2" t="s">
        <v>182</v>
      </c>
      <c r="I39" s="2" t="s">
        <v>24</v>
      </c>
      <c r="J39" s="2" t="s">
        <v>25</v>
      </c>
      <c r="K39" s="4" t="s">
        <v>43</v>
      </c>
      <c r="L39" s="4" t="s">
        <v>27</v>
      </c>
      <c r="M39" s="4" t="s">
        <v>147</v>
      </c>
      <c r="N39" s="5">
        <v>223885098</v>
      </c>
      <c r="O39" s="2" t="s">
        <v>204</v>
      </c>
      <c r="P39" s="2" t="s">
        <v>37</v>
      </c>
      <c r="Q39" s="4" t="s">
        <v>205</v>
      </c>
    </row>
    <row r="40" spans="1:17" hidden="1" x14ac:dyDescent="0.2">
      <c r="A40" s="2" t="s">
        <v>206</v>
      </c>
      <c r="B40" s="2" t="s">
        <v>207</v>
      </c>
      <c r="C40" s="2" t="s">
        <v>208</v>
      </c>
      <c r="D40" s="2" t="s">
        <v>20</v>
      </c>
      <c r="E40" s="3">
        <v>98274</v>
      </c>
      <c r="F40" s="4" t="s">
        <v>209</v>
      </c>
      <c r="G40" s="2" t="s">
        <v>210</v>
      </c>
      <c r="H40" s="2" t="s">
        <v>211</v>
      </c>
      <c r="I40" s="2" t="s">
        <v>212</v>
      </c>
      <c r="J40" s="2" t="s">
        <v>213</v>
      </c>
      <c r="K40" s="4" t="s">
        <v>214</v>
      </c>
      <c r="L40" s="4" t="s">
        <v>27</v>
      </c>
      <c r="M40" s="4" t="s">
        <v>96</v>
      </c>
      <c r="N40" s="5">
        <v>122100898</v>
      </c>
      <c r="O40" s="2" t="s">
        <v>215</v>
      </c>
      <c r="P40" s="2" t="s">
        <v>30</v>
      </c>
      <c r="Q40" s="4" t="s">
        <v>216</v>
      </c>
    </row>
    <row r="41" spans="1:17" x14ac:dyDescent="0.2">
      <c r="A41" s="2" t="s">
        <v>217</v>
      </c>
      <c r="B41" s="2" t="s">
        <v>18</v>
      </c>
      <c r="C41" s="2" t="s">
        <v>218</v>
      </c>
      <c r="D41" s="2" t="s">
        <v>20</v>
      </c>
      <c r="E41" s="3">
        <v>98311</v>
      </c>
      <c r="F41" s="4" t="s">
        <v>219</v>
      </c>
      <c r="G41" s="2" t="s">
        <v>210</v>
      </c>
      <c r="H41" s="2" t="s">
        <v>220</v>
      </c>
      <c r="I41" s="2" t="s">
        <v>24</v>
      </c>
      <c r="J41" s="2" t="s">
        <v>25</v>
      </c>
      <c r="K41" s="4" t="s">
        <v>221</v>
      </c>
      <c r="L41" s="4" t="s">
        <v>27</v>
      </c>
      <c r="M41" s="4" t="s">
        <v>28</v>
      </c>
      <c r="N41" s="5">
        <v>229024484</v>
      </c>
      <c r="O41" s="2" t="s">
        <v>222</v>
      </c>
      <c r="P41" s="2" t="s">
        <v>30</v>
      </c>
      <c r="Q41" s="4" t="s">
        <v>223</v>
      </c>
    </row>
    <row r="42" spans="1:17" x14ac:dyDescent="0.2">
      <c r="A42" s="2" t="s">
        <v>224</v>
      </c>
      <c r="B42" s="2" t="s">
        <v>151</v>
      </c>
      <c r="C42" s="2" t="s">
        <v>152</v>
      </c>
      <c r="D42" s="2" t="s">
        <v>20</v>
      </c>
      <c r="E42" s="3">
        <v>98501</v>
      </c>
      <c r="F42" s="4" t="s">
        <v>209</v>
      </c>
      <c r="G42" s="2" t="s">
        <v>210</v>
      </c>
      <c r="H42" s="2" t="s">
        <v>220</v>
      </c>
      <c r="I42" s="2" t="s">
        <v>24</v>
      </c>
      <c r="J42" s="2" t="s">
        <v>25</v>
      </c>
      <c r="K42" s="4" t="s">
        <v>221</v>
      </c>
      <c r="L42" s="4" t="s">
        <v>27</v>
      </c>
      <c r="M42" s="4" t="s">
        <v>90</v>
      </c>
      <c r="N42" s="5">
        <v>349756963</v>
      </c>
      <c r="O42" s="2" t="s">
        <v>153</v>
      </c>
      <c r="P42" s="2" t="s">
        <v>30</v>
      </c>
      <c r="Q42" s="4" t="s">
        <v>225</v>
      </c>
    </row>
    <row r="43" spans="1:17" x14ac:dyDescent="0.2">
      <c r="A43" s="2" t="s">
        <v>226</v>
      </c>
      <c r="B43" s="2" t="s">
        <v>33</v>
      </c>
      <c r="C43" s="2" t="s">
        <v>169</v>
      </c>
      <c r="D43" s="2" t="s">
        <v>20</v>
      </c>
      <c r="E43" s="3">
        <v>98033</v>
      </c>
      <c r="F43" s="4" t="s">
        <v>227</v>
      </c>
      <c r="G43" s="2" t="s">
        <v>210</v>
      </c>
      <c r="H43" s="2" t="s">
        <v>220</v>
      </c>
      <c r="I43" s="2" t="s">
        <v>24</v>
      </c>
      <c r="J43" s="2" t="s">
        <v>25</v>
      </c>
      <c r="K43" s="4" t="s">
        <v>221</v>
      </c>
      <c r="L43" s="4" t="s">
        <v>27</v>
      </c>
      <c r="M43" s="4" t="s">
        <v>198</v>
      </c>
      <c r="N43" s="5">
        <v>104404499</v>
      </c>
      <c r="O43" s="2" t="s">
        <v>204</v>
      </c>
      <c r="P43" s="2" t="s">
        <v>37</v>
      </c>
      <c r="Q43" s="4" t="s">
        <v>205</v>
      </c>
    </row>
    <row r="44" spans="1:17" x14ac:dyDescent="0.2">
      <c r="A44" s="2" t="s">
        <v>228</v>
      </c>
      <c r="B44" s="2" t="s">
        <v>151</v>
      </c>
      <c r="C44" s="2" t="s">
        <v>229</v>
      </c>
      <c r="D44" s="2" t="s">
        <v>20</v>
      </c>
      <c r="E44" s="3">
        <v>98579</v>
      </c>
      <c r="F44" s="4" t="s">
        <v>230</v>
      </c>
      <c r="G44" s="2" t="s">
        <v>210</v>
      </c>
      <c r="H44" s="2" t="s">
        <v>220</v>
      </c>
      <c r="I44" s="2" t="s">
        <v>24</v>
      </c>
      <c r="J44" s="2" t="s">
        <v>25</v>
      </c>
      <c r="K44" s="4" t="s">
        <v>221</v>
      </c>
      <c r="L44" s="4" t="s">
        <v>27</v>
      </c>
      <c r="M44" s="4" t="s">
        <v>79</v>
      </c>
      <c r="N44" s="5">
        <v>168462437</v>
      </c>
      <c r="O44" s="2" t="s">
        <v>231</v>
      </c>
      <c r="P44" s="2" t="s">
        <v>30</v>
      </c>
      <c r="Q44" s="4" t="s">
        <v>232</v>
      </c>
    </row>
    <row r="45" spans="1:17" x14ac:dyDescent="0.2">
      <c r="A45" s="2" t="s">
        <v>233</v>
      </c>
      <c r="B45" s="2" t="s">
        <v>18</v>
      </c>
      <c r="C45" s="2" t="s">
        <v>234</v>
      </c>
      <c r="D45" s="2" t="s">
        <v>20</v>
      </c>
      <c r="E45" s="3">
        <v>98110</v>
      </c>
      <c r="F45" s="4" t="s">
        <v>219</v>
      </c>
      <c r="G45" s="2" t="s">
        <v>210</v>
      </c>
      <c r="H45" s="2" t="s">
        <v>220</v>
      </c>
      <c r="I45" s="2" t="s">
        <v>24</v>
      </c>
      <c r="J45" s="2" t="s">
        <v>25</v>
      </c>
      <c r="K45" s="4" t="s">
        <v>221</v>
      </c>
      <c r="L45" s="4" t="s">
        <v>27</v>
      </c>
      <c r="M45" s="4" t="s">
        <v>28</v>
      </c>
      <c r="N45" s="5">
        <v>187472813</v>
      </c>
      <c r="O45" s="2" t="s">
        <v>235</v>
      </c>
      <c r="P45" s="2" t="s">
        <v>30</v>
      </c>
      <c r="Q45" s="4" t="s">
        <v>236</v>
      </c>
    </row>
    <row r="46" spans="1:17" x14ac:dyDescent="0.2">
      <c r="A46" s="2" t="s">
        <v>237</v>
      </c>
      <c r="B46" s="2" t="s">
        <v>33</v>
      </c>
      <c r="C46" s="2" t="s">
        <v>83</v>
      </c>
      <c r="D46" s="2" t="s">
        <v>20</v>
      </c>
      <c r="E46" s="3">
        <v>98121</v>
      </c>
      <c r="F46" s="4" t="s">
        <v>227</v>
      </c>
      <c r="G46" s="2" t="s">
        <v>210</v>
      </c>
      <c r="H46" s="2" t="s">
        <v>220</v>
      </c>
      <c r="I46" s="2" t="s">
        <v>24</v>
      </c>
      <c r="J46" s="2" t="s">
        <v>25</v>
      </c>
      <c r="K46" s="4" t="s">
        <v>221</v>
      </c>
      <c r="L46" s="4" t="s">
        <v>27</v>
      </c>
      <c r="M46" s="4" t="s">
        <v>84</v>
      </c>
      <c r="N46" s="5">
        <v>103030266</v>
      </c>
      <c r="O46" s="2" t="s">
        <v>238</v>
      </c>
      <c r="P46" s="2" t="s">
        <v>86</v>
      </c>
      <c r="Q46" s="4" t="s">
        <v>239</v>
      </c>
    </row>
    <row r="47" spans="1:17" x14ac:dyDescent="0.2">
      <c r="A47" s="2" t="s">
        <v>240</v>
      </c>
      <c r="B47" s="2" t="s">
        <v>241</v>
      </c>
      <c r="C47" s="2" t="s">
        <v>242</v>
      </c>
      <c r="D47" s="2" t="s">
        <v>20</v>
      </c>
      <c r="E47" s="3">
        <v>99141</v>
      </c>
      <c r="F47" s="4" t="s">
        <v>227</v>
      </c>
      <c r="G47" s="2" t="s">
        <v>210</v>
      </c>
      <c r="H47" s="2" t="s">
        <v>220</v>
      </c>
      <c r="I47" s="2" t="s">
        <v>24</v>
      </c>
      <c r="J47" s="2" t="s">
        <v>25</v>
      </c>
      <c r="K47" s="4" t="s">
        <v>221</v>
      </c>
      <c r="L47" s="4" t="s">
        <v>27</v>
      </c>
      <c r="M47" s="4" t="s">
        <v>164</v>
      </c>
      <c r="N47" s="5">
        <v>277940981</v>
      </c>
      <c r="O47" s="2" t="s">
        <v>243</v>
      </c>
      <c r="P47" s="2" t="s">
        <v>244</v>
      </c>
      <c r="Q47" s="4" t="s">
        <v>245</v>
      </c>
    </row>
    <row r="48" spans="1:17" x14ac:dyDescent="0.2">
      <c r="A48" s="2" t="s">
        <v>246</v>
      </c>
      <c r="B48" s="2" t="s">
        <v>40</v>
      </c>
      <c r="C48" s="2" t="s">
        <v>89</v>
      </c>
      <c r="D48" s="2" t="s">
        <v>20</v>
      </c>
      <c r="E48" s="3">
        <v>98021</v>
      </c>
      <c r="F48" s="4" t="s">
        <v>227</v>
      </c>
      <c r="G48" s="2" t="s">
        <v>210</v>
      </c>
      <c r="H48" s="2" t="s">
        <v>220</v>
      </c>
      <c r="I48" s="2" t="s">
        <v>24</v>
      </c>
      <c r="J48" s="2" t="s">
        <v>25</v>
      </c>
      <c r="K48" s="4" t="s">
        <v>221</v>
      </c>
      <c r="L48" s="4" t="s">
        <v>27</v>
      </c>
      <c r="M48" s="4" t="s">
        <v>170</v>
      </c>
      <c r="N48" s="5">
        <v>165951201</v>
      </c>
      <c r="O48" s="2" t="s">
        <v>247</v>
      </c>
      <c r="P48" s="2" t="s">
        <v>30</v>
      </c>
      <c r="Q48" s="4" t="s">
        <v>248</v>
      </c>
    </row>
    <row r="49" spans="1:17" x14ac:dyDescent="0.2">
      <c r="A49" s="2" t="s">
        <v>249</v>
      </c>
      <c r="B49" s="2" t="s">
        <v>151</v>
      </c>
      <c r="C49" s="2" t="s">
        <v>250</v>
      </c>
      <c r="D49" s="2" t="s">
        <v>20</v>
      </c>
      <c r="E49" s="3">
        <v>98501</v>
      </c>
      <c r="F49" s="4" t="s">
        <v>227</v>
      </c>
      <c r="G49" s="2" t="s">
        <v>210</v>
      </c>
      <c r="H49" s="2" t="s">
        <v>220</v>
      </c>
      <c r="I49" s="2" t="s">
        <v>24</v>
      </c>
      <c r="J49" s="2" t="s">
        <v>25</v>
      </c>
      <c r="K49" s="4" t="s">
        <v>221</v>
      </c>
      <c r="L49" s="4" t="s">
        <v>27</v>
      </c>
      <c r="M49" s="4" t="s">
        <v>90</v>
      </c>
      <c r="N49" s="5">
        <v>161059524</v>
      </c>
      <c r="O49" s="2" t="s">
        <v>153</v>
      </c>
      <c r="P49" s="2" t="s">
        <v>30</v>
      </c>
      <c r="Q49" s="4" t="s">
        <v>251</v>
      </c>
    </row>
    <row r="50" spans="1:17" x14ac:dyDescent="0.2">
      <c r="A50" s="2" t="s">
        <v>252</v>
      </c>
      <c r="B50" s="2" t="s">
        <v>55</v>
      </c>
      <c r="C50" s="2" t="s">
        <v>63</v>
      </c>
      <c r="D50" s="2" t="s">
        <v>20</v>
      </c>
      <c r="E50" s="3">
        <v>98682</v>
      </c>
      <c r="F50" s="4" t="s">
        <v>230</v>
      </c>
      <c r="G50" s="2" t="s">
        <v>210</v>
      </c>
      <c r="H50" s="2" t="s">
        <v>220</v>
      </c>
      <c r="I50" s="2" t="s">
        <v>24</v>
      </c>
      <c r="J50" s="2" t="s">
        <v>25</v>
      </c>
      <c r="K50" s="4" t="s">
        <v>221</v>
      </c>
      <c r="L50" s="4" t="s">
        <v>27</v>
      </c>
      <c r="M50" s="4" t="s">
        <v>64</v>
      </c>
      <c r="N50" s="5">
        <v>126069121</v>
      </c>
      <c r="O50" s="2" t="s">
        <v>65</v>
      </c>
      <c r="P50" s="2" t="s">
        <v>60</v>
      </c>
      <c r="Q50" s="4" t="s">
        <v>253</v>
      </c>
    </row>
    <row r="51" spans="1:17" x14ac:dyDescent="0.2">
      <c r="A51" s="2" t="s">
        <v>254</v>
      </c>
      <c r="B51" s="2" t="s">
        <v>151</v>
      </c>
      <c r="C51" s="2" t="s">
        <v>152</v>
      </c>
      <c r="D51" s="2" t="s">
        <v>20</v>
      </c>
      <c r="E51" s="3">
        <v>98512</v>
      </c>
      <c r="F51" s="4" t="s">
        <v>209</v>
      </c>
      <c r="G51" s="2" t="s">
        <v>210</v>
      </c>
      <c r="H51" s="2" t="s">
        <v>220</v>
      </c>
      <c r="I51" s="2" t="s">
        <v>24</v>
      </c>
      <c r="J51" s="2" t="s">
        <v>25</v>
      </c>
      <c r="K51" s="4" t="s">
        <v>221</v>
      </c>
      <c r="L51" s="4" t="s">
        <v>27</v>
      </c>
      <c r="M51" s="4" t="s">
        <v>255</v>
      </c>
      <c r="N51" s="5">
        <v>124114602</v>
      </c>
      <c r="O51" s="2" t="s">
        <v>256</v>
      </c>
      <c r="P51" s="2" t="s">
        <v>30</v>
      </c>
      <c r="Q51" s="4" t="s">
        <v>257</v>
      </c>
    </row>
    <row r="52" spans="1:17" x14ac:dyDescent="0.2">
      <c r="A52" s="2" t="s">
        <v>258</v>
      </c>
      <c r="B52" s="2" t="s">
        <v>18</v>
      </c>
      <c r="C52" s="2" t="s">
        <v>100</v>
      </c>
      <c r="D52" s="2" t="s">
        <v>20</v>
      </c>
      <c r="E52" s="3">
        <v>98367</v>
      </c>
      <c r="F52" s="4" t="s">
        <v>219</v>
      </c>
      <c r="G52" s="2" t="s">
        <v>210</v>
      </c>
      <c r="H52" s="2" t="s">
        <v>220</v>
      </c>
      <c r="I52" s="2" t="s">
        <v>24</v>
      </c>
      <c r="J52" s="2" t="s">
        <v>25</v>
      </c>
      <c r="K52" s="4" t="s">
        <v>221</v>
      </c>
      <c r="L52" s="4" t="s">
        <v>27</v>
      </c>
      <c r="M52" s="4" t="s">
        <v>101</v>
      </c>
      <c r="N52" s="5">
        <v>218301205</v>
      </c>
      <c r="O52" s="2" t="s">
        <v>259</v>
      </c>
      <c r="P52" s="2" t="s">
        <v>30</v>
      </c>
      <c r="Q52" s="4" t="s">
        <v>260</v>
      </c>
    </row>
    <row r="53" spans="1:17" x14ac:dyDescent="0.2">
      <c r="A53" s="2" t="s">
        <v>261</v>
      </c>
      <c r="B53" s="2" t="s">
        <v>262</v>
      </c>
      <c r="C53" s="2" t="s">
        <v>263</v>
      </c>
      <c r="D53" s="2" t="s">
        <v>20</v>
      </c>
      <c r="E53" s="3">
        <v>98837</v>
      </c>
      <c r="F53" s="4" t="s">
        <v>209</v>
      </c>
      <c r="G53" s="2" t="s">
        <v>210</v>
      </c>
      <c r="H53" s="2" t="s">
        <v>220</v>
      </c>
      <c r="I53" s="2" t="s">
        <v>24</v>
      </c>
      <c r="J53" s="2" t="s">
        <v>25</v>
      </c>
      <c r="K53" s="4" t="s">
        <v>221</v>
      </c>
      <c r="L53" s="4" t="s">
        <v>27</v>
      </c>
      <c r="M53" s="4" t="s">
        <v>264</v>
      </c>
      <c r="N53" s="5">
        <v>267218262</v>
      </c>
      <c r="O53" s="2" t="s">
        <v>265</v>
      </c>
      <c r="P53" s="2" t="s">
        <v>266</v>
      </c>
      <c r="Q53" s="4" t="s">
        <v>267</v>
      </c>
    </row>
    <row r="54" spans="1:17" x14ac:dyDescent="0.2">
      <c r="A54" s="2" t="s">
        <v>261</v>
      </c>
      <c r="B54" s="2" t="s">
        <v>40</v>
      </c>
      <c r="C54" s="2" t="s">
        <v>268</v>
      </c>
      <c r="D54" s="2" t="s">
        <v>20</v>
      </c>
      <c r="E54" s="3">
        <v>98020</v>
      </c>
      <c r="F54" s="4" t="s">
        <v>209</v>
      </c>
      <c r="G54" s="2" t="s">
        <v>210</v>
      </c>
      <c r="H54" s="2" t="s">
        <v>220</v>
      </c>
      <c r="I54" s="2" t="s">
        <v>24</v>
      </c>
      <c r="J54" s="2" t="s">
        <v>25</v>
      </c>
      <c r="K54" s="4" t="s">
        <v>221</v>
      </c>
      <c r="L54" s="4" t="s">
        <v>27</v>
      </c>
      <c r="M54" s="4" t="s">
        <v>26</v>
      </c>
      <c r="N54" s="5">
        <v>150675850</v>
      </c>
      <c r="O54" s="2" t="s">
        <v>269</v>
      </c>
      <c r="P54" s="2" t="s">
        <v>30</v>
      </c>
      <c r="Q54" s="4" t="s">
        <v>270</v>
      </c>
    </row>
    <row r="55" spans="1:17" x14ac:dyDescent="0.2">
      <c r="A55" s="2" t="s">
        <v>271</v>
      </c>
      <c r="B55" s="2" t="s">
        <v>40</v>
      </c>
      <c r="C55" s="2" t="s">
        <v>272</v>
      </c>
      <c r="D55" s="2" t="s">
        <v>20</v>
      </c>
      <c r="E55" s="3">
        <v>98270</v>
      </c>
      <c r="F55" s="4" t="s">
        <v>273</v>
      </c>
      <c r="G55" s="2" t="s">
        <v>210</v>
      </c>
      <c r="H55" s="2" t="s">
        <v>220</v>
      </c>
      <c r="I55" s="2" t="s">
        <v>24</v>
      </c>
      <c r="J55" s="2" t="s">
        <v>25</v>
      </c>
      <c r="K55" s="4" t="s">
        <v>79</v>
      </c>
      <c r="L55" s="4" t="s">
        <v>27</v>
      </c>
      <c r="M55" s="4" t="s">
        <v>274</v>
      </c>
      <c r="N55" s="5">
        <v>167422167</v>
      </c>
      <c r="O55" s="2" t="s">
        <v>275</v>
      </c>
      <c r="P55" s="2" t="s">
        <v>30</v>
      </c>
      <c r="Q55" s="4" t="s">
        <v>276</v>
      </c>
    </row>
    <row r="56" spans="1:17" x14ac:dyDescent="0.2">
      <c r="A56" s="2" t="s">
        <v>277</v>
      </c>
      <c r="B56" s="2" t="s">
        <v>33</v>
      </c>
      <c r="C56" s="2" t="s">
        <v>83</v>
      </c>
      <c r="D56" s="2" t="s">
        <v>20</v>
      </c>
      <c r="E56" s="3">
        <v>98125</v>
      </c>
      <c r="F56" s="4" t="s">
        <v>273</v>
      </c>
      <c r="G56" s="2" t="s">
        <v>210</v>
      </c>
      <c r="H56" s="2" t="s">
        <v>220</v>
      </c>
      <c r="I56" s="2" t="s">
        <v>24</v>
      </c>
      <c r="J56" s="2" t="s">
        <v>25</v>
      </c>
      <c r="K56" s="4" t="s">
        <v>79</v>
      </c>
      <c r="L56" s="4" t="s">
        <v>27</v>
      </c>
      <c r="M56" s="4" t="s">
        <v>278</v>
      </c>
      <c r="N56" s="5">
        <v>350448402</v>
      </c>
      <c r="O56" s="2" t="s">
        <v>279</v>
      </c>
      <c r="P56" s="2" t="s">
        <v>86</v>
      </c>
      <c r="Q56" s="4" t="s">
        <v>280</v>
      </c>
    </row>
    <row r="57" spans="1:17" x14ac:dyDescent="0.2">
      <c r="A57" s="2" t="s">
        <v>281</v>
      </c>
      <c r="B57" s="2" t="s">
        <v>55</v>
      </c>
      <c r="C57" s="2" t="s">
        <v>282</v>
      </c>
      <c r="D57" s="2" t="s">
        <v>20</v>
      </c>
      <c r="E57" s="3">
        <v>98671</v>
      </c>
      <c r="F57" s="4" t="s">
        <v>21</v>
      </c>
      <c r="G57" s="2" t="s">
        <v>210</v>
      </c>
      <c r="H57" s="2" t="s">
        <v>283</v>
      </c>
      <c r="I57" s="2" t="s">
        <v>24</v>
      </c>
      <c r="J57" s="2" t="s">
        <v>213</v>
      </c>
      <c r="K57" s="4" t="s">
        <v>284</v>
      </c>
      <c r="L57" s="4" t="s">
        <v>27</v>
      </c>
      <c r="M57" s="4" t="s">
        <v>58</v>
      </c>
      <c r="N57" s="5">
        <v>261062665</v>
      </c>
      <c r="O57" s="2" t="s">
        <v>285</v>
      </c>
      <c r="P57" s="2" t="s">
        <v>60</v>
      </c>
      <c r="Q57" s="4" t="s">
        <v>286</v>
      </c>
    </row>
    <row r="58" spans="1:17" x14ac:dyDescent="0.2">
      <c r="A58" s="2" t="s">
        <v>287</v>
      </c>
      <c r="B58" s="2" t="s">
        <v>40</v>
      </c>
      <c r="C58" s="2" t="s">
        <v>40</v>
      </c>
      <c r="D58" s="2" t="s">
        <v>20</v>
      </c>
      <c r="E58" s="3">
        <v>98290</v>
      </c>
      <c r="F58" s="4" t="s">
        <v>121</v>
      </c>
      <c r="G58" s="2" t="s">
        <v>210</v>
      </c>
      <c r="H58" s="2" t="s">
        <v>283</v>
      </c>
      <c r="I58" s="2" t="s">
        <v>24</v>
      </c>
      <c r="J58" s="2" t="s">
        <v>213</v>
      </c>
      <c r="K58" s="4" t="s">
        <v>284</v>
      </c>
      <c r="L58" s="4" t="s">
        <v>27</v>
      </c>
      <c r="M58" s="4" t="s">
        <v>116</v>
      </c>
      <c r="N58" s="5">
        <v>278308453</v>
      </c>
      <c r="O58" s="2" t="s">
        <v>117</v>
      </c>
      <c r="P58" s="2" t="s">
        <v>30</v>
      </c>
      <c r="Q58" s="4" t="s">
        <v>288</v>
      </c>
    </row>
    <row r="59" spans="1:17" x14ac:dyDescent="0.2">
      <c r="A59" s="2" t="s">
        <v>289</v>
      </c>
      <c r="B59" s="2" t="s">
        <v>33</v>
      </c>
      <c r="C59" s="2" t="s">
        <v>290</v>
      </c>
      <c r="D59" s="2" t="s">
        <v>20</v>
      </c>
      <c r="E59" s="3">
        <v>98133</v>
      </c>
      <c r="F59" s="4" t="s">
        <v>42</v>
      </c>
      <c r="G59" s="2" t="s">
        <v>210</v>
      </c>
      <c r="H59" s="2" t="s">
        <v>283</v>
      </c>
      <c r="I59" s="2" t="s">
        <v>24</v>
      </c>
      <c r="J59" s="2" t="s">
        <v>213</v>
      </c>
      <c r="K59" s="4" t="s">
        <v>274</v>
      </c>
      <c r="L59" s="4" t="s">
        <v>27</v>
      </c>
      <c r="M59" s="4" t="s">
        <v>74</v>
      </c>
      <c r="N59" s="5">
        <v>179197574</v>
      </c>
      <c r="O59" s="2" t="s">
        <v>291</v>
      </c>
      <c r="P59" s="2" t="s">
        <v>86</v>
      </c>
      <c r="Q59" s="4" t="s">
        <v>292</v>
      </c>
    </row>
    <row r="60" spans="1:17" x14ac:dyDescent="0.2">
      <c r="A60" s="2" t="s">
        <v>293</v>
      </c>
      <c r="B60" s="2" t="s">
        <v>40</v>
      </c>
      <c r="C60" s="2" t="s">
        <v>40</v>
      </c>
      <c r="D60" s="2" t="s">
        <v>20</v>
      </c>
      <c r="E60" s="3">
        <v>98296</v>
      </c>
      <c r="F60" s="4" t="s">
        <v>57</v>
      </c>
      <c r="G60" s="2" t="s">
        <v>210</v>
      </c>
      <c r="H60" s="2" t="s">
        <v>283</v>
      </c>
      <c r="I60" s="2" t="s">
        <v>24</v>
      </c>
      <c r="J60" s="2" t="s">
        <v>213</v>
      </c>
      <c r="K60" s="4" t="s">
        <v>274</v>
      </c>
      <c r="L60" s="4" t="s">
        <v>27</v>
      </c>
      <c r="M60" s="4" t="s">
        <v>170</v>
      </c>
      <c r="N60" s="5">
        <v>207145459</v>
      </c>
      <c r="O60" s="2" t="s">
        <v>294</v>
      </c>
      <c r="P60" s="2" t="s">
        <v>30</v>
      </c>
      <c r="Q60" s="4" t="s">
        <v>295</v>
      </c>
    </row>
    <row r="61" spans="1:17" hidden="1" x14ac:dyDescent="0.2">
      <c r="A61" s="2" t="s">
        <v>296</v>
      </c>
      <c r="B61" s="2" t="s">
        <v>55</v>
      </c>
      <c r="C61" s="2" t="s">
        <v>63</v>
      </c>
      <c r="D61" s="2" t="s">
        <v>20</v>
      </c>
      <c r="E61" s="3">
        <v>98685</v>
      </c>
      <c r="F61" s="4" t="s">
        <v>21</v>
      </c>
      <c r="G61" s="2" t="s">
        <v>210</v>
      </c>
      <c r="H61" s="2" t="s">
        <v>297</v>
      </c>
      <c r="I61" s="2" t="s">
        <v>212</v>
      </c>
      <c r="J61" s="2" t="s">
        <v>298</v>
      </c>
      <c r="K61" s="4" t="s">
        <v>27</v>
      </c>
      <c r="L61" s="4" t="s">
        <v>27</v>
      </c>
      <c r="M61" s="4" t="s">
        <v>191</v>
      </c>
      <c r="N61" s="5">
        <v>262862652</v>
      </c>
      <c r="O61" s="2" t="s">
        <v>299</v>
      </c>
      <c r="P61" s="2" t="s">
        <v>60</v>
      </c>
      <c r="Q61" s="4" t="s">
        <v>300</v>
      </c>
    </row>
    <row r="62" spans="1:17" hidden="1" x14ac:dyDescent="0.2">
      <c r="A62" s="2" t="s">
        <v>301</v>
      </c>
      <c r="B62" s="2" t="s">
        <v>94</v>
      </c>
      <c r="C62" s="2" t="s">
        <v>105</v>
      </c>
      <c r="D62" s="2" t="s">
        <v>20</v>
      </c>
      <c r="E62" s="3">
        <v>98282</v>
      </c>
      <c r="F62" s="4" t="s">
        <v>21</v>
      </c>
      <c r="G62" s="2" t="s">
        <v>210</v>
      </c>
      <c r="H62" s="2" t="s">
        <v>297</v>
      </c>
      <c r="I62" s="2" t="s">
        <v>212</v>
      </c>
      <c r="J62" s="2" t="s">
        <v>298</v>
      </c>
      <c r="K62" s="4" t="s">
        <v>27</v>
      </c>
      <c r="L62" s="4" t="s">
        <v>27</v>
      </c>
      <c r="M62" s="4" t="s">
        <v>96</v>
      </c>
      <c r="N62" s="5">
        <v>262427553</v>
      </c>
      <c r="O62" s="2" t="s">
        <v>106</v>
      </c>
      <c r="P62" s="2" t="s">
        <v>107</v>
      </c>
      <c r="Q62" s="4" t="s">
        <v>108</v>
      </c>
    </row>
    <row r="63" spans="1:17" hidden="1" x14ac:dyDescent="0.2">
      <c r="A63" s="2" t="s">
        <v>302</v>
      </c>
      <c r="B63" s="2" t="s">
        <v>94</v>
      </c>
      <c r="C63" s="2" t="s">
        <v>303</v>
      </c>
      <c r="D63" s="2" t="s">
        <v>20</v>
      </c>
      <c r="E63" s="3">
        <v>98239</v>
      </c>
      <c r="F63" s="4" t="s">
        <v>57</v>
      </c>
      <c r="G63" s="2" t="s">
        <v>210</v>
      </c>
      <c r="H63" s="2" t="s">
        <v>297</v>
      </c>
      <c r="I63" s="2" t="s">
        <v>212</v>
      </c>
      <c r="J63" s="2" t="s">
        <v>298</v>
      </c>
      <c r="K63" s="4" t="s">
        <v>27</v>
      </c>
      <c r="L63" s="4" t="s">
        <v>27</v>
      </c>
      <c r="M63" s="4" t="s">
        <v>96</v>
      </c>
      <c r="N63" s="5">
        <v>229864743</v>
      </c>
      <c r="O63" s="2" t="s">
        <v>304</v>
      </c>
      <c r="P63" s="2" t="s">
        <v>30</v>
      </c>
      <c r="Q63" s="4" t="s">
        <v>305</v>
      </c>
    </row>
    <row r="64" spans="1:17" hidden="1" x14ac:dyDescent="0.2">
      <c r="A64" s="2" t="s">
        <v>306</v>
      </c>
      <c r="B64" s="2" t="s">
        <v>110</v>
      </c>
      <c r="C64" s="2" t="s">
        <v>307</v>
      </c>
      <c r="D64" s="2" t="s">
        <v>20</v>
      </c>
      <c r="E64" s="3">
        <v>98422</v>
      </c>
      <c r="F64" s="4" t="s">
        <v>21</v>
      </c>
      <c r="G64" s="2" t="s">
        <v>210</v>
      </c>
      <c r="H64" s="2" t="s">
        <v>297</v>
      </c>
      <c r="I64" s="2" t="s">
        <v>212</v>
      </c>
      <c r="J64" s="2" t="s">
        <v>298</v>
      </c>
      <c r="K64" s="4" t="s">
        <v>27</v>
      </c>
      <c r="L64" s="4" t="s">
        <v>27</v>
      </c>
      <c r="M64" s="4" t="s">
        <v>308</v>
      </c>
      <c r="N64" s="5">
        <v>273523512</v>
      </c>
      <c r="O64" s="2" t="s">
        <v>309</v>
      </c>
      <c r="P64" s="2" t="s">
        <v>310</v>
      </c>
      <c r="Q64" s="4" t="s">
        <v>311</v>
      </c>
    </row>
    <row r="65" spans="1:17" hidden="1" x14ac:dyDescent="0.2">
      <c r="A65" s="2" t="s">
        <v>312</v>
      </c>
      <c r="B65" s="2" t="s">
        <v>313</v>
      </c>
      <c r="C65" s="2" t="s">
        <v>313</v>
      </c>
      <c r="D65" s="2" t="s">
        <v>20</v>
      </c>
      <c r="E65" s="3">
        <v>99362</v>
      </c>
      <c r="F65" s="4" t="s">
        <v>130</v>
      </c>
      <c r="G65" s="2" t="s">
        <v>210</v>
      </c>
      <c r="H65" s="2" t="s">
        <v>297</v>
      </c>
      <c r="I65" s="2" t="s">
        <v>212</v>
      </c>
      <c r="J65" s="2" t="s">
        <v>298</v>
      </c>
      <c r="K65" s="4" t="s">
        <v>27</v>
      </c>
      <c r="L65" s="4" t="s">
        <v>27</v>
      </c>
      <c r="M65" s="4" t="s">
        <v>314</v>
      </c>
      <c r="N65" s="5">
        <v>284062390</v>
      </c>
      <c r="O65" s="2" t="s">
        <v>315</v>
      </c>
      <c r="P65" s="2" t="s">
        <v>52</v>
      </c>
      <c r="Q65" s="4" t="s">
        <v>316</v>
      </c>
    </row>
    <row r="66" spans="1:17" hidden="1" x14ac:dyDescent="0.2">
      <c r="A66" s="2" t="s">
        <v>317</v>
      </c>
      <c r="B66" s="2" t="s">
        <v>33</v>
      </c>
      <c r="C66" s="2" t="s">
        <v>318</v>
      </c>
      <c r="D66" s="2" t="s">
        <v>20</v>
      </c>
      <c r="E66" s="3">
        <v>98166</v>
      </c>
      <c r="F66" s="4" t="s">
        <v>121</v>
      </c>
      <c r="G66" s="2" t="s">
        <v>210</v>
      </c>
      <c r="H66" s="2" t="s">
        <v>297</v>
      </c>
      <c r="I66" s="2" t="s">
        <v>212</v>
      </c>
      <c r="J66" s="2" t="s">
        <v>298</v>
      </c>
      <c r="K66" s="4" t="s">
        <v>27</v>
      </c>
      <c r="L66" s="4" t="s">
        <v>27</v>
      </c>
      <c r="M66" s="4" t="s">
        <v>319</v>
      </c>
      <c r="N66" s="5">
        <v>282308918</v>
      </c>
      <c r="O66" s="2" t="s">
        <v>320</v>
      </c>
      <c r="P66" s="2" t="s">
        <v>37</v>
      </c>
      <c r="Q66" s="4" t="s">
        <v>321</v>
      </c>
    </row>
    <row r="67" spans="1:17" hidden="1" x14ac:dyDescent="0.2">
      <c r="A67" s="2" t="s">
        <v>322</v>
      </c>
      <c r="B67" s="2" t="s">
        <v>48</v>
      </c>
      <c r="C67" s="2" t="s">
        <v>48</v>
      </c>
      <c r="D67" s="2" t="s">
        <v>20</v>
      </c>
      <c r="E67" s="3">
        <v>98903</v>
      </c>
      <c r="F67" s="4" t="s">
        <v>121</v>
      </c>
      <c r="G67" s="2" t="s">
        <v>210</v>
      </c>
      <c r="H67" s="2" t="s">
        <v>297</v>
      </c>
      <c r="I67" s="2" t="s">
        <v>212</v>
      </c>
      <c r="J67" s="2" t="s">
        <v>298</v>
      </c>
      <c r="K67" s="4" t="s">
        <v>27</v>
      </c>
      <c r="L67" s="4" t="s">
        <v>27</v>
      </c>
      <c r="M67" s="4" t="s">
        <v>323</v>
      </c>
      <c r="N67" s="5">
        <v>276125244</v>
      </c>
      <c r="O67" s="2" t="s">
        <v>324</v>
      </c>
      <c r="P67" s="2" t="s">
        <v>52</v>
      </c>
      <c r="Q67" s="4" t="s">
        <v>325</v>
      </c>
    </row>
    <row r="68" spans="1:17" hidden="1" x14ac:dyDescent="0.2">
      <c r="A68" s="2" t="s">
        <v>326</v>
      </c>
      <c r="B68" s="2" t="s">
        <v>110</v>
      </c>
      <c r="C68" s="2" t="s">
        <v>307</v>
      </c>
      <c r="D68" s="2" t="s">
        <v>20</v>
      </c>
      <c r="E68" s="3">
        <v>98421</v>
      </c>
      <c r="F68" s="4" t="s">
        <v>21</v>
      </c>
      <c r="G68" s="2" t="s">
        <v>210</v>
      </c>
      <c r="H68" s="2" t="s">
        <v>327</v>
      </c>
      <c r="I68" s="2" t="s">
        <v>212</v>
      </c>
      <c r="J68" s="2" t="s">
        <v>298</v>
      </c>
      <c r="K68" s="4" t="s">
        <v>27</v>
      </c>
      <c r="L68" s="4" t="s">
        <v>27</v>
      </c>
      <c r="M68" s="4" t="s">
        <v>308</v>
      </c>
      <c r="N68" s="5">
        <v>273723642</v>
      </c>
      <c r="O68" s="2" t="s">
        <v>328</v>
      </c>
      <c r="P68" s="2" t="s">
        <v>310</v>
      </c>
      <c r="Q68" s="4" t="s">
        <v>329</v>
      </c>
    </row>
    <row r="69" spans="1:17" hidden="1" x14ac:dyDescent="0.2">
      <c r="A69" s="2" t="s">
        <v>330</v>
      </c>
      <c r="B69" s="2" t="s">
        <v>331</v>
      </c>
      <c r="C69" s="2" t="s">
        <v>331</v>
      </c>
      <c r="D69" s="2" t="s">
        <v>20</v>
      </c>
      <c r="E69" s="3">
        <v>99208</v>
      </c>
      <c r="F69" s="4" t="s">
        <v>21</v>
      </c>
      <c r="G69" s="2" t="s">
        <v>210</v>
      </c>
      <c r="H69" s="2" t="s">
        <v>327</v>
      </c>
      <c r="I69" s="2" t="s">
        <v>212</v>
      </c>
      <c r="J69" s="2" t="s">
        <v>298</v>
      </c>
      <c r="K69" s="4" t="s">
        <v>27</v>
      </c>
      <c r="L69" s="4" t="s">
        <v>27</v>
      </c>
      <c r="M69" s="4" t="s">
        <v>332</v>
      </c>
      <c r="N69" s="5">
        <v>241030653</v>
      </c>
      <c r="O69" s="2" t="s">
        <v>333</v>
      </c>
      <c r="P69" s="2" t="s">
        <v>334</v>
      </c>
      <c r="Q69" s="4" t="s">
        <v>335</v>
      </c>
    </row>
    <row r="70" spans="1:17" hidden="1" x14ac:dyDescent="0.2">
      <c r="A70" s="2" t="s">
        <v>336</v>
      </c>
      <c r="B70" s="2" t="s">
        <v>151</v>
      </c>
      <c r="C70" s="2" t="s">
        <v>152</v>
      </c>
      <c r="D70" s="2" t="s">
        <v>20</v>
      </c>
      <c r="E70" s="3">
        <v>98502</v>
      </c>
      <c r="F70" s="4" t="s">
        <v>21</v>
      </c>
      <c r="G70" s="2" t="s">
        <v>210</v>
      </c>
      <c r="H70" s="2" t="s">
        <v>297</v>
      </c>
      <c r="I70" s="2" t="s">
        <v>212</v>
      </c>
      <c r="J70" s="2" t="s">
        <v>298</v>
      </c>
      <c r="K70" s="4" t="s">
        <v>27</v>
      </c>
      <c r="L70" s="4" t="s">
        <v>27</v>
      </c>
      <c r="M70" s="4" t="s">
        <v>90</v>
      </c>
      <c r="N70" s="5">
        <v>262181069</v>
      </c>
      <c r="O70" s="2" t="s">
        <v>337</v>
      </c>
      <c r="P70" s="2" t="s">
        <v>30</v>
      </c>
      <c r="Q70" s="4" t="s">
        <v>338</v>
      </c>
    </row>
    <row r="71" spans="1:17" hidden="1" x14ac:dyDescent="0.2">
      <c r="A71" s="2" t="s">
        <v>339</v>
      </c>
      <c r="B71" s="2" t="s">
        <v>33</v>
      </c>
      <c r="C71" s="2" t="s">
        <v>146</v>
      </c>
      <c r="D71" s="2" t="s">
        <v>20</v>
      </c>
      <c r="E71" s="3">
        <v>98004</v>
      </c>
      <c r="F71" s="4" t="s">
        <v>57</v>
      </c>
      <c r="G71" s="2" t="s">
        <v>210</v>
      </c>
      <c r="H71" s="2" t="s">
        <v>297</v>
      </c>
      <c r="I71" s="2" t="s">
        <v>212</v>
      </c>
      <c r="J71" s="2" t="s">
        <v>298</v>
      </c>
      <c r="K71" s="4" t="s">
        <v>27</v>
      </c>
      <c r="L71" s="4" t="s">
        <v>27</v>
      </c>
      <c r="M71" s="4" t="s">
        <v>147</v>
      </c>
      <c r="N71" s="5">
        <v>221521352</v>
      </c>
      <c r="O71" s="2" t="s">
        <v>148</v>
      </c>
      <c r="P71" s="2" t="s">
        <v>37</v>
      </c>
      <c r="Q71" s="4" t="s">
        <v>149</v>
      </c>
    </row>
    <row r="72" spans="1:17" hidden="1" x14ac:dyDescent="0.2">
      <c r="A72" s="2" t="s">
        <v>340</v>
      </c>
      <c r="B72" s="2" t="s">
        <v>33</v>
      </c>
      <c r="C72" s="2" t="s">
        <v>186</v>
      </c>
      <c r="D72" s="2" t="s">
        <v>20</v>
      </c>
      <c r="E72" s="3">
        <v>98023</v>
      </c>
      <c r="F72" s="4" t="s">
        <v>21</v>
      </c>
      <c r="G72" s="2" t="s">
        <v>210</v>
      </c>
      <c r="H72" s="2" t="s">
        <v>297</v>
      </c>
      <c r="I72" s="2" t="s">
        <v>212</v>
      </c>
      <c r="J72" s="2" t="s">
        <v>298</v>
      </c>
      <c r="K72" s="4" t="s">
        <v>27</v>
      </c>
      <c r="L72" s="4" t="s">
        <v>27</v>
      </c>
      <c r="M72" s="4" t="s">
        <v>187</v>
      </c>
      <c r="N72" s="5">
        <v>263268596</v>
      </c>
      <c r="O72" s="2" t="s">
        <v>188</v>
      </c>
      <c r="P72" s="2" t="s">
        <v>37</v>
      </c>
      <c r="Q72" s="4" t="s">
        <v>341</v>
      </c>
    </row>
    <row r="73" spans="1:17" hidden="1" x14ac:dyDescent="0.2">
      <c r="A73" s="2" t="s">
        <v>342</v>
      </c>
      <c r="B73" s="2" t="s">
        <v>18</v>
      </c>
      <c r="C73" s="2" t="s">
        <v>19</v>
      </c>
      <c r="D73" s="2" t="s">
        <v>20</v>
      </c>
      <c r="E73" s="3">
        <v>98370</v>
      </c>
      <c r="F73" s="4" t="s">
        <v>21</v>
      </c>
      <c r="G73" s="2" t="s">
        <v>210</v>
      </c>
      <c r="H73" s="2" t="s">
        <v>297</v>
      </c>
      <c r="I73" s="2" t="s">
        <v>212</v>
      </c>
      <c r="J73" s="2" t="s">
        <v>298</v>
      </c>
      <c r="K73" s="4" t="s">
        <v>27</v>
      </c>
      <c r="L73" s="4" t="s">
        <v>27</v>
      </c>
      <c r="M73" s="4" t="s">
        <v>28</v>
      </c>
      <c r="N73" s="5">
        <v>228167446</v>
      </c>
      <c r="O73" s="2" t="s">
        <v>29</v>
      </c>
      <c r="P73" s="2" t="s">
        <v>30</v>
      </c>
      <c r="Q73" s="4" t="s">
        <v>343</v>
      </c>
    </row>
    <row r="74" spans="1:17" hidden="1" x14ac:dyDescent="0.2">
      <c r="A74" s="2" t="s">
        <v>344</v>
      </c>
      <c r="B74" s="2" t="s">
        <v>40</v>
      </c>
      <c r="C74" s="2" t="s">
        <v>89</v>
      </c>
      <c r="D74" s="2" t="s">
        <v>20</v>
      </c>
      <c r="E74" s="3">
        <v>98012</v>
      </c>
      <c r="F74" s="4" t="s">
        <v>121</v>
      </c>
      <c r="G74" s="2" t="s">
        <v>210</v>
      </c>
      <c r="H74" s="2" t="s">
        <v>297</v>
      </c>
      <c r="I74" s="2" t="s">
        <v>212</v>
      </c>
      <c r="J74" s="2" t="s">
        <v>298</v>
      </c>
      <c r="K74" s="4" t="s">
        <v>27</v>
      </c>
      <c r="L74" s="4" t="s">
        <v>27</v>
      </c>
      <c r="M74" s="4" t="s">
        <v>170</v>
      </c>
      <c r="N74" s="5">
        <v>269899283</v>
      </c>
      <c r="O74" s="2" t="s">
        <v>91</v>
      </c>
      <c r="P74" s="2" t="s">
        <v>30</v>
      </c>
      <c r="Q74" s="4" t="s">
        <v>345</v>
      </c>
    </row>
    <row r="75" spans="1:17" hidden="1" x14ac:dyDescent="0.2">
      <c r="A75" s="2" t="s">
        <v>346</v>
      </c>
      <c r="B75" s="2" t="s">
        <v>175</v>
      </c>
      <c r="C75" s="2" t="s">
        <v>347</v>
      </c>
      <c r="D75" s="2" t="s">
        <v>20</v>
      </c>
      <c r="E75" s="3">
        <v>98801</v>
      </c>
      <c r="F75" s="4" t="s">
        <v>273</v>
      </c>
      <c r="G75" s="2" t="s">
        <v>348</v>
      </c>
      <c r="H75" s="2" t="s">
        <v>349</v>
      </c>
      <c r="I75" s="2" t="s">
        <v>212</v>
      </c>
      <c r="J75" s="2" t="s">
        <v>213</v>
      </c>
      <c r="K75" s="4" t="s">
        <v>350</v>
      </c>
      <c r="L75" s="4" t="s">
        <v>27</v>
      </c>
      <c r="M75" s="4" t="s">
        <v>177</v>
      </c>
      <c r="N75" s="5">
        <v>278951410</v>
      </c>
      <c r="O75" s="2" t="s">
        <v>351</v>
      </c>
      <c r="P75" s="2" t="s">
        <v>179</v>
      </c>
      <c r="Q75" s="4" t="s">
        <v>352</v>
      </c>
    </row>
    <row r="76" spans="1:17" hidden="1" x14ac:dyDescent="0.2">
      <c r="A76" s="2" t="s">
        <v>346</v>
      </c>
      <c r="B76" s="2" t="s">
        <v>55</v>
      </c>
      <c r="C76" s="2" t="s">
        <v>56</v>
      </c>
      <c r="D76" s="2" t="s">
        <v>20</v>
      </c>
      <c r="E76" s="3">
        <v>98607</v>
      </c>
      <c r="F76" s="4" t="s">
        <v>273</v>
      </c>
      <c r="G76" s="2" t="s">
        <v>348</v>
      </c>
      <c r="H76" s="2" t="s">
        <v>349</v>
      </c>
      <c r="I76" s="2" t="s">
        <v>212</v>
      </c>
      <c r="J76" s="2" t="s">
        <v>213</v>
      </c>
      <c r="K76" s="4" t="s">
        <v>350</v>
      </c>
      <c r="L76" s="4" t="s">
        <v>27</v>
      </c>
      <c r="M76" s="4" t="s">
        <v>58</v>
      </c>
      <c r="N76" s="5">
        <v>261338024</v>
      </c>
      <c r="O76" s="2" t="s">
        <v>59</v>
      </c>
      <c r="P76" s="2" t="s">
        <v>353</v>
      </c>
      <c r="Q76" s="4" t="s">
        <v>354</v>
      </c>
    </row>
    <row r="77" spans="1:17" hidden="1" x14ac:dyDescent="0.2">
      <c r="A77" s="2" t="s">
        <v>355</v>
      </c>
      <c r="B77" s="2" t="s">
        <v>151</v>
      </c>
      <c r="C77" s="2" t="s">
        <v>356</v>
      </c>
      <c r="D77" s="2" t="s">
        <v>20</v>
      </c>
      <c r="E77" s="3">
        <v>98597</v>
      </c>
      <c r="F77" s="4" t="s">
        <v>21</v>
      </c>
      <c r="G77" s="2" t="s">
        <v>348</v>
      </c>
      <c r="H77" s="2" t="s">
        <v>349</v>
      </c>
      <c r="I77" s="2" t="s">
        <v>212</v>
      </c>
      <c r="J77" s="2" t="s">
        <v>298</v>
      </c>
      <c r="K77" s="4" t="s">
        <v>27</v>
      </c>
      <c r="L77" s="4" t="s">
        <v>27</v>
      </c>
      <c r="M77" s="4" t="s">
        <v>357</v>
      </c>
      <c r="N77" s="5">
        <v>280680746</v>
      </c>
      <c r="O77" s="2" t="s">
        <v>358</v>
      </c>
      <c r="P77" s="2" t="s">
        <v>30</v>
      </c>
      <c r="Q77" s="4" t="s">
        <v>359</v>
      </c>
    </row>
    <row r="78" spans="1:17" hidden="1" x14ac:dyDescent="0.2">
      <c r="A78" s="2" t="s">
        <v>360</v>
      </c>
      <c r="B78" s="2" t="s">
        <v>151</v>
      </c>
      <c r="C78" s="2" t="s">
        <v>152</v>
      </c>
      <c r="D78" s="2" t="s">
        <v>20</v>
      </c>
      <c r="E78" s="3">
        <v>98501</v>
      </c>
      <c r="F78" s="4" t="s">
        <v>57</v>
      </c>
      <c r="G78" s="2" t="s">
        <v>348</v>
      </c>
      <c r="H78" s="2" t="s">
        <v>349</v>
      </c>
      <c r="I78" s="2" t="s">
        <v>212</v>
      </c>
      <c r="J78" s="2" t="s">
        <v>298</v>
      </c>
      <c r="K78" s="4" t="s">
        <v>27</v>
      </c>
      <c r="L78" s="4" t="s">
        <v>27</v>
      </c>
      <c r="M78" s="4" t="s">
        <v>90</v>
      </c>
      <c r="N78" s="5">
        <v>213574294</v>
      </c>
      <c r="O78" s="2" t="s">
        <v>153</v>
      </c>
      <c r="P78" s="2" t="s">
        <v>30</v>
      </c>
      <c r="Q78" s="4" t="s">
        <v>361</v>
      </c>
    </row>
    <row r="79" spans="1:17" hidden="1" x14ac:dyDescent="0.2">
      <c r="A79" s="2" t="s">
        <v>360</v>
      </c>
      <c r="B79" s="2" t="s">
        <v>362</v>
      </c>
      <c r="C79" s="2" t="s">
        <v>363</v>
      </c>
      <c r="D79" s="2" t="s">
        <v>20</v>
      </c>
      <c r="E79" s="3">
        <v>98584</v>
      </c>
      <c r="F79" s="4" t="s">
        <v>57</v>
      </c>
      <c r="G79" s="2" t="s">
        <v>348</v>
      </c>
      <c r="H79" s="2" t="s">
        <v>349</v>
      </c>
      <c r="I79" s="2" t="s">
        <v>212</v>
      </c>
      <c r="J79" s="2" t="s">
        <v>298</v>
      </c>
      <c r="K79" s="4" t="s">
        <v>27</v>
      </c>
      <c r="L79" s="4" t="s">
        <v>27</v>
      </c>
      <c r="M79" s="4" t="s">
        <v>255</v>
      </c>
      <c r="N79" s="5">
        <v>275407093</v>
      </c>
      <c r="O79" s="2" t="s">
        <v>364</v>
      </c>
      <c r="P79" s="2" t="s">
        <v>365</v>
      </c>
      <c r="Q79" s="4" t="s">
        <v>366</v>
      </c>
    </row>
    <row r="80" spans="1:17" hidden="1" x14ac:dyDescent="0.2">
      <c r="A80" s="2" t="s">
        <v>367</v>
      </c>
      <c r="B80" s="2" t="s">
        <v>40</v>
      </c>
      <c r="C80" s="2" t="s">
        <v>129</v>
      </c>
      <c r="D80" s="2" t="s">
        <v>20</v>
      </c>
      <c r="E80" s="3">
        <v>98258</v>
      </c>
      <c r="F80" s="4" t="s">
        <v>273</v>
      </c>
      <c r="G80" s="2" t="s">
        <v>348</v>
      </c>
      <c r="H80" s="2" t="s">
        <v>349</v>
      </c>
      <c r="I80" s="2" t="s">
        <v>212</v>
      </c>
      <c r="J80" s="2" t="s">
        <v>213</v>
      </c>
      <c r="K80" s="4" t="s">
        <v>350</v>
      </c>
      <c r="L80" s="4" t="s">
        <v>27</v>
      </c>
      <c r="M80" s="4" t="s">
        <v>116</v>
      </c>
      <c r="N80" s="5">
        <v>255194453</v>
      </c>
      <c r="O80" s="2" t="s">
        <v>131</v>
      </c>
      <c r="P80" s="2" t="s">
        <v>30</v>
      </c>
      <c r="Q80" s="4" t="s">
        <v>132</v>
      </c>
    </row>
    <row r="81" spans="1:17" hidden="1" x14ac:dyDescent="0.2">
      <c r="A81" s="2" t="s">
        <v>368</v>
      </c>
      <c r="B81" s="2" t="s">
        <v>33</v>
      </c>
      <c r="C81" s="2" t="s">
        <v>34</v>
      </c>
      <c r="D81" s="2" t="s">
        <v>20</v>
      </c>
      <c r="E81" s="3">
        <v>98027</v>
      </c>
      <c r="F81" s="4" t="s">
        <v>273</v>
      </c>
      <c r="G81" s="2" t="s">
        <v>348</v>
      </c>
      <c r="H81" s="2" t="s">
        <v>349</v>
      </c>
      <c r="I81" s="2" t="s">
        <v>212</v>
      </c>
      <c r="J81" s="2" t="s">
        <v>213</v>
      </c>
      <c r="K81" s="4" t="s">
        <v>350</v>
      </c>
      <c r="L81" s="4" t="s">
        <v>27</v>
      </c>
      <c r="M81" s="4" t="s">
        <v>35</v>
      </c>
      <c r="N81" s="5">
        <v>255322833</v>
      </c>
      <c r="O81" s="2" t="s">
        <v>36</v>
      </c>
      <c r="P81" s="2" t="s">
        <v>37</v>
      </c>
      <c r="Q81" s="4" t="s">
        <v>369</v>
      </c>
    </row>
    <row r="82" spans="1:17" hidden="1" x14ac:dyDescent="0.2">
      <c r="A82" s="2" t="s">
        <v>370</v>
      </c>
      <c r="B82" s="2" t="s">
        <v>40</v>
      </c>
      <c r="C82" s="2" t="s">
        <v>268</v>
      </c>
      <c r="D82" s="2" t="s">
        <v>20</v>
      </c>
      <c r="E82" s="3">
        <v>98020</v>
      </c>
      <c r="F82" s="4" t="s">
        <v>371</v>
      </c>
      <c r="G82" s="2" t="s">
        <v>348</v>
      </c>
      <c r="H82" s="2" t="s">
        <v>349</v>
      </c>
      <c r="I82" s="2" t="s">
        <v>212</v>
      </c>
      <c r="J82" s="2" t="s">
        <v>213</v>
      </c>
      <c r="K82" s="4" t="s">
        <v>350</v>
      </c>
      <c r="L82" s="4" t="s">
        <v>27</v>
      </c>
      <c r="M82" s="4" t="s">
        <v>26</v>
      </c>
      <c r="N82" s="5">
        <v>277522752</v>
      </c>
      <c r="O82" s="2" t="s">
        <v>269</v>
      </c>
      <c r="P82" s="2" t="s">
        <v>30</v>
      </c>
      <c r="Q82" s="4" t="s">
        <v>372</v>
      </c>
    </row>
    <row r="83" spans="1:17" hidden="1" x14ac:dyDescent="0.2">
      <c r="A83" s="2" t="s">
        <v>373</v>
      </c>
      <c r="B83" s="2" t="s">
        <v>18</v>
      </c>
      <c r="C83" s="2" t="s">
        <v>374</v>
      </c>
      <c r="D83" s="2" t="s">
        <v>20</v>
      </c>
      <c r="E83" s="3">
        <v>98346</v>
      </c>
      <c r="F83" s="4" t="s">
        <v>21</v>
      </c>
      <c r="G83" s="2" t="s">
        <v>348</v>
      </c>
      <c r="H83" s="2" t="s">
        <v>349</v>
      </c>
      <c r="I83" s="2" t="s">
        <v>212</v>
      </c>
      <c r="J83" s="2" t="s">
        <v>298</v>
      </c>
      <c r="K83" s="4" t="s">
        <v>27</v>
      </c>
      <c r="L83" s="4" t="s">
        <v>27</v>
      </c>
      <c r="M83" s="4" t="s">
        <v>28</v>
      </c>
      <c r="N83" s="5">
        <v>266558155</v>
      </c>
      <c r="O83" s="2" t="s">
        <v>375</v>
      </c>
      <c r="P83" s="2" t="s">
        <v>30</v>
      </c>
      <c r="Q83" s="4" t="s">
        <v>376</v>
      </c>
    </row>
    <row r="84" spans="1:17" hidden="1" x14ac:dyDescent="0.2">
      <c r="A84" s="2" t="s">
        <v>377</v>
      </c>
      <c r="B84" s="2" t="s">
        <v>33</v>
      </c>
      <c r="C84" s="2" t="s">
        <v>169</v>
      </c>
      <c r="D84" s="2" t="s">
        <v>20</v>
      </c>
      <c r="E84" s="3">
        <v>98033</v>
      </c>
      <c r="F84" s="4" t="s">
        <v>273</v>
      </c>
      <c r="G84" s="2" t="s">
        <v>348</v>
      </c>
      <c r="H84" s="2" t="s">
        <v>349</v>
      </c>
      <c r="I84" s="2" t="s">
        <v>212</v>
      </c>
      <c r="J84" s="2" t="s">
        <v>213</v>
      </c>
      <c r="K84" s="4" t="s">
        <v>350</v>
      </c>
      <c r="L84" s="4" t="s">
        <v>27</v>
      </c>
      <c r="M84" s="4" t="s">
        <v>198</v>
      </c>
      <c r="N84" s="5">
        <v>255850605</v>
      </c>
      <c r="O84" s="2" t="s">
        <v>204</v>
      </c>
      <c r="P84" s="2" t="s">
        <v>37</v>
      </c>
      <c r="Q84" s="4" t="s">
        <v>378</v>
      </c>
    </row>
    <row r="85" spans="1:17" hidden="1" x14ac:dyDescent="0.2">
      <c r="A85" s="2" t="s">
        <v>379</v>
      </c>
      <c r="B85" s="2" t="s">
        <v>33</v>
      </c>
      <c r="C85" s="2" t="s">
        <v>83</v>
      </c>
      <c r="D85" s="2" t="s">
        <v>20</v>
      </c>
      <c r="E85" s="3">
        <v>98199</v>
      </c>
      <c r="F85" s="4" t="s">
        <v>371</v>
      </c>
      <c r="G85" s="2" t="s">
        <v>348</v>
      </c>
      <c r="H85" s="2" t="s">
        <v>349</v>
      </c>
      <c r="I85" s="2" t="s">
        <v>212</v>
      </c>
      <c r="J85" s="2" t="s">
        <v>213</v>
      </c>
      <c r="K85" s="4" t="s">
        <v>350</v>
      </c>
      <c r="L85" s="4" t="s">
        <v>27</v>
      </c>
      <c r="M85" s="4" t="s">
        <v>84</v>
      </c>
      <c r="N85" s="5">
        <v>237722985</v>
      </c>
      <c r="O85" s="2" t="s">
        <v>380</v>
      </c>
      <c r="P85" s="2" t="s">
        <v>86</v>
      </c>
      <c r="Q85" s="4" t="s">
        <v>381</v>
      </c>
    </row>
    <row r="86" spans="1:17" hidden="1" x14ac:dyDescent="0.2">
      <c r="A86" s="2" t="s">
        <v>382</v>
      </c>
      <c r="B86" s="2" t="s">
        <v>40</v>
      </c>
      <c r="C86" s="2" t="s">
        <v>383</v>
      </c>
      <c r="D86" s="2" t="s">
        <v>20</v>
      </c>
      <c r="E86" s="3">
        <v>98208</v>
      </c>
      <c r="F86" s="4" t="s">
        <v>273</v>
      </c>
      <c r="G86" s="2" t="s">
        <v>348</v>
      </c>
      <c r="H86" s="2" t="s">
        <v>349</v>
      </c>
      <c r="I86" s="2" t="s">
        <v>212</v>
      </c>
      <c r="J86" s="2" t="s">
        <v>213</v>
      </c>
      <c r="K86" s="4" t="s">
        <v>350</v>
      </c>
      <c r="L86" s="4" t="s">
        <v>27</v>
      </c>
      <c r="M86" s="4" t="s">
        <v>116</v>
      </c>
      <c r="N86" s="5">
        <v>321043404</v>
      </c>
      <c r="O86" s="2" t="s">
        <v>384</v>
      </c>
      <c r="P86" s="2" t="s">
        <v>30</v>
      </c>
      <c r="Q86" s="4" t="s">
        <v>385</v>
      </c>
    </row>
    <row r="87" spans="1:17" hidden="1" x14ac:dyDescent="0.2">
      <c r="A87" s="2" t="s">
        <v>386</v>
      </c>
      <c r="B87" s="2" t="s">
        <v>94</v>
      </c>
      <c r="C87" s="2" t="s">
        <v>387</v>
      </c>
      <c r="D87" s="2" t="s">
        <v>20</v>
      </c>
      <c r="E87" s="3">
        <v>98236</v>
      </c>
      <c r="F87" s="4" t="s">
        <v>273</v>
      </c>
      <c r="G87" s="2" t="s">
        <v>348</v>
      </c>
      <c r="H87" s="2" t="s">
        <v>349</v>
      </c>
      <c r="I87" s="2" t="s">
        <v>212</v>
      </c>
      <c r="J87" s="2" t="s">
        <v>213</v>
      </c>
      <c r="K87" s="4" t="s">
        <v>350</v>
      </c>
      <c r="L87" s="4" t="s">
        <v>27</v>
      </c>
      <c r="M87" s="4" t="s">
        <v>96</v>
      </c>
      <c r="N87" s="5">
        <v>273835145</v>
      </c>
      <c r="O87" s="2" t="s">
        <v>388</v>
      </c>
      <c r="P87" s="2" t="s">
        <v>30</v>
      </c>
      <c r="Q87" s="4" t="s">
        <v>389</v>
      </c>
    </row>
    <row r="88" spans="1:17" hidden="1" x14ac:dyDescent="0.2">
      <c r="A88" s="2" t="s">
        <v>390</v>
      </c>
      <c r="B88" s="2" t="s">
        <v>331</v>
      </c>
      <c r="C88" s="2" t="s">
        <v>331</v>
      </c>
      <c r="D88" s="2" t="s">
        <v>20</v>
      </c>
      <c r="E88" s="3">
        <v>99203</v>
      </c>
      <c r="F88" s="4" t="s">
        <v>371</v>
      </c>
      <c r="G88" s="2" t="s">
        <v>348</v>
      </c>
      <c r="H88" s="2" t="s">
        <v>349</v>
      </c>
      <c r="I88" s="2" t="s">
        <v>212</v>
      </c>
      <c r="J88" s="2" t="s">
        <v>213</v>
      </c>
      <c r="K88" s="4" t="s">
        <v>350</v>
      </c>
      <c r="L88" s="4" t="s">
        <v>27</v>
      </c>
      <c r="M88" s="4" t="s">
        <v>391</v>
      </c>
      <c r="N88" s="5">
        <v>8804120</v>
      </c>
      <c r="O88" s="2" t="s">
        <v>392</v>
      </c>
      <c r="P88" s="2" t="s">
        <v>393</v>
      </c>
      <c r="Q88" s="4" t="s">
        <v>394</v>
      </c>
    </row>
    <row r="89" spans="1:17" hidden="1" x14ac:dyDescent="0.2">
      <c r="A89" s="2" t="s">
        <v>395</v>
      </c>
      <c r="B89" s="2" t="s">
        <v>33</v>
      </c>
      <c r="C89" s="2" t="s">
        <v>396</v>
      </c>
      <c r="D89" s="2" t="s">
        <v>20</v>
      </c>
      <c r="E89" s="3">
        <v>98168</v>
      </c>
      <c r="F89" s="4" t="s">
        <v>21</v>
      </c>
      <c r="G89" s="2" t="s">
        <v>348</v>
      </c>
      <c r="H89" s="2" t="s">
        <v>349</v>
      </c>
      <c r="I89" s="2" t="s">
        <v>212</v>
      </c>
      <c r="J89" s="2" t="s">
        <v>298</v>
      </c>
      <c r="K89" s="4" t="s">
        <v>27</v>
      </c>
      <c r="L89" s="4" t="s">
        <v>27</v>
      </c>
      <c r="M89" s="4" t="s">
        <v>140</v>
      </c>
      <c r="N89" s="5">
        <v>244080315</v>
      </c>
      <c r="O89" s="2" t="s">
        <v>397</v>
      </c>
      <c r="P89" s="2" t="s">
        <v>86</v>
      </c>
      <c r="Q89" s="4" t="s">
        <v>398</v>
      </c>
    </row>
    <row r="90" spans="1:17" hidden="1" x14ac:dyDescent="0.2">
      <c r="A90" s="2" t="s">
        <v>399</v>
      </c>
      <c r="B90" s="2" t="s">
        <v>33</v>
      </c>
      <c r="C90" s="2" t="s">
        <v>400</v>
      </c>
      <c r="D90" s="2" t="s">
        <v>20</v>
      </c>
      <c r="E90" s="3">
        <v>98040</v>
      </c>
      <c r="F90" s="4" t="s">
        <v>401</v>
      </c>
      <c r="G90" s="2" t="s">
        <v>348</v>
      </c>
      <c r="H90" s="2" t="s">
        <v>349</v>
      </c>
      <c r="I90" s="2" t="s">
        <v>212</v>
      </c>
      <c r="J90" s="2" t="s">
        <v>213</v>
      </c>
      <c r="K90" s="4" t="s">
        <v>402</v>
      </c>
      <c r="L90" s="4" t="s">
        <v>27</v>
      </c>
      <c r="M90" s="4" t="s">
        <v>403</v>
      </c>
      <c r="N90" s="5">
        <v>142049015</v>
      </c>
      <c r="O90" s="2" t="s">
        <v>404</v>
      </c>
      <c r="P90" s="2" t="s">
        <v>37</v>
      </c>
      <c r="Q90" s="4" t="s">
        <v>405</v>
      </c>
    </row>
    <row r="91" spans="1:17" hidden="1" x14ac:dyDescent="0.2">
      <c r="A91" s="2" t="s">
        <v>406</v>
      </c>
      <c r="B91" s="2" t="s">
        <v>207</v>
      </c>
      <c r="C91" s="2" t="s">
        <v>407</v>
      </c>
      <c r="D91" s="2" t="s">
        <v>20</v>
      </c>
      <c r="E91" s="3">
        <v>98232</v>
      </c>
      <c r="F91" s="4" t="s">
        <v>408</v>
      </c>
      <c r="G91" s="2" t="s">
        <v>348</v>
      </c>
      <c r="H91" s="2" t="s">
        <v>349</v>
      </c>
      <c r="I91" s="2" t="s">
        <v>212</v>
      </c>
      <c r="J91" s="2" t="s">
        <v>213</v>
      </c>
      <c r="K91" s="4" t="s">
        <v>350</v>
      </c>
      <c r="L91" s="4" t="s">
        <v>27</v>
      </c>
      <c r="M91" s="4" t="s">
        <v>409</v>
      </c>
      <c r="N91" s="5">
        <v>280739917</v>
      </c>
      <c r="O91" s="2" t="s">
        <v>410</v>
      </c>
      <c r="P91" s="2" t="s">
        <v>30</v>
      </c>
      <c r="Q91" s="4" t="s">
        <v>411</v>
      </c>
    </row>
    <row r="92" spans="1:17" hidden="1" x14ac:dyDescent="0.2">
      <c r="A92" s="2" t="s">
        <v>412</v>
      </c>
      <c r="B92" s="2" t="s">
        <v>33</v>
      </c>
      <c r="C92" s="2" t="s">
        <v>169</v>
      </c>
      <c r="D92" s="2" t="s">
        <v>20</v>
      </c>
      <c r="E92" s="3">
        <v>98034</v>
      </c>
      <c r="F92" s="4" t="s">
        <v>401</v>
      </c>
      <c r="G92" s="2" t="s">
        <v>348</v>
      </c>
      <c r="H92" s="2" t="s">
        <v>349</v>
      </c>
      <c r="I92" s="2" t="s">
        <v>212</v>
      </c>
      <c r="J92" s="2" t="s">
        <v>213</v>
      </c>
      <c r="K92" s="4" t="s">
        <v>402</v>
      </c>
      <c r="L92" s="4" t="s">
        <v>27</v>
      </c>
      <c r="M92" s="4" t="s">
        <v>170</v>
      </c>
      <c r="N92" s="5">
        <v>259444125</v>
      </c>
      <c r="O92" s="2" t="s">
        <v>171</v>
      </c>
      <c r="P92" s="2" t="s">
        <v>37</v>
      </c>
      <c r="Q92" s="4" t="s">
        <v>172</v>
      </c>
    </row>
    <row r="93" spans="1:17" hidden="1" x14ac:dyDescent="0.2">
      <c r="A93" s="2" t="s">
        <v>412</v>
      </c>
      <c r="B93" s="2" t="s">
        <v>33</v>
      </c>
      <c r="C93" s="2" t="s">
        <v>83</v>
      </c>
      <c r="D93" s="2" t="s">
        <v>20</v>
      </c>
      <c r="E93" s="3">
        <v>98199</v>
      </c>
      <c r="F93" s="4" t="s">
        <v>401</v>
      </c>
      <c r="G93" s="2" t="s">
        <v>348</v>
      </c>
      <c r="H93" s="2" t="s">
        <v>349</v>
      </c>
      <c r="I93" s="2" t="s">
        <v>212</v>
      </c>
      <c r="J93" s="2" t="s">
        <v>213</v>
      </c>
      <c r="K93" s="4" t="s">
        <v>402</v>
      </c>
      <c r="L93" s="4" t="s">
        <v>27</v>
      </c>
      <c r="M93" s="4" t="s">
        <v>84</v>
      </c>
      <c r="N93" s="5">
        <v>106231233</v>
      </c>
      <c r="O93" s="2" t="s">
        <v>380</v>
      </c>
      <c r="P93" s="2" t="s">
        <v>86</v>
      </c>
      <c r="Q93" s="4" t="s">
        <v>413</v>
      </c>
    </row>
    <row r="94" spans="1:17" hidden="1" x14ac:dyDescent="0.2">
      <c r="A94" s="2" t="s">
        <v>414</v>
      </c>
      <c r="B94" s="2" t="s">
        <v>55</v>
      </c>
      <c r="C94" s="2" t="s">
        <v>63</v>
      </c>
      <c r="D94" s="2" t="s">
        <v>20</v>
      </c>
      <c r="E94" s="3">
        <v>98663</v>
      </c>
      <c r="F94" s="4" t="s">
        <v>21</v>
      </c>
      <c r="G94" s="2" t="s">
        <v>348</v>
      </c>
      <c r="H94" s="2" t="s">
        <v>415</v>
      </c>
      <c r="I94" s="2" t="s">
        <v>212</v>
      </c>
      <c r="J94" s="2" t="s">
        <v>298</v>
      </c>
      <c r="K94" s="4" t="s">
        <v>27</v>
      </c>
      <c r="L94" s="4" t="s">
        <v>27</v>
      </c>
      <c r="M94" s="4" t="s">
        <v>191</v>
      </c>
      <c r="N94" s="5">
        <v>271227841</v>
      </c>
      <c r="O94" s="2" t="s">
        <v>416</v>
      </c>
      <c r="P94" s="2" t="s">
        <v>60</v>
      </c>
      <c r="Q94" s="4" t="s">
        <v>417</v>
      </c>
    </row>
    <row r="95" spans="1:17" hidden="1" x14ac:dyDescent="0.2">
      <c r="A95" s="2" t="s">
        <v>418</v>
      </c>
      <c r="B95" s="2" t="s">
        <v>55</v>
      </c>
      <c r="C95" s="2" t="s">
        <v>63</v>
      </c>
      <c r="D95" s="2" t="s">
        <v>20</v>
      </c>
      <c r="E95" s="3">
        <v>98685</v>
      </c>
      <c r="F95" s="4" t="s">
        <v>401</v>
      </c>
      <c r="G95" s="2" t="s">
        <v>348</v>
      </c>
      <c r="H95" s="2" t="s">
        <v>349</v>
      </c>
      <c r="I95" s="2" t="s">
        <v>212</v>
      </c>
      <c r="J95" s="2" t="s">
        <v>213</v>
      </c>
      <c r="K95" s="4" t="s">
        <v>402</v>
      </c>
      <c r="L95" s="4" t="s">
        <v>27</v>
      </c>
      <c r="M95" s="4" t="s">
        <v>58</v>
      </c>
      <c r="N95" s="5">
        <v>253161149</v>
      </c>
      <c r="O95" s="2" t="s">
        <v>299</v>
      </c>
      <c r="P95" s="2" t="s">
        <v>60</v>
      </c>
      <c r="Q95" s="4" t="s">
        <v>419</v>
      </c>
    </row>
    <row r="96" spans="1:17" hidden="1" x14ac:dyDescent="0.2">
      <c r="A96" s="2" t="s">
        <v>420</v>
      </c>
      <c r="B96" s="2" t="s">
        <v>48</v>
      </c>
      <c r="C96" s="2" t="s">
        <v>48</v>
      </c>
      <c r="D96" s="2" t="s">
        <v>20</v>
      </c>
      <c r="E96" s="3">
        <v>98902</v>
      </c>
      <c r="F96" s="4" t="s">
        <v>401</v>
      </c>
      <c r="G96" s="2" t="s">
        <v>348</v>
      </c>
      <c r="H96" s="2" t="s">
        <v>349</v>
      </c>
      <c r="I96" s="2" t="s">
        <v>212</v>
      </c>
      <c r="J96" s="2" t="s">
        <v>213</v>
      </c>
      <c r="K96" s="4" t="s">
        <v>402</v>
      </c>
      <c r="L96" s="4" t="s">
        <v>27</v>
      </c>
      <c r="M96" s="4" t="s">
        <v>50</v>
      </c>
      <c r="N96" s="5">
        <v>262454412</v>
      </c>
      <c r="O96" s="2" t="s">
        <v>421</v>
      </c>
      <c r="P96" s="2" t="s">
        <v>52</v>
      </c>
      <c r="Q96" s="4" t="s">
        <v>422</v>
      </c>
    </row>
    <row r="97" spans="1:17" hidden="1" x14ac:dyDescent="0.2">
      <c r="A97" s="2" t="s">
        <v>423</v>
      </c>
      <c r="B97" s="2" t="s">
        <v>151</v>
      </c>
      <c r="C97" s="2" t="s">
        <v>250</v>
      </c>
      <c r="D97" s="2" t="s">
        <v>20</v>
      </c>
      <c r="E97" s="3">
        <v>98512</v>
      </c>
      <c r="F97" s="4" t="s">
        <v>408</v>
      </c>
      <c r="G97" s="2" t="s">
        <v>348</v>
      </c>
      <c r="H97" s="2" t="s">
        <v>349</v>
      </c>
      <c r="I97" s="2" t="s">
        <v>212</v>
      </c>
      <c r="J97" s="2" t="s">
        <v>213</v>
      </c>
      <c r="K97" s="4" t="s">
        <v>350</v>
      </c>
      <c r="L97" s="4" t="s">
        <v>27</v>
      </c>
      <c r="M97" s="4" t="s">
        <v>90</v>
      </c>
      <c r="N97" s="5">
        <v>4253749</v>
      </c>
      <c r="O97" s="2" t="s">
        <v>256</v>
      </c>
      <c r="P97" s="2" t="s">
        <v>30</v>
      </c>
      <c r="Q97" s="4" t="s">
        <v>424</v>
      </c>
    </row>
    <row r="98" spans="1:17" hidden="1" x14ac:dyDescent="0.2">
      <c r="A98" s="2" t="s">
        <v>425</v>
      </c>
      <c r="B98" s="2" t="s">
        <v>207</v>
      </c>
      <c r="C98" s="2" t="s">
        <v>426</v>
      </c>
      <c r="D98" s="2" t="s">
        <v>20</v>
      </c>
      <c r="E98" s="3">
        <v>98257</v>
      </c>
      <c r="F98" s="4" t="s">
        <v>42</v>
      </c>
      <c r="G98" s="2" t="s">
        <v>348</v>
      </c>
      <c r="H98" s="2" t="s">
        <v>349</v>
      </c>
      <c r="I98" s="2" t="s">
        <v>212</v>
      </c>
      <c r="J98" s="2" t="s">
        <v>298</v>
      </c>
      <c r="K98" s="4" t="s">
        <v>27</v>
      </c>
      <c r="L98" s="4" t="s">
        <v>27</v>
      </c>
      <c r="M98" s="4" t="s">
        <v>96</v>
      </c>
      <c r="N98" s="5">
        <v>154451293</v>
      </c>
      <c r="O98" s="2" t="s">
        <v>427</v>
      </c>
      <c r="P98" s="2" t="s">
        <v>30</v>
      </c>
      <c r="Q98" s="4" t="s">
        <v>428</v>
      </c>
    </row>
    <row r="99" spans="1:17" hidden="1" x14ac:dyDescent="0.2">
      <c r="A99" s="2" t="s">
        <v>429</v>
      </c>
      <c r="B99" s="2" t="s">
        <v>33</v>
      </c>
      <c r="C99" s="2" t="s">
        <v>430</v>
      </c>
      <c r="D99" s="2" t="s">
        <v>20</v>
      </c>
      <c r="E99" s="3">
        <v>98070</v>
      </c>
      <c r="F99" s="4" t="s">
        <v>57</v>
      </c>
      <c r="G99" s="2" t="s">
        <v>348</v>
      </c>
      <c r="H99" s="2" t="s">
        <v>415</v>
      </c>
      <c r="I99" s="2" t="s">
        <v>212</v>
      </c>
      <c r="J99" s="2" t="s">
        <v>298</v>
      </c>
      <c r="K99" s="4" t="s">
        <v>27</v>
      </c>
      <c r="L99" s="4" t="s">
        <v>27</v>
      </c>
      <c r="M99" s="4" t="s">
        <v>319</v>
      </c>
      <c r="N99" s="5">
        <v>273655679</v>
      </c>
      <c r="O99" s="2" t="s">
        <v>431</v>
      </c>
      <c r="P99" s="2" t="s">
        <v>37</v>
      </c>
      <c r="Q99" s="4" t="s">
        <v>432</v>
      </c>
    </row>
    <row r="100" spans="1:17" hidden="1" x14ac:dyDescent="0.2">
      <c r="A100" s="2" t="s">
        <v>433</v>
      </c>
      <c r="B100" s="2" t="s">
        <v>33</v>
      </c>
      <c r="C100" s="2" t="s">
        <v>83</v>
      </c>
      <c r="D100" s="2" t="s">
        <v>20</v>
      </c>
      <c r="E100" s="3">
        <v>98125</v>
      </c>
      <c r="F100" s="4" t="s">
        <v>42</v>
      </c>
      <c r="G100" s="2" t="s">
        <v>348</v>
      </c>
      <c r="H100" s="2" t="s">
        <v>349</v>
      </c>
      <c r="I100" s="2" t="s">
        <v>212</v>
      </c>
      <c r="J100" s="2" t="s">
        <v>298</v>
      </c>
      <c r="K100" s="4" t="s">
        <v>27</v>
      </c>
      <c r="L100" s="4" t="s">
        <v>27</v>
      </c>
      <c r="M100" s="4" t="s">
        <v>278</v>
      </c>
      <c r="N100" s="5">
        <v>281963601</v>
      </c>
      <c r="O100" s="2" t="s">
        <v>279</v>
      </c>
      <c r="P100" s="2" t="s">
        <v>86</v>
      </c>
      <c r="Q100" s="4" t="s">
        <v>434</v>
      </c>
    </row>
    <row r="101" spans="1:17" hidden="1" x14ac:dyDescent="0.2">
      <c r="A101" s="2" t="s">
        <v>435</v>
      </c>
      <c r="B101" s="2" t="s">
        <v>33</v>
      </c>
      <c r="C101" s="2" t="s">
        <v>83</v>
      </c>
      <c r="D101" s="2" t="s">
        <v>20</v>
      </c>
      <c r="E101" s="3">
        <v>98109</v>
      </c>
      <c r="F101" s="4" t="s">
        <v>57</v>
      </c>
      <c r="G101" s="2" t="s">
        <v>348</v>
      </c>
      <c r="H101" s="2" t="s">
        <v>415</v>
      </c>
      <c r="I101" s="2" t="s">
        <v>212</v>
      </c>
      <c r="J101" s="2" t="s">
        <v>298</v>
      </c>
      <c r="K101" s="4" t="s">
        <v>27</v>
      </c>
      <c r="L101" s="4" t="s">
        <v>27</v>
      </c>
      <c r="M101" s="4" t="s">
        <v>436</v>
      </c>
      <c r="N101" s="5">
        <v>221066345</v>
      </c>
      <c r="O101" s="2" t="s">
        <v>437</v>
      </c>
      <c r="P101" s="2" t="s">
        <v>86</v>
      </c>
      <c r="Q101" s="4" t="s">
        <v>438</v>
      </c>
    </row>
    <row r="102" spans="1:17" hidden="1" x14ac:dyDescent="0.2">
      <c r="A102" s="2" t="s">
        <v>439</v>
      </c>
      <c r="B102" s="2" t="s">
        <v>33</v>
      </c>
      <c r="C102" s="2" t="s">
        <v>83</v>
      </c>
      <c r="D102" s="2" t="s">
        <v>20</v>
      </c>
      <c r="E102" s="3">
        <v>98126</v>
      </c>
      <c r="F102" s="4" t="s">
        <v>21</v>
      </c>
      <c r="G102" s="2" t="s">
        <v>348</v>
      </c>
      <c r="H102" s="2" t="s">
        <v>415</v>
      </c>
      <c r="I102" s="2" t="s">
        <v>212</v>
      </c>
      <c r="J102" s="2" t="s">
        <v>298</v>
      </c>
      <c r="K102" s="4" t="s">
        <v>27</v>
      </c>
      <c r="L102" s="4" t="s">
        <v>27</v>
      </c>
      <c r="M102" s="4" t="s">
        <v>319</v>
      </c>
      <c r="N102" s="5">
        <v>244302698</v>
      </c>
      <c r="O102" s="2" t="s">
        <v>440</v>
      </c>
      <c r="P102" s="2" t="s">
        <v>86</v>
      </c>
      <c r="Q102" s="4" t="s">
        <v>441</v>
      </c>
    </row>
    <row r="103" spans="1:17" hidden="1" x14ac:dyDescent="0.2">
      <c r="A103" s="2" t="s">
        <v>442</v>
      </c>
      <c r="B103" s="2" t="s">
        <v>443</v>
      </c>
      <c r="C103" s="2" t="s">
        <v>444</v>
      </c>
      <c r="D103" s="2" t="s">
        <v>20</v>
      </c>
      <c r="E103" s="3">
        <v>98245</v>
      </c>
      <c r="F103" s="4" t="s">
        <v>401</v>
      </c>
      <c r="G103" s="2" t="s">
        <v>348</v>
      </c>
      <c r="H103" s="2" t="s">
        <v>349</v>
      </c>
      <c r="I103" s="2" t="s">
        <v>212</v>
      </c>
      <c r="J103" s="2" t="s">
        <v>213</v>
      </c>
      <c r="K103" s="4" t="s">
        <v>402</v>
      </c>
      <c r="L103" s="4" t="s">
        <v>27</v>
      </c>
      <c r="M103" s="4" t="s">
        <v>409</v>
      </c>
      <c r="N103" s="5">
        <v>270707062</v>
      </c>
      <c r="O103" s="2" t="s">
        <v>445</v>
      </c>
      <c r="P103" s="2" t="s">
        <v>446</v>
      </c>
      <c r="Q103" s="4" t="s">
        <v>447</v>
      </c>
    </row>
    <row r="104" spans="1:17" hidden="1" x14ac:dyDescent="0.2">
      <c r="A104" s="2" t="s">
        <v>442</v>
      </c>
      <c r="B104" s="2" t="s">
        <v>33</v>
      </c>
      <c r="C104" s="2" t="s">
        <v>146</v>
      </c>
      <c r="D104" s="2" t="s">
        <v>20</v>
      </c>
      <c r="E104" s="3">
        <v>98005</v>
      </c>
      <c r="F104" s="4" t="s">
        <v>401</v>
      </c>
      <c r="G104" s="2" t="s">
        <v>348</v>
      </c>
      <c r="H104" s="2" t="s">
        <v>349</v>
      </c>
      <c r="I104" s="2" t="s">
        <v>212</v>
      </c>
      <c r="J104" s="2" t="s">
        <v>213</v>
      </c>
      <c r="K104" s="4" t="s">
        <v>402</v>
      </c>
      <c r="L104" s="4" t="s">
        <v>27</v>
      </c>
      <c r="M104" s="4" t="s">
        <v>147</v>
      </c>
      <c r="N104" s="5">
        <v>133030117</v>
      </c>
      <c r="O104" s="2" t="s">
        <v>448</v>
      </c>
      <c r="P104" s="2" t="s">
        <v>37</v>
      </c>
      <c r="Q104" s="4" t="s">
        <v>449</v>
      </c>
    </row>
    <row r="105" spans="1:17" hidden="1" x14ac:dyDescent="0.2">
      <c r="A105" s="2" t="s">
        <v>450</v>
      </c>
      <c r="B105" s="2" t="s">
        <v>33</v>
      </c>
      <c r="C105" s="2" t="s">
        <v>451</v>
      </c>
      <c r="D105" s="2" t="s">
        <v>20</v>
      </c>
      <c r="E105" s="3">
        <v>98075</v>
      </c>
      <c r="F105" s="4" t="s">
        <v>401</v>
      </c>
      <c r="G105" s="2" t="s">
        <v>348</v>
      </c>
      <c r="H105" s="2" t="s">
        <v>349</v>
      </c>
      <c r="I105" s="2" t="s">
        <v>212</v>
      </c>
      <c r="J105" s="2" t="s">
        <v>213</v>
      </c>
      <c r="K105" s="4" t="s">
        <v>402</v>
      </c>
      <c r="L105" s="4" t="s">
        <v>27</v>
      </c>
      <c r="M105" s="4" t="s">
        <v>403</v>
      </c>
      <c r="N105" s="5">
        <v>272901499</v>
      </c>
      <c r="O105" s="2" t="s">
        <v>452</v>
      </c>
      <c r="P105" s="2" t="s">
        <v>37</v>
      </c>
      <c r="Q105" s="4" t="s">
        <v>453</v>
      </c>
    </row>
    <row r="106" spans="1:17" hidden="1" x14ac:dyDescent="0.2">
      <c r="A106" s="2" t="s">
        <v>454</v>
      </c>
      <c r="B106" s="2" t="s">
        <v>40</v>
      </c>
      <c r="C106" s="2" t="s">
        <v>89</v>
      </c>
      <c r="D106" s="2" t="s">
        <v>20</v>
      </c>
      <c r="E106" s="3">
        <v>98021</v>
      </c>
      <c r="F106" s="4" t="s">
        <v>21</v>
      </c>
      <c r="G106" s="2" t="s">
        <v>348</v>
      </c>
      <c r="H106" s="2" t="s">
        <v>415</v>
      </c>
      <c r="I106" s="2" t="s">
        <v>212</v>
      </c>
      <c r="J106" s="2" t="s">
        <v>298</v>
      </c>
      <c r="K106" s="4" t="s">
        <v>27</v>
      </c>
      <c r="L106" s="4" t="s">
        <v>27</v>
      </c>
      <c r="M106" s="4" t="s">
        <v>170</v>
      </c>
      <c r="N106" s="5">
        <v>271633183</v>
      </c>
      <c r="O106" s="2" t="s">
        <v>247</v>
      </c>
      <c r="P106" s="2" t="s">
        <v>30</v>
      </c>
      <c r="Q106" s="4" t="s">
        <v>248</v>
      </c>
    </row>
    <row r="107" spans="1:17" hidden="1" x14ac:dyDescent="0.2">
      <c r="A107" s="2" t="s">
        <v>454</v>
      </c>
      <c r="B107" s="2" t="s">
        <v>33</v>
      </c>
      <c r="C107" s="2" t="s">
        <v>83</v>
      </c>
      <c r="D107" s="2" t="s">
        <v>20</v>
      </c>
      <c r="E107" s="3">
        <v>98105</v>
      </c>
      <c r="F107" s="4" t="s">
        <v>21</v>
      </c>
      <c r="G107" s="2" t="s">
        <v>348</v>
      </c>
      <c r="H107" s="2" t="s">
        <v>415</v>
      </c>
      <c r="I107" s="2" t="s">
        <v>212</v>
      </c>
      <c r="J107" s="2" t="s">
        <v>298</v>
      </c>
      <c r="K107" s="4" t="s">
        <v>27</v>
      </c>
      <c r="L107" s="4" t="s">
        <v>27</v>
      </c>
      <c r="M107" s="4" t="s">
        <v>436</v>
      </c>
      <c r="N107" s="5">
        <v>264879975</v>
      </c>
      <c r="O107" s="2" t="s">
        <v>455</v>
      </c>
      <c r="P107" s="2" t="s">
        <v>86</v>
      </c>
      <c r="Q107" s="4" t="s">
        <v>456</v>
      </c>
    </row>
    <row r="108" spans="1:17" hidden="1" x14ac:dyDescent="0.2">
      <c r="A108" s="2" t="s">
        <v>457</v>
      </c>
      <c r="B108" s="2" t="s">
        <v>33</v>
      </c>
      <c r="C108" s="2" t="s">
        <v>186</v>
      </c>
      <c r="D108" s="2" t="s">
        <v>20</v>
      </c>
      <c r="E108" s="3">
        <v>98003</v>
      </c>
      <c r="F108" s="4" t="s">
        <v>408</v>
      </c>
      <c r="G108" s="2" t="s">
        <v>348</v>
      </c>
      <c r="H108" s="2" t="s">
        <v>349</v>
      </c>
      <c r="I108" s="2" t="s">
        <v>212</v>
      </c>
      <c r="J108" s="2" t="s">
        <v>213</v>
      </c>
      <c r="K108" s="4" t="s">
        <v>350</v>
      </c>
      <c r="L108" s="4" t="s">
        <v>27</v>
      </c>
      <c r="M108" s="4" t="s">
        <v>187</v>
      </c>
      <c r="N108" s="5">
        <v>283290472</v>
      </c>
      <c r="O108" s="2" t="s">
        <v>458</v>
      </c>
      <c r="P108" s="2" t="s">
        <v>37</v>
      </c>
      <c r="Q108" s="4" t="s">
        <v>189</v>
      </c>
    </row>
    <row r="109" spans="1:17" hidden="1" x14ac:dyDescent="0.2">
      <c r="A109" s="2" t="s">
        <v>459</v>
      </c>
      <c r="B109" s="2" t="s">
        <v>40</v>
      </c>
      <c r="C109" s="2" t="s">
        <v>129</v>
      </c>
      <c r="D109" s="2" t="s">
        <v>20</v>
      </c>
      <c r="E109" s="3">
        <v>98258</v>
      </c>
      <c r="F109" s="4" t="s">
        <v>401</v>
      </c>
      <c r="G109" s="2" t="s">
        <v>348</v>
      </c>
      <c r="H109" s="2" t="s">
        <v>349</v>
      </c>
      <c r="I109" s="2" t="s">
        <v>212</v>
      </c>
      <c r="J109" s="2" t="s">
        <v>213</v>
      </c>
      <c r="K109" s="4" t="s">
        <v>402</v>
      </c>
      <c r="L109" s="4" t="s">
        <v>27</v>
      </c>
      <c r="M109" s="4" t="s">
        <v>116</v>
      </c>
      <c r="N109" s="5">
        <v>276571907</v>
      </c>
      <c r="O109" s="2" t="s">
        <v>131</v>
      </c>
      <c r="P109" s="2" t="s">
        <v>30</v>
      </c>
      <c r="Q109" s="4" t="s">
        <v>460</v>
      </c>
    </row>
    <row r="110" spans="1:17" hidden="1" x14ac:dyDescent="0.2">
      <c r="A110" s="2" t="s">
        <v>461</v>
      </c>
      <c r="B110" s="2" t="s">
        <v>55</v>
      </c>
      <c r="C110" s="2" t="s">
        <v>63</v>
      </c>
      <c r="D110" s="2" t="s">
        <v>20</v>
      </c>
      <c r="E110" s="3">
        <v>98663</v>
      </c>
      <c r="F110" s="4" t="s">
        <v>408</v>
      </c>
      <c r="G110" s="2" t="s">
        <v>348</v>
      </c>
      <c r="H110" s="2" t="s">
        <v>349</v>
      </c>
      <c r="I110" s="2" t="s">
        <v>212</v>
      </c>
      <c r="J110" s="2" t="s">
        <v>213</v>
      </c>
      <c r="K110" s="4" t="s">
        <v>350</v>
      </c>
      <c r="L110" s="4" t="s">
        <v>27</v>
      </c>
      <c r="M110" s="4" t="s">
        <v>191</v>
      </c>
      <c r="N110" s="5">
        <v>276841806</v>
      </c>
      <c r="O110" s="2" t="s">
        <v>416</v>
      </c>
      <c r="P110" s="2" t="s">
        <v>60</v>
      </c>
      <c r="Q110" s="4" t="s">
        <v>462</v>
      </c>
    </row>
    <row r="111" spans="1:17" hidden="1" x14ac:dyDescent="0.2">
      <c r="A111" s="2" t="s">
        <v>463</v>
      </c>
      <c r="B111" s="2" t="s">
        <v>33</v>
      </c>
      <c r="C111" s="2" t="s">
        <v>464</v>
      </c>
      <c r="D111" s="2" t="s">
        <v>20</v>
      </c>
      <c r="E111" s="3">
        <v>98045</v>
      </c>
      <c r="F111" s="4" t="s">
        <v>42</v>
      </c>
      <c r="G111" s="2" t="s">
        <v>348</v>
      </c>
      <c r="H111" s="2" t="s">
        <v>349</v>
      </c>
      <c r="I111" s="2" t="s">
        <v>212</v>
      </c>
      <c r="J111" s="2" t="s">
        <v>298</v>
      </c>
      <c r="K111" s="4" t="s">
        <v>27</v>
      </c>
      <c r="L111" s="4" t="s">
        <v>27</v>
      </c>
      <c r="M111" s="4" t="s">
        <v>35</v>
      </c>
      <c r="N111" s="5">
        <v>167290910</v>
      </c>
      <c r="O111" s="2" t="s">
        <v>465</v>
      </c>
      <c r="P111" s="2" t="s">
        <v>466</v>
      </c>
      <c r="Q111" s="4" t="s">
        <v>467</v>
      </c>
    </row>
    <row r="112" spans="1:17" hidden="1" x14ac:dyDescent="0.2">
      <c r="A112" s="2" t="s">
        <v>468</v>
      </c>
      <c r="B112" s="2" t="s">
        <v>443</v>
      </c>
      <c r="C112" s="2" t="s">
        <v>469</v>
      </c>
      <c r="D112" s="2" t="s">
        <v>20</v>
      </c>
      <c r="E112" s="3">
        <v>98250</v>
      </c>
      <c r="F112" s="4" t="s">
        <v>408</v>
      </c>
      <c r="G112" s="2" t="s">
        <v>348</v>
      </c>
      <c r="H112" s="2" t="s">
        <v>349</v>
      </c>
      <c r="I112" s="2" t="s">
        <v>212</v>
      </c>
      <c r="J112" s="2" t="s">
        <v>213</v>
      </c>
      <c r="K112" s="4" t="s">
        <v>350</v>
      </c>
      <c r="L112" s="4" t="s">
        <v>27</v>
      </c>
      <c r="M112" s="4" t="s">
        <v>409</v>
      </c>
      <c r="N112" s="5">
        <v>304864052</v>
      </c>
      <c r="O112" s="2" t="s">
        <v>470</v>
      </c>
      <c r="P112" s="2" t="s">
        <v>446</v>
      </c>
      <c r="Q112" s="4" t="s">
        <v>471</v>
      </c>
    </row>
    <row r="113" spans="1:17" hidden="1" x14ac:dyDescent="0.2">
      <c r="A113" s="2" t="s">
        <v>472</v>
      </c>
      <c r="B113" s="2" t="s">
        <v>18</v>
      </c>
      <c r="C113" s="2" t="s">
        <v>234</v>
      </c>
      <c r="D113" s="2" t="s">
        <v>20</v>
      </c>
      <c r="E113" s="3">
        <v>98110</v>
      </c>
      <c r="F113" s="4" t="s">
        <v>401</v>
      </c>
      <c r="G113" s="2" t="s">
        <v>348</v>
      </c>
      <c r="H113" s="2" t="s">
        <v>349</v>
      </c>
      <c r="I113" s="2" t="s">
        <v>212</v>
      </c>
      <c r="J113" s="2" t="s">
        <v>213</v>
      </c>
      <c r="K113" s="4" t="s">
        <v>402</v>
      </c>
      <c r="L113" s="4" t="s">
        <v>27</v>
      </c>
      <c r="M113" s="4" t="s">
        <v>28</v>
      </c>
      <c r="N113" s="5">
        <v>284117018</v>
      </c>
      <c r="O113" s="2" t="s">
        <v>235</v>
      </c>
      <c r="P113" s="2" t="s">
        <v>30</v>
      </c>
      <c r="Q113" s="4" t="s">
        <v>473</v>
      </c>
    </row>
    <row r="114" spans="1:17" hidden="1" x14ac:dyDescent="0.2">
      <c r="A114" s="2" t="s">
        <v>472</v>
      </c>
      <c r="B114" s="2" t="s">
        <v>33</v>
      </c>
      <c r="C114" s="2" t="s">
        <v>68</v>
      </c>
      <c r="D114" s="2" t="s">
        <v>20</v>
      </c>
      <c r="E114" s="3">
        <v>98001</v>
      </c>
      <c r="F114" s="4" t="s">
        <v>401</v>
      </c>
      <c r="G114" s="2" t="s">
        <v>348</v>
      </c>
      <c r="H114" s="2" t="s">
        <v>349</v>
      </c>
      <c r="I114" s="2" t="s">
        <v>212</v>
      </c>
      <c r="J114" s="2" t="s">
        <v>213</v>
      </c>
      <c r="K114" s="4" t="s">
        <v>402</v>
      </c>
      <c r="L114" s="4" t="s">
        <v>27</v>
      </c>
      <c r="M114" s="4" t="s">
        <v>187</v>
      </c>
      <c r="N114" s="5">
        <v>277629915</v>
      </c>
      <c r="O114" s="2" t="s">
        <v>474</v>
      </c>
      <c r="P114" s="2" t="s">
        <v>37</v>
      </c>
      <c r="Q114" s="4" t="s">
        <v>475</v>
      </c>
    </row>
    <row r="115" spans="1:17" hidden="1" x14ac:dyDescent="0.2">
      <c r="A115" s="2" t="s">
        <v>476</v>
      </c>
      <c r="B115" s="2" t="s">
        <v>110</v>
      </c>
      <c r="C115" s="2" t="s">
        <v>477</v>
      </c>
      <c r="D115" s="2" t="s">
        <v>20</v>
      </c>
      <c r="E115" s="3">
        <v>98498</v>
      </c>
      <c r="F115" s="4" t="s">
        <v>401</v>
      </c>
      <c r="G115" s="2" t="s">
        <v>348</v>
      </c>
      <c r="H115" s="2" t="s">
        <v>349</v>
      </c>
      <c r="I115" s="2" t="s">
        <v>212</v>
      </c>
      <c r="J115" s="2" t="s">
        <v>213</v>
      </c>
      <c r="K115" s="4" t="s">
        <v>402</v>
      </c>
      <c r="L115" s="4" t="s">
        <v>27</v>
      </c>
      <c r="M115" s="4" t="s">
        <v>478</v>
      </c>
      <c r="N115" s="5">
        <v>141902162</v>
      </c>
      <c r="O115" s="2" t="s">
        <v>479</v>
      </c>
      <c r="P115" s="2" t="s">
        <v>37</v>
      </c>
      <c r="Q115" s="4" t="s">
        <v>480</v>
      </c>
    </row>
    <row r="116" spans="1:17" hidden="1" x14ac:dyDescent="0.2">
      <c r="A116" s="2" t="s">
        <v>476</v>
      </c>
      <c r="B116" s="2" t="s">
        <v>481</v>
      </c>
      <c r="C116" s="2" t="s">
        <v>482</v>
      </c>
      <c r="D116" s="2" t="s">
        <v>20</v>
      </c>
      <c r="E116" s="3">
        <v>98856</v>
      </c>
      <c r="F116" s="4" t="s">
        <v>401</v>
      </c>
      <c r="G116" s="2" t="s">
        <v>348</v>
      </c>
      <c r="H116" s="2" t="s">
        <v>349</v>
      </c>
      <c r="I116" s="2" t="s">
        <v>212</v>
      </c>
      <c r="J116" s="2" t="s">
        <v>213</v>
      </c>
      <c r="K116" s="4" t="s">
        <v>402</v>
      </c>
      <c r="L116" s="4" t="s">
        <v>27</v>
      </c>
      <c r="M116" s="4" t="s">
        <v>177</v>
      </c>
      <c r="N116" s="5">
        <v>156623295</v>
      </c>
      <c r="O116" s="2" t="s">
        <v>483</v>
      </c>
      <c r="P116" s="2" t="s">
        <v>484</v>
      </c>
      <c r="Q116" s="4" t="s">
        <v>485</v>
      </c>
    </row>
    <row r="117" spans="1:17" hidden="1" x14ac:dyDescent="0.2">
      <c r="A117" s="2" t="s">
        <v>486</v>
      </c>
      <c r="B117" s="2" t="s">
        <v>151</v>
      </c>
      <c r="C117" s="2" t="s">
        <v>152</v>
      </c>
      <c r="D117" s="2" t="s">
        <v>20</v>
      </c>
      <c r="E117" s="3">
        <v>98506</v>
      </c>
      <c r="F117" s="4" t="s">
        <v>401</v>
      </c>
      <c r="G117" s="2" t="s">
        <v>348</v>
      </c>
      <c r="H117" s="2" t="s">
        <v>349</v>
      </c>
      <c r="I117" s="2" t="s">
        <v>212</v>
      </c>
      <c r="J117" s="2" t="s">
        <v>213</v>
      </c>
      <c r="K117" s="4" t="s">
        <v>402</v>
      </c>
      <c r="L117" s="4" t="s">
        <v>27</v>
      </c>
      <c r="M117" s="4" t="s">
        <v>90</v>
      </c>
      <c r="N117" s="5">
        <v>257481843</v>
      </c>
      <c r="O117" s="2" t="s">
        <v>487</v>
      </c>
      <c r="P117" s="2" t="s">
        <v>30</v>
      </c>
      <c r="Q117" s="4" t="s">
        <v>488</v>
      </c>
    </row>
    <row r="118" spans="1:17" hidden="1" x14ac:dyDescent="0.2">
      <c r="A118" s="2" t="s">
        <v>489</v>
      </c>
      <c r="B118" s="2" t="s">
        <v>33</v>
      </c>
      <c r="C118" s="2" t="s">
        <v>169</v>
      </c>
      <c r="D118" s="2" t="s">
        <v>20</v>
      </c>
      <c r="E118" s="3">
        <v>98034</v>
      </c>
      <c r="F118" s="4" t="s">
        <v>57</v>
      </c>
      <c r="G118" s="2" t="s">
        <v>348</v>
      </c>
      <c r="H118" s="2" t="s">
        <v>415</v>
      </c>
      <c r="I118" s="2" t="s">
        <v>212</v>
      </c>
      <c r="J118" s="2" t="s">
        <v>298</v>
      </c>
      <c r="K118" s="4" t="s">
        <v>27</v>
      </c>
      <c r="L118" s="4" t="s">
        <v>27</v>
      </c>
      <c r="M118" s="4" t="s">
        <v>170</v>
      </c>
      <c r="N118" s="5">
        <v>170486585</v>
      </c>
      <c r="O118" s="2" t="s">
        <v>171</v>
      </c>
      <c r="P118" s="2" t="s">
        <v>37</v>
      </c>
      <c r="Q118" s="4" t="s">
        <v>490</v>
      </c>
    </row>
    <row r="119" spans="1:17" hidden="1" x14ac:dyDescent="0.2">
      <c r="A119" s="2" t="s">
        <v>491</v>
      </c>
      <c r="B119" s="2" t="s">
        <v>33</v>
      </c>
      <c r="C119" s="2" t="s">
        <v>492</v>
      </c>
      <c r="D119" s="2" t="s">
        <v>20</v>
      </c>
      <c r="E119" s="3">
        <v>98065</v>
      </c>
      <c r="F119" s="4" t="s">
        <v>408</v>
      </c>
      <c r="G119" s="2" t="s">
        <v>348</v>
      </c>
      <c r="H119" s="2" t="s">
        <v>349</v>
      </c>
      <c r="I119" s="2" t="s">
        <v>212</v>
      </c>
      <c r="J119" s="2" t="s">
        <v>213</v>
      </c>
      <c r="K119" s="4" t="s">
        <v>350</v>
      </c>
      <c r="L119" s="4" t="s">
        <v>27</v>
      </c>
      <c r="M119" s="4" t="s">
        <v>35</v>
      </c>
      <c r="N119" s="5">
        <v>9058647</v>
      </c>
      <c r="O119" s="2" t="s">
        <v>493</v>
      </c>
      <c r="P119" s="2" t="s">
        <v>37</v>
      </c>
      <c r="Q119" s="4" t="s">
        <v>494</v>
      </c>
    </row>
    <row r="120" spans="1:17" hidden="1" x14ac:dyDescent="0.2">
      <c r="A120" s="2" t="s">
        <v>495</v>
      </c>
      <c r="B120" s="2" t="s">
        <v>40</v>
      </c>
      <c r="C120" s="2" t="s">
        <v>73</v>
      </c>
      <c r="D120" s="2" t="s">
        <v>20</v>
      </c>
      <c r="E120" s="3">
        <v>98087</v>
      </c>
      <c r="F120" s="4" t="s">
        <v>408</v>
      </c>
      <c r="G120" s="2" t="s">
        <v>348</v>
      </c>
      <c r="H120" s="2" t="s">
        <v>349</v>
      </c>
      <c r="I120" s="2" t="s">
        <v>212</v>
      </c>
      <c r="J120" s="2" t="s">
        <v>213</v>
      </c>
      <c r="K120" s="4" t="s">
        <v>350</v>
      </c>
      <c r="L120" s="4" t="s">
        <v>27</v>
      </c>
      <c r="M120" s="4" t="s">
        <v>26</v>
      </c>
      <c r="N120" s="5">
        <v>252740295</v>
      </c>
      <c r="O120" s="2" t="s">
        <v>496</v>
      </c>
      <c r="P120" s="2" t="s">
        <v>30</v>
      </c>
      <c r="Q120" s="4" t="s">
        <v>497</v>
      </c>
    </row>
    <row r="121" spans="1:17" hidden="1" x14ac:dyDescent="0.2">
      <c r="A121" s="2" t="s">
        <v>498</v>
      </c>
      <c r="B121" s="2" t="s">
        <v>207</v>
      </c>
      <c r="C121" s="2" t="s">
        <v>499</v>
      </c>
      <c r="D121" s="2" t="s">
        <v>20</v>
      </c>
      <c r="E121" s="3">
        <v>98221</v>
      </c>
      <c r="F121" s="4" t="s">
        <v>57</v>
      </c>
      <c r="G121" s="2" t="s">
        <v>348</v>
      </c>
      <c r="H121" s="2" t="s">
        <v>415</v>
      </c>
      <c r="I121" s="2" t="s">
        <v>212</v>
      </c>
      <c r="J121" s="2" t="s">
        <v>298</v>
      </c>
      <c r="K121" s="4" t="s">
        <v>27</v>
      </c>
      <c r="L121" s="4" t="s">
        <v>27</v>
      </c>
      <c r="M121" s="4" t="s">
        <v>409</v>
      </c>
      <c r="N121" s="5">
        <v>204925129</v>
      </c>
      <c r="O121" s="2" t="s">
        <v>500</v>
      </c>
      <c r="P121" s="2" t="s">
        <v>30</v>
      </c>
      <c r="Q121" s="4" t="s">
        <v>501</v>
      </c>
    </row>
    <row r="122" spans="1:17" hidden="1" x14ac:dyDescent="0.2">
      <c r="A122" s="2" t="s">
        <v>502</v>
      </c>
      <c r="B122" s="2" t="s">
        <v>33</v>
      </c>
      <c r="C122" s="2" t="s">
        <v>89</v>
      </c>
      <c r="D122" s="2" t="s">
        <v>20</v>
      </c>
      <c r="E122" s="3">
        <v>98011</v>
      </c>
      <c r="F122" s="4" t="s">
        <v>21</v>
      </c>
      <c r="G122" s="2" t="s">
        <v>348</v>
      </c>
      <c r="H122" s="2" t="s">
        <v>415</v>
      </c>
      <c r="I122" s="2" t="s">
        <v>212</v>
      </c>
      <c r="J122" s="2" t="s">
        <v>298</v>
      </c>
      <c r="K122" s="4" t="s">
        <v>27</v>
      </c>
      <c r="L122" s="4" t="s">
        <v>27</v>
      </c>
      <c r="M122" s="4" t="s">
        <v>170</v>
      </c>
      <c r="N122" s="5">
        <v>244060435</v>
      </c>
      <c r="O122" s="2" t="s">
        <v>503</v>
      </c>
      <c r="P122" s="2" t="s">
        <v>37</v>
      </c>
      <c r="Q122" s="4" t="s">
        <v>504</v>
      </c>
    </row>
    <row r="123" spans="1:17" x14ac:dyDescent="0.2">
      <c r="A123" s="2" t="s">
        <v>505</v>
      </c>
      <c r="B123" s="2" t="s">
        <v>506</v>
      </c>
      <c r="C123" s="2" t="s">
        <v>507</v>
      </c>
      <c r="D123" s="2" t="s">
        <v>20</v>
      </c>
      <c r="E123" s="3">
        <v>98339</v>
      </c>
      <c r="F123" s="4" t="s">
        <v>219</v>
      </c>
      <c r="G123" s="2" t="s">
        <v>348</v>
      </c>
      <c r="H123" s="2" t="s">
        <v>508</v>
      </c>
      <c r="I123" s="2" t="s">
        <v>24</v>
      </c>
      <c r="J123" s="2" t="s">
        <v>213</v>
      </c>
      <c r="K123" s="4" t="s">
        <v>274</v>
      </c>
      <c r="L123" s="4" t="s">
        <v>27</v>
      </c>
      <c r="M123" s="4" t="s">
        <v>509</v>
      </c>
      <c r="N123" s="5">
        <v>115139713</v>
      </c>
      <c r="O123" s="2" t="s">
        <v>510</v>
      </c>
      <c r="P123" s="2" t="s">
        <v>511</v>
      </c>
      <c r="Q123" s="4" t="s">
        <v>512</v>
      </c>
    </row>
    <row r="124" spans="1:17" x14ac:dyDescent="0.2">
      <c r="A124" s="2" t="s">
        <v>513</v>
      </c>
      <c r="B124" s="2" t="s">
        <v>18</v>
      </c>
      <c r="C124" s="2" t="s">
        <v>374</v>
      </c>
      <c r="D124" s="2" t="s">
        <v>20</v>
      </c>
      <c r="E124" s="3">
        <v>98346</v>
      </c>
      <c r="F124" s="4" t="s">
        <v>371</v>
      </c>
      <c r="G124" s="2" t="s">
        <v>348</v>
      </c>
      <c r="H124" s="2" t="s">
        <v>508</v>
      </c>
      <c r="I124" s="2" t="s">
        <v>24</v>
      </c>
      <c r="J124" s="2" t="s">
        <v>213</v>
      </c>
      <c r="K124" s="4" t="s">
        <v>514</v>
      </c>
      <c r="L124" s="4" t="s">
        <v>27</v>
      </c>
      <c r="M124" s="4" t="s">
        <v>28</v>
      </c>
      <c r="N124" s="5">
        <v>170370063</v>
      </c>
      <c r="O124" s="2" t="s">
        <v>375</v>
      </c>
      <c r="P124" s="2" t="s">
        <v>30</v>
      </c>
      <c r="Q124" s="4" t="s">
        <v>515</v>
      </c>
    </row>
    <row r="125" spans="1:17" x14ac:dyDescent="0.2">
      <c r="A125" s="2" t="s">
        <v>516</v>
      </c>
      <c r="B125" s="2" t="s">
        <v>33</v>
      </c>
      <c r="C125" s="2" t="s">
        <v>517</v>
      </c>
      <c r="D125" s="2" t="s">
        <v>20</v>
      </c>
      <c r="E125" s="3">
        <v>98198</v>
      </c>
      <c r="F125" s="4" t="s">
        <v>273</v>
      </c>
      <c r="G125" s="2" t="s">
        <v>348</v>
      </c>
      <c r="H125" s="2" t="s">
        <v>508</v>
      </c>
      <c r="I125" s="2" t="s">
        <v>24</v>
      </c>
      <c r="J125" s="2" t="s">
        <v>213</v>
      </c>
      <c r="K125" s="4" t="s">
        <v>514</v>
      </c>
      <c r="L125" s="4" t="s">
        <v>27</v>
      </c>
      <c r="M125" s="4" t="s">
        <v>187</v>
      </c>
      <c r="N125" s="5">
        <v>349287991</v>
      </c>
      <c r="O125" s="2" t="s">
        <v>518</v>
      </c>
      <c r="P125" s="2" t="s">
        <v>37</v>
      </c>
      <c r="Q125" s="4" t="s">
        <v>519</v>
      </c>
    </row>
    <row r="126" spans="1:17" x14ac:dyDescent="0.2">
      <c r="A126" s="2" t="s">
        <v>520</v>
      </c>
      <c r="B126" s="2" t="s">
        <v>40</v>
      </c>
      <c r="C126" s="2" t="s">
        <v>89</v>
      </c>
      <c r="D126" s="2" t="s">
        <v>20</v>
      </c>
      <c r="E126" s="3">
        <v>98012</v>
      </c>
      <c r="F126" s="4" t="s">
        <v>273</v>
      </c>
      <c r="G126" s="2" t="s">
        <v>348</v>
      </c>
      <c r="H126" s="2" t="s">
        <v>508</v>
      </c>
      <c r="I126" s="2" t="s">
        <v>24</v>
      </c>
      <c r="J126" s="2" t="s">
        <v>213</v>
      </c>
      <c r="K126" s="4" t="s">
        <v>514</v>
      </c>
      <c r="L126" s="4" t="s">
        <v>27</v>
      </c>
      <c r="M126" s="4" t="s">
        <v>116</v>
      </c>
      <c r="N126" s="5">
        <v>222383332</v>
      </c>
      <c r="O126" s="2" t="s">
        <v>91</v>
      </c>
      <c r="P126" s="2" t="s">
        <v>30</v>
      </c>
      <c r="Q126" s="4" t="s">
        <v>521</v>
      </c>
    </row>
    <row r="127" spans="1:17" x14ac:dyDescent="0.2">
      <c r="A127" s="2" t="s">
        <v>522</v>
      </c>
      <c r="B127" s="2" t="s">
        <v>33</v>
      </c>
      <c r="C127" s="2" t="s">
        <v>83</v>
      </c>
      <c r="D127" s="2" t="s">
        <v>20</v>
      </c>
      <c r="E127" s="3">
        <v>98118</v>
      </c>
      <c r="F127" s="4" t="s">
        <v>230</v>
      </c>
      <c r="G127" s="2" t="s">
        <v>348</v>
      </c>
      <c r="H127" s="2" t="s">
        <v>508</v>
      </c>
      <c r="I127" s="2" t="s">
        <v>24</v>
      </c>
      <c r="J127" s="2" t="s">
        <v>213</v>
      </c>
      <c r="K127" s="4" t="s">
        <v>274</v>
      </c>
      <c r="L127" s="4" t="s">
        <v>27</v>
      </c>
      <c r="M127" s="4" t="s">
        <v>140</v>
      </c>
      <c r="N127" s="5">
        <v>232773887</v>
      </c>
      <c r="O127" s="2" t="s">
        <v>523</v>
      </c>
      <c r="P127" s="2" t="s">
        <v>86</v>
      </c>
      <c r="Q127" s="4" t="s">
        <v>524</v>
      </c>
    </row>
    <row r="128" spans="1:17" x14ac:dyDescent="0.2">
      <c r="A128" s="2" t="s">
        <v>525</v>
      </c>
      <c r="B128" s="2" t="s">
        <v>331</v>
      </c>
      <c r="C128" s="2" t="s">
        <v>331</v>
      </c>
      <c r="D128" s="2" t="s">
        <v>20</v>
      </c>
      <c r="E128" s="3">
        <v>99207</v>
      </c>
      <c r="F128" s="4" t="s">
        <v>230</v>
      </c>
      <c r="G128" s="2" t="s">
        <v>348</v>
      </c>
      <c r="H128" s="2" t="s">
        <v>508</v>
      </c>
      <c r="I128" s="2" t="s">
        <v>24</v>
      </c>
      <c r="J128" s="2" t="s">
        <v>213</v>
      </c>
      <c r="K128" s="4" t="s">
        <v>274</v>
      </c>
      <c r="L128" s="4" t="s">
        <v>27</v>
      </c>
      <c r="M128" s="4" t="s">
        <v>391</v>
      </c>
      <c r="N128" s="5">
        <v>8592419</v>
      </c>
      <c r="O128" s="2" t="s">
        <v>526</v>
      </c>
      <c r="P128" s="2" t="s">
        <v>334</v>
      </c>
      <c r="Q128" s="4" t="s">
        <v>527</v>
      </c>
    </row>
    <row r="129" spans="1:17" x14ac:dyDescent="0.2">
      <c r="A129" s="2" t="s">
        <v>528</v>
      </c>
      <c r="B129" s="2" t="s">
        <v>110</v>
      </c>
      <c r="C129" s="2" t="s">
        <v>307</v>
      </c>
      <c r="D129" s="2" t="s">
        <v>20</v>
      </c>
      <c r="E129" s="3">
        <v>98422</v>
      </c>
      <c r="F129" s="4" t="s">
        <v>371</v>
      </c>
      <c r="G129" s="2" t="s">
        <v>348</v>
      </c>
      <c r="H129" s="2" t="s">
        <v>508</v>
      </c>
      <c r="I129" s="2" t="s">
        <v>24</v>
      </c>
      <c r="J129" s="2" t="s">
        <v>213</v>
      </c>
      <c r="K129" s="4" t="s">
        <v>514</v>
      </c>
      <c r="L129" s="4" t="s">
        <v>27</v>
      </c>
      <c r="M129" s="4" t="s">
        <v>308</v>
      </c>
      <c r="N129" s="5">
        <v>341416617</v>
      </c>
      <c r="O129" s="2" t="s">
        <v>309</v>
      </c>
      <c r="P129" s="2" t="s">
        <v>310</v>
      </c>
      <c r="Q129" s="4" t="s">
        <v>529</v>
      </c>
    </row>
    <row r="130" spans="1:17" x14ac:dyDescent="0.2">
      <c r="A130" s="2" t="s">
        <v>530</v>
      </c>
      <c r="B130" s="2" t="s">
        <v>40</v>
      </c>
      <c r="C130" s="2" t="s">
        <v>268</v>
      </c>
      <c r="D130" s="2" t="s">
        <v>20</v>
      </c>
      <c r="E130" s="3">
        <v>98020</v>
      </c>
      <c r="F130" s="4" t="s">
        <v>371</v>
      </c>
      <c r="G130" s="2" t="s">
        <v>348</v>
      </c>
      <c r="H130" s="2" t="s">
        <v>508</v>
      </c>
      <c r="I130" s="2" t="s">
        <v>24</v>
      </c>
      <c r="J130" s="2" t="s">
        <v>213</v>
      </c>
      <c r="K130" s="4" t="s">
        <v>514</v>
      </c>
      <c r="L130" s="4" t="s">
        <v>27</v>
      </c>
      <c r="M130" s="4" t="s">
        <v>26</v>
      </c>
      <c r="N130" s="5">
        <v>348460101</v>
      </c>
      <c r="O130" s="2" t="s">
        <v>269</v>
      </c>
      <c r="P130" s="2" t="s">
        <v>30</v>
      </c>
      <c r="Q130" s="4" t="s">
        <v>531</v>
      </c>
    </row>
    <row r="131" spans="1:17" x14ac:dyDescent="0.2">
      <c r="A131" s="2" t="s">
        <v>532</v>
      </c>
      <c r="B131" s="2" t="s">
        <v>18</v>
      </c>
      <c r="C131" s="2" t="s">
        <v>19</v>
      </c>
      <c r="D131" s="2" t="s">
        <v>20</v>
      </c>
      <c r="E131" s="3">
        <v>98370</v>
      </c>
      <c r="F131" s="4" t="s">
        <v>273</v>
      </c>
      <c r="G131" s="2" t="s">
        <v>348</v>
      </c>
      <c r="H131" s="2" t="s">
        <v>508</v>
      </c>
      <c r="I131" s="2" t="s">
        <v>24</v>
      </c>
      <c r="J131" s="2" t="s">
        <v>213</v>
      </c>
      <c r="K131" s="4" t="s">
        <v>514</v>
      </c>
      <c r="L131" s="4" t="s">
        <v>27</v>
      </c>
      <c r="M131" s="4" t="s">
        <v>28</v>
      </c>
      <c r="N131" s="5">
        <v>349972640</v>
      </c>
      <c r="O131" s="2" t="s">
        <v>29</v>
      </c>
      <c r="P131" s="2" t="s">
        <v>30</v>
      </c>
      <c r="Q131" s="4" t="s">
        <v>31</v>
      </c>
    </row>
    <row r="132" spans="1:17" x14ac:dyDescent="0.2">
      <c r="A132" s="2" t="s">
        <v>533</v>
      </c>
      <c r="B132" s="2" t="s">
        <v>33</v>
      </c>
      <c r="C132" s="2" t="s">
        <v>146</v>
      </c>
      <c r="D132" s="2" t="s">
        <v>20</v>
      </c>
      <c r="E132" s="3">
        <v>98004</v>
      </c>
      <c r="F132" s="4" t="s">
        <v>371</v>
      </c>
      <c r="G132" s="2" t="s">
        <v>348</v>
      </c>
      <c r="H132" s="2" t="s">
        <v>508</v>
      </c>
      <c r="I132" s="2" t="s">
        <v>24</v>
      </c>
      <c r="J132" s="2" t="s">
        <v>213</v>
      </c>
      <c r="K132" s="4" t="s">
        <v>514</v>
      </c>
      <c r="L132" s="4" t="s">
        <v>27</v>
      </c>
      <c r="M132" s="4" t="s">
        <v>403</v>
      </c>
      <c r="N132" s="5">
        <v>474454438</v>
      </c>
      <c r="O132" s="2" t="s">
        <v>148</v>
      </c>
      <c r="P132" s="2" t="s">
        <v>37</v>
      </c>
      <c r="Q132" s="4" t="s">
        <v>534</v>
      </c>
    </row>
    <row r="133" spans="1:17" x14ac:dyDescent="0.2">
      <c r="A133" s="2" t="s">
        <v>535</v>
      </c>
      <c r="B133" s="2" t="s">
        <v>18</v>
      </c>
      <c r="C133" s="2" t="s">
        <v>100</v>
      </c>
      <c r="D133" s="2" t="s">
        <v>20</v>
      </c>
      <c r="E133" s="3">
        <v>98366</v>
      </c>
      <c r="F133" s="4" t="s">
        <v>371</v>
      </c>
      <c r="G133" s="2" t="s">
        <v>348</v>
      </c>
      <c r="H133" s="2" t="s">
        <v>508</v>
      </c>
      <c r="I133" s="2" t="s">
        <v>24</v>
      </c>
      <c r="J133" s="2" t="s">
        <v>213</v>
      </c>
      <c r="K133" s="4" t="s">
        <v>514</v>
      </c>
      <c r="L133" s="4" t="s">
        <v>27</v>
      </c>
      <c r="M133" s="4" t="s">
        <v>101</v>
      </c>
      <c r="N133" s="5">
        <v>478393009</v>
      </c>
      <c r="O133" s="2" t="s">
        <v>102</v>
      </c>
      <c r="P133" s="2" t="s">
        <v>30</v>
      </c>
      <c r="Q133" s="4" t="s">
        <v>536</v>
      </c>
    </row>
    <row r="134" spans="1:17" x14ac:dyDescent="0.2">
      <c r="A134" s="2" t="s">
        <v>535</v>
      </c>
      <c r="B134" s="2" t="s">
        <v>33</v>
      </c>
      <c r="C134" s="2" t="s">
        <v>146</v>
      </c>
      <c r="D134" s="2" t="s">
        <v>20</v>
      </c>
      <c r="E134" s="3">
        <v>98008</v>
      </c>
      <c r="F134" s="4" t="s">
        <v>371</v>
      </c>
      <c r="G134" s="2" t="s">
        <v>348</v>
      </c>
      <c r="H134" s="2" t="s">
        <v>508</v>
      </c>
      <c r="I134" s="2" t="s">
        <v>24</v>
      </c>
      <c r="J134" s="2" t="s">
        <v>213</v>
      </c>
      <c r="K134" s="4" t="s">
        <v>514</v>
      </c>
      <c r="L134" s="4" t="s">
        <v>27</v>
      </c>
      <c r="M134" s="4" t="s">
        <v>147</v>
      </c>
      <c r="N134" s="5">
        <v>475731315</v>
      </c>
      <c r="O134" s="2" t="s">
        <v>537</v>
      </c>
      <c r="P134" s="2" t="s">
        <v>37</v>
      </c>
      <c r="Q134" s="4" t="s">
        <v>538</v>
      </c>
    </row>
    <row r="135" spans="1:17" x14ac:dyDescent="0.2">
      <c r="A135" s="2" t="s">
        <v>539</v>
      </c>
      <c r="B135" s="2" t="s">
        <v>33</v>
      </c>
      <c r="C135" s="2" t="s">
        <v>68</v>
      </c>
      <c r="D135" s="2" t="s">
        <v>20</v>
      </c>
      <c r="E135" s="3">
        <v>98092</v>
      </c>
      <c r="F135" s="4" t="s">
        <v>371</v>
      </c>
      <c r="G135" s="2" t="s">
        <v>348</v>
      </c>
      <c r="H135" s="2" t="s">
        <v>508</v>
      </c>
      <c r="I135" s="2" t="s">
        <v>24</v>
      </c>
      <c r="J135" s="2" t="s">
        <v>213</v>
      </c>
      <c r="K135" s="4" t="s">
        <v>514</v>
      </c>
      <c r="L135" s="4" t="s">
        <v>27</v>
      </c>
      <c r="M135" s="4" t="s">
        <v>112</v>
      </c>
      <c r="N135" s="5">
        <v>8792388</v>
      </c>
      <c r="O135" s="2" t="s">
        <v>540</v>
      </c>
      <c r="P135" s="2" t="s">
        <v>37</v>
      </c>
      <c r="Q135" s="4" t="s">
        <v>541</v>
      </c>
    </row>
    <row r="136" spans="1:17" x14ac:dyDescent="0.2">
      <c r="A136" s="2" t="s">
        <v>542</v>
      </c>
      <c r="B136" s="2" t="s">
        <v>33</v>
      </c>
      <c r="C136" s="2" t="s">
        <v>318</v>
      </c>
      <c r="D136" s="2" t="s">
        <v>20</v>
      </c>
      <c r="E136" s="3">
        <v>98146</v>
      </c>
      <c r="F136" s="4" t="s">
        <v>227</v>
      </c>
      <c r="G136" s="2" t="s">
        <v>348</v>
      </c>
      <c r="H136" s="2" t="s">
        <v>508</v>
      </c>
      <c r="I136" s="2" t="s">
        <v>24</v>
      </c>
      <c r="J136" s="2" t="s">
        <v>213</v>
      </c>
      <c r="K136" s="4" t="s">
        <v>274</v>
      </c>
      <c r="L136" s="4" t="s">
        <v>27</v>
      </c>
      <c r="M136" s="4" t="s">
        <v>319</v>
      </c>
      <c r="N136" s="5">
        <v>278798887</v>
      </c>
      <c r="O136" s="2" t="s">
        <v>543</v>
      </c>
      <c r="P136" s="2" t="s">
        <v>86</v>
      </c>
      <c r="Q136" s="4" t="s">
        <v>544</v>
      </c>
    </row>
    <row r="137" spans="1:17" x14ac:dyDescent="0.2">
      <c r="A137" s="2" t="s">
        <v>545</v>
      </c>
      <c r="B137" s="2" t="s">
        <v>331</v>
      </c>
      <c r="C137" s="2" t="s">
        <v>331</v>
      </c>
      <c r="D137" s="2" t="s">
        <v>20</v>
      </c>
      <c r="E137" s="3">
        <v>99203</v>
      </c>
      <c r="F137" s="4" t="s">
        <v>230</v>
      </c>
      <c r="G137" s="2" t="s">
        <v>348</v>
      </c>
      <c r="H137" s="2" t="s">
        <v>508</v>
      </c>
      <c r="I137" s="2" t="s">
        <v>24</v>
      </c>
      <c r="J137" s="2" t="s">
        <v>213</v>
      </c>
      <c r="K137" s="4" t="s">
        <v>274</v>
      </c>
      <c r="L137" s="4" t="s">
        <v>27</v>
      </c>
      <c r="M137" s="4" t="s">
        <v>332</v>
      </c>
      <c r="N137" s="5">
        <v>476713898</v>
      </c>
      <c r="O137" s="2" t="s">
        <v>392</v>
      </c>
      <c r="P137" s="2" t="s">
        <v>393</v>
      </c>
      <c r="Q137" s="4" t="s">
        <v>546</v>
      </c>
    </row>
    <row r="138" spans="1:17" x14ac:dyDescent="0.2">
      <c r="A138" s="2" t="s">
        <v>547</v>
      </c>
      <c r="B138" s="2" t="s">
        <v>313</v>
      </c>
      <c r="C138" s="2" t="s">
        <v>548</v>
      </c>
      <c r="D138" s="2" t="s">
        <v>20</v>
      </c>
      <c r="E138" s="3">
        <v>99324</v>
      </c>
      <c r="F138" s="4" t="s">
        <v>273</v>
      </c>
      <c r="G138" s="2" t="s">
        <v>348</v>
      </c>
      <c r="H138" s="2" t="s">
        <v>508</v>
      </c>
      <c r="I138" s="2" t="s">
        <v>24</v>
      </c>
      <c r="J138" s="2" t="s">
        <v>213</v>
      </c>
      <c r="K138" s="4" t="s">
        <v>514</v>
      </c>
      <c r="L138" s="4" t="s">
        <v>27</v>
      </c>
      <c r="M138" s="4" t="s">
        <v>314</v>
      </c>
      <c r="N138" s="5">
        <v>122251678</v>
      </c>
      <c r="O138" s="2" t="s">
        <v>549</v>
      </c>
      <c r="P138" s="2" t="s">
        <v>52</v>
      </c>
      <c r="Q138" s="4" t="s">
        <v>550</v>
      </c>
    </row>
    <row r="139" spans="1:17" x14ac:dyDescent="0.2">
      <c r="A139" s="2" t="s">
        <v>547</v>
      </c>
      <c r="B139" s="2" t="s">
        <v>551</v>
      </c>
      <c r="C139" s="2" t="s">
        <v>552</v>
      </c>
      <c r="D139" s="2" t="s">
        <v>20</v>
      </c>
      <c r="E139" s="3">
        <v>98382</v>
      </c>
      <c r="F139" s="4" t="s">
        <v>273</v>
      </c>
      <c r="G139" s="2" t="s">
        <v>348</v>
      </c>
      <c r="H139" s="2" t="s">
        <v>508</v>
      </c>
      <c r="I139" s="2" t="s">
        <v>24</v>
      </c>
      <c r="J139" s="2" t="s">
        <v>213</v>
      </c>
      <c r="K139" s="4" t="s">
        <v>514</v>
      </c>
      <c r="L139" s="4" t="s">
        <v>27</v>
      </c>
      <c r="M139" s="4" t="s">
        <v>509</v>
      </c>
      <c r="N139" s="5">
        <v>131312338</v>
      </c>
      <c r="O139" s="2" t="s">
        <v>553</v>
      </c>
      <c r="P139" s="2" t="s">
        <v>554</v>
      </c>
      <c r="Q139" s="4" t="s">
        <v>555</v>
      </c>
    </row>
    <row r="140" spans="1:17" x14ac:dyDescent="0.2">
      <c r="A140" s="2" t="s">
        <v>556</v>
      </c>
      <c r="B140" s="2" t="s">
        <v>151</v>
      </c>
      <c r="C140" s="2" t="s">
        <v>152</v>
      </c>
      <c r="D140" s="2" t="s">
        <v>20</v>
      </c>
      <c r="E140" s="3">
        <v>98501</v>
      </c>
      <c r="F140" s="4" t="s">
        <v>209</v>
      </c>
      <c r="G140" s="2" t="s">
        <v>348</v>
      </c>
      <c r="H140" s="2" t="s">
        <v>508</v>
      </c>
      <c r="I140" s="2" t="s">
        <v>24</v>
      </c>
      <c r="J140" s="2" t="s">
        <v>213</v>
      </c>
      <c r="K140" s="4" t="s">
        <v>514</v>
      </c>
      <c r="L140" s="4" t="s">
        <v>27</v>
      </c>
      <c r="M140" s="4" t="s">
        <v>90</v>
      </c>
      <c r="N140" s="5">
        <v>211891319</v>
      </c>
      <c r="O140" s="2" t="s">
        <v>153</v>
      </c>
      <c r="P140" s="2" t="s">
        <v>30</v>
      </c>
      <c r="Q140" s="4" t="s">
        <v>154</v>
      </c>
    </row>
    <row r="141" spans="1:17" x14ac:dyDescent="0.2">
      <c r="A141" s="2" t="s">
        <v>557</v>
      </c>
      <c r="B141" s="2" t="s">
        <v>33</v>
      </c>
      <c r="C141" s="2" t="s">
        <v>83</v>
      </c>
      <c r="D141" s="2" t="s">
        <v>20</v>
      </c>
      <c r="E141" s="3">
        <v>98122</v>
      </c>
      <c r="F141" s="4" t="s">
        <v>273</v>
      </c>
      <c r="G141" s="2" t="s">
        <v>348</v>
      </c>
      <c r="H141" s="2" t="s">
        <v>508</v>
      </c>
      <c r="I141" s="2" t="s">
        <v>24</v>
      </c>
      <c r="J141" s="2" t="s">
        <v>213</v>
      </c>
      <c r="K141" s="4" t="s">
        <v>514</v>
      </c>
      <c r="L141" s="4" t="s">
        <v>27</v>
      </c>
      <c r="M141" s="4" t="s">
        <v>284</v>
      </c>
      <c r="N141" s="5">
        <v>145431394</v>
      </c>
      <c r="O141" s="2" t="s">
        <v>558</v>
      </c>
      <c r="P141" s="2" t="s">
        <v>86</v>
      </c>
      <c r="Q141" s="4" t="s">
        <v>559</v>
      </c>
    </row>
    <row r="142" spans="1:17" x14ac:dyDescent="0.2">
      <c r="A142" s="2" t="s">
        <v>560</v>
      </c>
      <c r="B142" s="2" t="s">
        <v>18</v>
      </c>
      <c r="C142" s="2" t="s">
        <v>561</v>
      </c>
      <c r="D142" s="2" t="s">
        <v>20</v>
      </c>
      <c r="E142" s="3">
        <v>98383</v>
      </c>
      <c r="F142" s="4" t="s">
        <v>273</v>
      </c>
      <c r="G142" s="2" t="s">
        <v>348</v>
      </c>
      <c r="H142" s="2" t="s">
        <v>508</v>
      </c>
      <c r="I142" s="2" t="s">
        <v>24</v>
      </c>
      <c r="J142" s="2" t="s">
        <v>213</v>
      </c>
      <c r="K142" s="4" t="s">
        <v>514</v>
      </c>
      <c r="L142" s="4" t="s">
        <v>27</v>
      </c>
      <c r="M142" s="4" t="s">
        <v>28</v>
      </c>
      <c r="N142" s="5">
        <v>101042105</v>
      </c>
      <c r="O142" s="2" t="s">
        <v>562</v>
      </c>
      <c r="P142" s="2" t="s">
        <v>30</v>
      </c>
      <c r="Q142" s="4" t="s">
        <v>563</v>
      </c>
    </row>
    <row r="143" spans="1:17" x14ac:dyDescent="0.2">
      <c r="A143" s="2" t="s">
        <v>564</v>
      </c>
      <c r="B143" s="2" t="s">
        <v>55</v>
      </c>
      <c r="C143" s="2" t="s">
        <v>63</v>
      </c>
      <c r="D143" s="2" t="s">
        <v>20</v>
      </c>
      <c r="E143" s="3">
        <v>98663</v>
      </c>
      <c r="F143" s="4" t="s">
        <v>273</v>
      </c>
      <c r="G143" s="2" t="s">
        <v>348</v>
      </c>
      <c r="H143" s="2" t="s">
        <v>508</v>
      </c>
      <c r="I143" s="2" t="s">
        <v>24</v>
      </c>
      <c r="J143" s="2" t="s">
        <v>213</v>
      </c>
      <c r="K143" s="4" t="s">
        <v>514</v>
      </c>
      <c r="L143" s="4" t="s">
        <v>27</v>
      </c>
      <c r="M143" s="4" t="s">
        <v>191</v>
      </c>
      <c r="N143" s="5">
        <v>215939965</v>
      </c>
      <c r="O143" s="2" t="s">
        <v>416</v>
      </c>
      <c r="P143" s="2" t="s">
        <v>60</v>
      </c>
      <c r="Q143" s="4" t="s">
        <v>417</v>
      </c>
    </row>
    <row r="144" spans="1:17" x14ac:dyDescent="0.2">
      <c r="A144" s="2" t="s">
        <v>565</v>
      </c>
      <c r="B144" s="2" t="s">
        <v>151</v>
      </c>
      <c r="C144" s="2" t="s">
        <v>566</v>
      </c>
      <c r="D144" s="2" t="s">
        <v>20</v>
      </c>
      <c r="E144" s="3">
        <v>98503</v>
      </c>
      <c r="F144" s="4" t="s">
        <v>273</v>
      </c>
      <c r="G144" s="2" t="s">
        <v>348</v>
      </c>
      <c r="H144" s="2" t="s">
        <v>508</v>
      </c>
      <c r="I144" s="2" t="s">
        <v>24</v>
      </c>
      <c r="J144" s="2" t="s">
        <v>213</v>
      </c>
      <c r="K144" s="4" t="s">
        <v>514</v>
      </c>
      <c r="L144" s="4" t="s">
        <v>27</v>
      </c>
      <c r="M144" s="4" t="s">
        <v>90</v>
      </c>
      <c r="N144" s="5">
        <v>247322806</v>
      </c>
      <c r="O144" s="2" t="s">
        <v>567</v>
      </c>
      <c r="P144" s="2" t="s">
        <v>30</v>
      </c>
      <c r="Q144" s="4" t="s">
        <v>568</v>
      </c>
    </row>
    <row r="145" spans="1:17" x14ac:dyDescent="0.2">
      <c r="A145" s="2" t="s">
        <v>569</v>
      </c>
      <c r="B145" s="2" t="s">
        <v>151</v>
      </c>
      <c r="C145" s="2" t="s">
        <v>152</v>
      </c>
      <c r="D145" s="2" t="s">
        <v>20</v>
      </c>
      <c r="E145" s="3">
        <v>98502</v>
      </c>
      <c r="F145" s="4" t="s">
        <v>227</v>
      </c>
      <c r="G145" s="2" t="s">
        <v>348</v>
      </c>
      <c r="H145" s="2" t="s">
        <v>508</v>
      </c>
      <c r="I145" s="2" t="s">
        <v>24</v>
      </c>
      <c r="J145" s="2" t="s">
        <v>213</v>
      </c>
      <c r="K145" s="4" t="s">
        <v>274</v>
      </c>
      <c r="L145" s="4" t="s">
        <v>27</v>
      </c>
      <c r="M145" s="4" t="s">
        <v>255</v>
      </c>
      <c r="N145" s="5">
        <v>213517713</v>
      </c>
      <c r="O145" s="2" t="s">
        <v>337</v>
      </c>
      <c r="P145" s="2" t="s">
        <v>30</v>
      </c>
      <c r="Q145" s="4" t="s">
        <v>570</v>
      </c>
    </row>
    <row r="146" spans="1:17" x14ac:dyDescent="0.2">
      <c r="A146" s="2" t="s">
        <v>571</v>
      </c>
      <c r="B146" s="2" t="s">
        <v>572</v>
      </c>
      <c r="C146" s="2" t="s">
        <v>573</v>
      </c>
      <c r="D146" s="2" t="s">
        <v>20</v>
      </c>
      <c r="E146" s="3">
        <v>98672</v>
      </c>
      <c r="F146" s="4" t="s">
        <v>574</v>
      </c>
      <c r="G146" s="2" t="s">
        <v>348</v>
      </c>
      <c r="H146" s="2" t="s">
        <v>508</v>
      </c>
      <c r="I146" s="2" t="s">
        <v>24</v>
      </c>
      <c r="J146" s="2" t="s">
        <v>213</v>
      </c>
      <c r="K146" s="4" t="s">
        <v>255</v>
      </c>
      <c r="L146" s="4" t="s">
        <v>27</v>
      </c>
      <c r="M146" s="4" t="s">
        <v>323</v>
      </c>
      <c r="N146" s="5">
        <v>186998444</v>
      </c>
      <c r="O146" s="2" t="s">
        <v>575</v>
      </c>
      <c r="P146" s="2" t="s">
        <v>576</v>
      </c>
      <c r="Q146" s="4" t="s">
        <v>577</v>
      </c>
    </row>
    <row r="147" spans="1:17" x14ac:dyDescent="0.2">
      <c r="A147" s="2" t="s">
        <v>578</v>
      </c>
      <c r="B147" s="2" t="s">
        <v>55</v>
      </c>
      <c r="C147" s="2" t="s">
        <v>63</v>
      </c>
      <c r="D147" s="2" t="s">
        <v>20</v>
      </c>
      <c r="E147" s="3">
        <v>98685</v>
      </c>
      <c r="F147" s="4" t="s">
        <v>574</v>
      </c>
      <c r="G147" s="2" t="s">
        <v>348</v>
      </c>
      <c r="H147" s="2" t="s">
        <v>508</v>
      </c>
      <c r="I147" s="2" t="s">
        <v>24</v>
      </c>
      <c r="J147" s="2" t="s">
        <v>213</v>
      </c>
      <c r="K147" s="4" t="s">
        <v>255</v>
      </c>
      <c r="L147" s="4" t="s">
        <v>27</v>
      </c>
      <c r="M147" s="4" t="s">
        <v>191</v>
      </c>
      <c r="N147" s="5">
        <v>152283134</v>
      </c>
      <c r="O147" s="2" t="s">
        <v>299</v>
      </c>
      <c r="P147" s="2" t="s">
        <v>60</v>
      </c>
      <c r="Q147" s="4" t="s">
        <v>300</v>
      </c>
    </row>
    <row r="148" spans="1:17" x14ac:dyDescent="0.2">
      <c r="A148" s="2" t="s">
        <v>579</v>
      </c>
      <c r="B148" s="2" t="s">
        <v>55</v>
      </c>
      <c r="C148" s="2" t="s">
        <v>282</v>
      </c>
      <c r="D148" s="2" t="s">
        <v>20</v>
      </c>
      <c r="E148" s="3">
        <v>98671</v>
      </c>
      <c r="F148" s="4" t="s">
        <v>227</v>
      </c>
      <c r="G148" s="2" t="s">
        <v>348</v>
      </c>
      <c r="H148" s="2" t="s">
        <v>508</v>
      </c>
      <c r="I148" s="2" t="s">
        <v>24</v>
      </c>
      <c r="J148" s="2" t="s">
        <v>213</v>
      </c>
      <c r="K148" s="4" t="s">
        <v>274</v>
      </c>
      <c r="L148" s="4" t="s">
        <v>27</v>
      </c>
      <c r="M148" s="4" t="s">
        <v>323</v>
      </c>
      <c r="N148" s="5">
        <v>474792216</v>
      </c>
      <c r="O148" s="2" t="s">
        <v>285</v>
      </c>
      <c r="P148" s="2" t="s">
        <v>60</v>
      </c>
      <c r="Q148" s="4" t="s">
        <v>286</v>
      </c>
    </row>
    <row r="149" spans="1:17" x14ac:dyDescent="0.2">
      <c r="A149" s="2" t="s">
        <v>580</v>
      </c>
      <c r="B149" s="2" t="s">
        <v>110</v>
      </c>
      <c r="C149" s="2" t="s">
        <v>581</v>
      </c>
      <c r="D149" s="2" t="s">
        <v>20</v>
      </c>
      <c r="E149" s="3">
        <v>98387</v>
      </c>
      <c r="F149" s="4" t="s">
        <v>574</v>
      </c>
      <c r="G149" s="2" t="s">
        <v>348</v>
      </c>
      <c r="H149" s="2" t="s">
        <v>508</v>
      </c>
      <c r="I149" s="2" t="s">
        <v>24</v>
      </c>
      <c r="J149" s="2" t="s">
        <v>213</v>
      </c>
      <c r="K149" s="4" t="s">
        <v>255</v>
      </c>
      <c r="L149" s="4" t="s">
        <v>27</v>
      </c>
      <c r="M149" s="4" t="s">
        <v>582</v>
      </c>
      <c r="N149" s="5">
        <v>250480023</v>
      </c>
      <c r="O149" s="2" t="s">
        <v>583</v>
      </c>
      <c r="P149" s="2" t="s">
        <v>584</v>
      </c>
      <c r="Q149" s="4" t="s">
        <v>585</v>
      </c>
    </row>
    <row r="150" spans="1:17" x14ac:dyDescent="0.2">
      <c r="A150" s="2" t="s">
        <v>586</v>
      </c>
      <c r="B150" s="2" t="s">
        <v>33</v>
      </c>
      <c r="C150" s="2" t="s">
        <v>139</v>
      </c>
      <c r="D150" s="2" t="s">
        <v>20</v>
      </c>
      <c r="E150" s="3">
        <v>98059</v>
      </c>
      <c r="F150" s="4" t="s">
        <v>273</v>
      </c>
      <c r="G150" s="2" t="s">
        <v>348</v>
      </c>
      <c r="H150" s="2" t="s">
        <v>508</v>
      </c>
      <c r="I150" s="2" t="s">
        <v>24</v>
      </c>
      <c r="J150" s="2" t="s">
        <v>213</v>
      </c>
      <c r="K150" s="4" t="s">
        <v>514</v>
      </c>
      <c r="L150" s="4" t="s">
        <v>27</v>
      </c>
      <c r="M150" s="4" t="s">
        <v>35</v>
      </c>
      <c r="N150" s="5">
        <v>349075366</v>
      </c>
      <c r="O150" s="2" t="s">
        <v>587</v>
      </c>
      <c r="P150" s="2" t="s">
        <v>37</v>
      </c>
      <c r="Q150" s="4" t="s">
        <v>588</v>
      </c>
    </row>
    <row r="151" spans="1:17" x14ac:dyDescent="0.2">
      <c r="A151" s="2" t="s">
        <v>589</v>
      </c>
      <c r="B151" s="2" t="s">
        <v>18</v>
      </c>
      <c r="C151" s="2" t="s">
        <v>590</v>
      </c>
      <c r="D151" s="2" t="s">
        <v>20</v>
      </c>
      <c r="E151" s="3">
        <v>98359</v>
      </c>
      <c r="F151" s="4" t="s">
        <v>273</v>
      </c>
      <c r="G151" s="2" t="s">
        <v>348</v>
      </c>
      <c r="H151" s="2" t="s">
        <v>508</v>
      </c>
      <c r="I151" s="2" t="s">
        <v>24</v>
      </c>
      <c r="J151" s="2" t="s">
        <v>213</v>
      </c>
      <c r="K151" s="4" t="s">
        <v>514</v>
      </c>
      <c r="L151" s="4" t="s">
        <v>27</v>
      </c>
      <c r="M151" s="4" t="s">
        <v>101</v>
      </c>
      <c r="N151" s="5">
        <v>110202333</v>
      </c>
      <c r="O151" s="2" t="s">
        <v>591</v>
      </c>
      <c r="P151" s="2" t="s">
        <v>30</v>
      </c>
      <c r="Q151" s="4" t="s">
        <v>592</v>
      </c>
    </row>
    <row r="152" spans="1:17" x14ac:dyDescent="0.2">
      <c r="A152" s="2" t="s">
        <v>589</v>
      </c>
      <c r="B152" s="2" t="s">
        <v>33</v>
      </c>
      <c r="C152" s="2" t="s">
        <v>139</v>
      </c>
      <c r="D152" s="2" t="s">
        <v>20</v>
      </c>
      <c r="E152" s="3">
        <v>98056</v>
      </c>
      <c r="F152" s="4" t="s">
        <v>273</v>
      </c>
      <c r="G152" s="2" t="s">
        <v>348</v>
      </c>
      <c r="H152" s="2" t="s">
        <v>508</v>
      </c>
      <c r="I152" s="2" t="s">
        <v>24</v>
      </c>
      <c r="J152" s="2" t="s">
        <v>213</v>
      </c>
      <c r="K152" s="4" t="s">
        <v>514</v>
      </c>
      <c r="L152" s="4" t="s">
        <v>27</v>
      </c>
      <c r="M152" s="4" t="s">
        <v>140</v>
      </c>
      <c r="N152" s="5">
        <v>317791344</v>
      </c>
      <c r="O152" s="2" t="s">
        <v>593</v>
      </c>
      <c r="P152" s="2" t="s">
        <v>37</v>
      </c>
      <c r="Q152" s="4" t="s">
        <v>594</v>
      </c>
    </row>
    <row r="153" spans="1:17" x14ac:dyDescent="0.2">
      <c r="A153" s="2" t="s">
        <v>595</v>
      </c>
      <c r="B153" s="2" t="s">
        <v>48</v>
      </c>
      <c r="C153" s="2" t="s">
        <v>48</v>
      </c>
      <c r="D153" s="2" t="s">
        <v>20</v>
      </c>
      <c r="E153" s="3">
        <v>98908</v>
      </c>
      <c r="F153" s="4" t="s">
        <v>574</v>
      </c>
      <c r="G153" s="2" t="s">
        <v>348</v>
      </c>
      <c r="H153" s="2" t="s">
        <v>508</v>
      </c>
      <c r="I153" s="2" t="s">
        <v>24</v>
      </c>
      <c r="J153" s="2" t="s">
        <v>213</v>
      </c>
      <c r="K153" s="4" t="s">
        <v>255</v>
      </c>
      <c r="L153" s="4" t="s">
        <v>27</v>
      </c>
      <c r="M153" s="4" t="s">
        <v>50</v>
      </c>
      <c r="N153" s="5">
        <v>477578370</v>
      </c>
      <c r="O153" s="2" t="s">
        <v>596</v>
      </c>
      <c r="P153" s="2" t="s">
        <v>52</v>
      </c>
      <c r="Q153" s="4" t="s">
        <v>597</v>
      </c>
    </row>
    <row r="154" spans="1:17" hidden="1" x14ac:dyDescent="0.2">
      <c r="A154" s="2" t="s">
        <v>598</v>
      </c>
      <c r="B154" s="2" t="s">
        <v>331</v>
      </c>
      <c r="C154" s="2" t="s">
        <v>331</v>
      </c>
      <c r="D154" s="2" t="s">
        <v>20</v>
      </c>
      <c r="E154" s="3">
        <v>99208</v>
      </c>
      <c r="F154" s="4" t="s">
        <v>130</v>
      </c>
      <c r="G154" s="2" t="s">
        <v>599</v>
      </c>
      <c r="H154" s="2" t="s">
        <v>600</v>
      </c>
      <c r="I154" s="2" t="s">
        <v>212</v>
      </c>
      <c r="J154" s="2" t="s">
        <v>298</v>
      </c>
      <c r="K154" s="4" t="s">
        <v>27</v>
      </c>
      <c r="L154" s="4" t="s">
        <v>27</v>
      </c>
      <c r="M154" s="4" t="s">
        <v>332</v>
      </c>
      <c r="N154" s="5">
        <v>272341170</v>
      </c>
      <c r="O154" s="2" t="s">
        <v>333</v>
      </c>
      <c r="P154" s="2" t="s">
        <v>334</v>
      </c>
      <c r="Q154" s="4" t="s">
        <v>601</v>
      </c>
    </row>
    <row r="155" spans="1:17" hidden="1" x14ac:dyDescent="0.2">
      <c r="A155" s="2" t="s">
        <v>602</v>
      </c>
      <c r="B155" s="2" t="s">
        <v>33</v>
      </c>
      <c r="C155" s="2" t="s">
        <v>89</v>
      </c>
      <c r="D155" s="2" t="s">
        <v>20</v>
      </c>
      <c r="E155" s="3">
        <v>98011</v>
      </c>
      <c r="F155" s="4" t="s">
        <v>121</v>
      </c>
      <c r="G155" s="2" t="s">
        <v>603</v>
      </c>
      <c r="H155" s="2" t="s">
        <v>604</v>
      </c>
      <c r="I155" s="2" t="s">
        <v>212</v>
      </c>
      <c r="J155" s="2" t="s">
        <v>298</v>
      </c>
      <c r="K155" s="4" t="s">
        <v>27</v>
      </c>
      <c r="L155" s="4" t="s">
        <v>27</v>
      </c>
      <c r="M155" s="4" t="s">
        <v>170</v>
      </c>
      <c r="N155" s="5">
        <v>267963706</v>
      </c>
      <c r="O155" s="2" t="s">
        <v>503</v>
      </c>
      <c r="P155" s="2" t="s">
        <v>37</v>
      </c>
      <c r="Q155" s="4" t="s">
        <v>504</v>
      </c>
    </row>
    <row r="156" spans="1:17" hidden="1" x14ac:dyDescent="0.2">
      <c r="A156" s="2" t="s">
        <v>605</v>
      </c>
      <c r="B156" s="2" t="s">
        <v>33</v>
      </c>
      <c r="C156" s="2" t="s">
        <v>146</v>
      </c>
      <c r="D156" s="2" t="s">
        <v>20</v>
      </c>
      <c r="E156" s="3">
        <v>98004</v>
      </c>
      <c r="F156" s="4" t="s">
        <v>121</v>
      </c>
      <c r="G156" s="2" t="s">
        <v>603</v>
      </c>
      <c r="H156" s="2" t="s">
        <v>604</v>
      </c>
      <c r="I156" s="2" t="s">
        <v>212</v>
      </c>
      <c r="J156" s="2" t="s">
        <v>298</v>
      </c>
      <c r="K156" s="4" t="s">
        <v>27</v>
      </c>
      <c r="L156" s="4" t="s">
        <v>27</v>
      </c>
      <c r="M156" s="4" t="s">
        <v>147</v>
      </c>
      <c r="N156" s="5">
        <v>275677559</v>
      </c>
      <c r="O156" s="2" t="s">
        <v>148</v>
      </c>
      <c r="P156" s="2" t="s">
        <v>37</v>
      </c>
      <c r="Q156" s="4" t="s">
        <v>606</v>
      </c>
    </row>
    <row r="157" spans="1:17" hidden="1" x14ac:dyDescent="0.2">
      <c r="A157" s="2" t="s">
        <v>607</v>
      </c>
      <c r="B157" s="2" t="s">
        <v>55</v>
      </c>
      <c r="C157" s="2" t="s">
        <v>63</v>
      </c>
      <c r="D157" s="2" t="s">
        <v>20</v>
      </c>
      <c r="E157" s="3">
        <v>98662</v>
      </c>
      <c r="F157" s="4" t="s">
        <v>121</v>
      </c>
      <c r="G157" s="2" t="s">
        <v>603</v>
      </c>
      <c r="H157" s="2" t="s">
        <v>604</v>
      </c>
      <c r="I157" s="2" t="s">
        <v>212</v>
      </c>
      <c r="J157" s="2" t="s">
        <v>298</v>
      </c>
      <c r="K157" s="4" t="s">
        <v>27</v>
      </c>
      <c r="L157" s="4" t="s">
        <v>27</v>
      </c>
      <c r="M157" s="4" t="s">
        <v>191</v>
      </c>
      <c r="N157" s="5">
        <v>274241544</v>
      </c>
      <c r="O157" s="2" t="s">
        <v>192</v>
      </c>
      <c r="P157" s="2" t="s">
        <v>60</v>
      </c>
      <c r="Q157" s="4" t="s">
        <v>608</v>
      </c>
    </row>
    <row r="158" spans="1:17" hidden="1" x14ac:dyDescent="0.2">
      <c r="A158" s="2" t="s">
        <v>609</v>
      </c>
      <c r="B158" s="2" t="s">
        <v>33</v>
      </c>
      <c r="C158" s="2" t="s">
        <v>83</v>
      </c>
      <c r="D158" s="2" t="s">
        <v>20</v>
      </c>
      <c r="E158" s="3">
        <v>98125</v>
      </c>
      <c r="F158" s="4" t="s">
        <v>230</v>
      </c>
      <c r="G158" s="2" t="s">
        <v>610</v>
      </c>
      <c r="H158" s="2" t="s">
        <v>611</v>
      </c>
      <c r="I158" s="2" t="s">
        <v>212</v>
      </c>
      <c r="J158" s="2" t="s">
        <v>213</v>
      </c>
      <c r="K158" s="4" t="s">
        <v>612</v>
      </c>
      <c r="L158" s="4" t="s">
        <v>27</v>
      </c>
      <c r="M158" s="4" t="s">
        <v>278</v>
      </c>
      <c r="N158" s="5">
        <v>184963586</v>
      </c>
      <c r="O158" s="2" t="s">
        <v>279</v>
      </c>
      <c r="P158" s="2" t="s">
        <v>86</v>
      </c>
      <c r="Q158" s="4" t="s">
        <v>613</v>
      </c>
    </row>
    <row r="159" spans="1:17" hidden="1" x14ac:dyDescent="0.2">
      <c r="A159" s="2" t="s">
        <v>614</v>
      </c>
      <c r="B159" s="2" t="s">
        <v>33</v>
      </c>
      <c r="C159" s="2" t="s">
        <v>290</v>
      </c>
      <c r="D159" s="2" t="s">
        <v>20</v>
      </c>
      <c r="E159" s="3">
        <v>98155</v>
      </c>
      <c r="F159" s="4" t="s">
        <v>227</v>
      </c>
      <c r="G159" s="2" t="s">
        <v>610</v>
      </c>
      <c r="H159" s="2" t="s">
        <v>611</v>
      </c>
      <c r="I159" s="2" t="s">
        <v>212</v>
      </c>
      <c r="J159" s="2" t="s">
        <v>213</v>
      </c>
      <c r="K159" s="4" t="s">
        <v>615</v>
      </c>
      <c r="L159" s="4" t="s">
        <v>27</v>
      </c>
      <c r="M159" s="4" t="s">
        <v>74</v>
      </c>
      <c r="N159" s="5">
        <v>221188747</v>
      </c>
      <c r="O159" s="2" t="s">
        <v>616</v>
      </c>
      <c r="P159" s="2" t="s">
        <v>86</v>
      </c>
      <c r="Q159" s="4" t="s">
        <v>617</v>
      </c>
    </row>
    <row r="160" spans="1:17" hidden="1" x14ac:dyDescent="0.2">
      <c r="A160" s="2" t="s">
        <v>614</v>
      </c>
      <c r="B160" s="2" t="s">
        <v>262</v>
      </c>
      <c r="C160" s="2" t="s">
        <v>263</v>
      </c>
      <c r="D160" s="2" t="s">
        <v>20</v>
      </c>
      <c r="E160" s="3">
        <v>98837</v>
      </c>
      <c r="F160" s="4" t="s">
        <v>227</v>
      </c>
      <c r="G160" s="2" t="s">
        <v>610</v>
      </c>
      <c r="H160" s="2" t="s">
        <v>611</v>
      </c>
      <c r="I160" s="2" t="s">
        <v>212</v>
      </c>
      <c r="J160" s="2" t="s">
        <v>213</v>
      </c>
      <c r="K160" s="4" t="s">
        <v>615</v>
      </c>
      <c r="L160" s="4" t="s">
        <v>27</v>
      </c>
      <c r="M160" s="4" t="s">
        <v>264</v>
      </c>
      <c r="N160" s="5">
        <v>180438030</v>
      </c>
      <c r="O160" s="2" t="s">
        <v>265</v>
      </c>
      <c r="P160" s="2" t="s">
        <v>266</v>
      </c>
      <c r="Q160" s="4" t="s">
        <v>618</v>
      </c>
    </row>
    <row r="161" spans="1:17" hidden="1" x14ac:dyDescent="0.2">
      <c r="A161" s="2" t="s">
        <v>619</v>
      </c>
      <c r="B161" s="2" t="s">
        <v>33</v>
      </c>
      <c r="C161" s="2" t="s">
        <v>620</v>
      </c>
      <c r="D161" s="2" t="s">
        <v>20</v>
      </c>
      <c r="E161" s="3">
        <v>98059</v>
      </c>
      <c r="F161" s="4" t="s">
        <v>219</v>
      </c>
      <c r="G161" s="2" t="s">
        <v>610</v>
      </c>
      <c r="H161" s="2" t="s">
        <v>611</v>
      </c>
      <c r="I161" s="2" t="s">
        <v>212</v>
      </c>
      <c r="J161" s="2" t="s">
        <v>213</v>
      </c>
      <c r="K161" s="4" t="s">
        <v>612</v>
      </c>
      <c r="L161" s="4" t="s">
        <v>27</v>
      </c>
      <c r="M161" s="4" t="s">
        <v>403</v>
      </c>
      <c r="N161" s="5">
        <v>130630342</v>
      </c>
      <c r="O161" s="2" t="s">
        <v>587</v>
      </c>
      <c r="P161" s="2" t="s">
        <v>37</v>
      </c>
      <c r="Q161" s="4" t="s">
        <v>621</v>
      </c>
    </row>
    <row r="162" spans="1:17" hidden="1" x14ac:dyDescent="0.2">
      <c r="A162" s="2" t="s">
        <v>619</v>
      </c>
      <c r="B162" s="2" t="s">
        <v>33</v>
      </c>
      <c r="C162" s="2" t="s">
        <v>83</v>
      </c>
      <c r="D162" s="2" t="s">
        <v>20</v>
      </c>
      <c r="E162" s="3">
        <v>98117</v>
      </c>
      <c r="F162" s="4" t="s">
        <v>219</v>
      </c>
      <c r="G162" s="2" t="s">
        <v>610</v>
      </c>
      <c r="H162" s="2" t="s">
        <v>611</v>
      </c>
      <c r="I162" s="2" t="s">
        <v>212</v>
      </c>
      <c r="J162" s="2" t="s">
        <v>213</v>
      </c>
      <c r="K162" s="4" t="s">
        <v>612</v>
      </c>
      <c r="L162" s="4" t="s">
        <v>27</v>
      </c>
      <c r="M162" s="4" t="s">
        <v>84</v>
      </c>
      <c r="N162" s="5">
        <v>109252251</v>
      </c>
      <c r="O162" s="2" t="s">
        <v>622</v>
      </c>
      <c r="P162" s="2" t="s">
        <v>86</v>
      </c>
      <c r="Q162" s="4" t="s">
        <v>623</v>
      </c>
    </row>
    <row r="163" spans="1:17" hidden="1" x14ac:dyDescent="0.2">
      <c r="A163" s="2" t="s">
        <v>624</v>
      </c>
      <c r="B163" s="2" t="s">
        <v>175</v>
      </c>
      <c r="C163" s="2" t="s">
        <v>176</v>
      </c>
      <c r="D163" s="2" t="s">
        <v>20</v>
      </c>
      <c r="E163" s="3">
        <v>98826</v>
      </c>
      <c r="F163" s="4" t="s">
        <v>230</v>
      </c>
      <c r="G163" s="2" t="s">
        <v>610</v>
      </c>
      <c r="H163" s="2" t="s">
        <v>611</v>
      </c>
      <c r="I163" s="2" t="s">
        <v>212</v>
      </c>
      <c r="J163" s="2" t="s">
        <v>213</v>
      </c>
      <c r="K163" s="4" t="s">
        <v>612</v>
      </c>
      <c r="L163" s="4" t="s">
        <v>27</v>
      </c>
      <c r="M163" s="4" t="s">
        <v>177</v>
      </c>
      <c r="N163" s="5">
        <v>194767415</v>
      </c>
      <c r="O163" s="2" t="s">
        <v>178</v>
      </c>
      <c r="P163" s="2" t="s">
        <v>179</v>
      </c>
      <c r="Q163" s="4" t="s">
        <v>180</v>
      </c>
    </row>
    <row r="164" spans="1:17" hidden="1" x14ac:dyDescent="0.2">
      <c r="A164" s="2" t="s">
        <v>624</v>
      </c>
      <c r="B164" s="2" t="s">
        <v>207</v>
      </c>
      <c r="C164" s="2" t="s">
        <v>407</v>
      </c>
      <c r="D164" s="2" t="s">
        <v>20</v>
      </c>
      <c r="E164" s="3">
        <v>98232</v>
      </c>
      <c r="F164" s="4" t="s">
        <v>230</v>
      </c>
      <c r="G164" s="2" t="s">
        <v>610</v>
      </c>
      <c r="H164" s="2" t="s">
        <v>611</v>
      </c>
      <c r="I164" s="2" t="s">
        <v>212</v>
      </c>
      <c r="J164" s="2" t="s">
        <v>213</v>
      </c>
      <c r="K164" s="4" t="s">
        <v>612</v>
      </c>
      <c r="L164" s="4" t="s">
        <v>27</v>
      </c>
      <c r="M164" s="4" t="s">
        <v>409</v>
      </c>
      <c r="N164" s="5">
        <v>230680355</v>
      </c>
      <c r="O164" s="2" t="s">
        <v>410</v>
      </c>
      <c r="P164" s="2" t="s">
        <v>30</v>
      </c>
      <c r="Q164" s="4" t="s">
        <v>625</v>
      </c>
    </row>
    <row r="165" spans="1:17" hidden="1" x14ac:dyDescent="0.2">
      <c r="A165" s="2" t="s">
        <v>626</v>
      </c>
      <c r="B165" s="2" t="s">
        <v>33</v>
      </c>
      <c r="C165" s="2" t="s">
        <v>83</v>
      </c>
      <c r="D165" s="2" t="s">
        <v>20</v>
      </c>
      <c r="E165" s="3">
        <v>98103</v>
      </c>
      <c r="F165" s="4" t="s">
        <v>227</v>
      </c>
      <c r="G165" s="2" t="s">
        <v>610</v>
      </c>
      <c r="H165" s="2" t="s">
        <v>611</v>
      </c>
      <c r="I165" s="2" t="s">
        <v>212</v>
      </c>
      <c r="J165" s="2" t="s">
        <v>213</v>
      </c>
      <c r="K165" s="4" t="s">
        <v>615</v>
      </c>
      <c r="L165" s="4" t="s">
        <v>27</v>
      </c>
      <c r="M165" s="4" t="s">
        <v>436</v>
      </c>
      <c r="N165" s="5">
        <v>200768102</v>
      </c>
      <c r="O165" s="2" t="s">
        <v>627</v>
      </c>
      <c r="P165" s="2" t="s">
        <v>86</v>
      </c>
      <c r="Q165" s="4" t="s">
        <v>628</v>
      </c>
    </row>
    <row r="166" spans="1:17" hidden="1" x14ac:dyDescent="0.2">
      <c r="A166" s="2" t="s">
        <v>626</v>
      </c>
      <c r="B166" s="2" t="s">
        <v>33</v>
      </c>
      <c r="C166" s="2" t="s">
        <v>83</v>
      </c>
      <c r="D166" s="2" t="s">
        <v>20</v>
      </c>
      <c r="E166" s="3">
        <v>98109</v>
      </c>
      <c r="F166" s="4" t="s">
        <v>227</v>
      </c>
      <c r="G166" s="2" t="s">
        <v>610</v>
      </c>
      <c r="H166" s="2" t="s">
        <v>611</v>
      </c>
      <c r="I166" s="2" t="s">
        <v>212</v>
      </c>
      <c r="J166" s="2" t="s">
        <v>213</v>
      </c>
      <c r="K166" s="4" t="s">
        <v>615</v>
      </c>
      <c r="L166" s="4" t="s">
        <v>27</v>
      </c>
      <c r="M166" s="4" t="s">
        <v>84</v>
      </c>
      <c r="N166" s="5">
        <v>195639034</v>
      </c>
      <c r="O166" s="2" t="s">
        <v>437</v>
      </c>
      <c r="P166" s="2" t="s">
        <v>86</v>
      </c>
      <c r="Q166" s="4" t="s">
        <v>629</v>
      </c>
    </row>
    <row r="167" spans="1:17" hidden="1" x14ac:dyDescent="0.2">
      <c r="A167" s="2" t="s">
        <v>630</v>
      </c>
      <c r="B167" s="2" t="s">
        <v>18</v>
      </c>
      <c r="C167" s="2" t="s">
        <v>234</v>
      </c>
      <c r="D167" s="2" t="s">
        <v>20</v>
      </c>
      <c r="E167" s="3">
        <v>98110</v>
      </c>
      <c r="F167" s="4" t="s">
        <v>219</v>
      </c>
      <c r="G167" s="2" t="s">
        <v>610</v>
      </c>
      <c r="H167" s="2" t="s">
        <v>611</v>
      </c>
      <c r="I167" s="2" t="s">
        <v>212</v>
      </c>
      <c r="J167" s="2" t="s">
        <v>213</v>
      </c>
      <c r="K167" s="4" t="s">
        <v>612</v>
      </c>
      <c r="L167" s="4" t="s">
        <v>27</v>
      </c>
      <c r="M167" s="4" t="s">
        <v>28</v>
      </c>
      <c r="N167" s="5">
        <v>250505321</v>
      </c>
      <c r="O167" s="2" t="s">
        <v>235</v>
      </c>
      <c r="P167" s="2" t="s">
        <v>30</v>
      </c>
      <c r="Q167" s="4" t="s">
        <v>631</v>
      </c>
    </row>
    <row r="168" spans="1:17" hidden="1" x14ac:dyDescent="0.2">
      <c r="A168" s="2" t="s">
        <v>632</v>
      </c>
      <c r="B168" s="2" t="s">
        <v>33</v>
      </c>
      <c r="C168" s="2" t="s">
        <v>89</v>
      </c>
      <c r="D168" s="2" t="s">
        <v>20</v>
      </c>
      <c r="E168" s="3">
        <v>98011</v>
      </c>
      <c r="F168" s="4" t="s">
        <v>230</v>
      </c>
      <c r="G168" s="2" t="s">
        <v>610</v>
      </c>
      <c r="H168" s="2" t="s">
        <v>611</v>
      </c>
      <c r="I168" s="2" t="s">
        <v>212</v>
      </c>
      <c r="J168" s="2" t="s">
        <v>213</v>
      </c>
      <c r="K168" s="4" t="s">
        <v>612</v>
      </c>
      <c r="L168" s="4" t="s">
        <v>27</v>
      </c>
      <c r="M168" s="4" t="s">
        <v>170</v>
      </c>
      <c r="N168" s="5">
        <v>242422946</v>
      </c>
      <c r="O168" s="2" t="s">
        <v>503</v>
      </c>
      <c r="P168" s="2" t="s">
        <v>37</v>
      </c>
      <c r="Q168" s="4" t="s">
        <v>633</v>
      </c>
    </row>
    <row r="169" spans="1:17" hidden="1" x14ac:dyDescent="0.2">
      <c r="A169" s="2" t="s">
        <v>632</v>
      </c>
      <c r="B169" s="2" t="s">
        <v>110</v>
      </c>
      <c r="C169" s="2" t="s">
        <v>634</v>
      </c>
      <c r="D169" s="2" t="s">
        <v>20</v>
      </c>
      <c r="E169" s="3">
        <v>98329</v>
      </c>
      <c r="F169" s="4" t="s">
        <v>230</v>
      </c>
      <c r="G169" s="2" t="s">
        <v>610</v>
      </c>
      <c r="H169" s="2" t="s">
        <v>611</v>
      </c>
      <c r="I169" s="2" t="s">
        <v>212</v>
      </c>
      <c r="J169" s="2" t="s">
        <v>213</v>
      </c>
      <c r="K169" s="4" t="s">
        <v>612</v>
      </c>
      <c r="L169" s="4" t="s">
        <v>27</v>
      </c>
      <c r="M169" s="4" t="s">
        <v>101</v>
      </c>
      <c r="N169" s="5">
        <v>157062706</v>
      </c>
      <c r="O169" s="2" t="s">
        <v>635</v>
      </c>
      <c r="P169" s="2" t="s">
        <v>310</v>
      </c>
      <c r="Q169" s="4" t="s">
        <v>636</v>
      </c>
    </row>
    <row r="170" spans="1:17" hidden="1" x14ac:dyDescent="0.2">
      <c r="A170" s="2" t="s">
        <v>637</v>
      </c>
      <c r="B170" s="2" t="s">
        <v>18</v>
      </c>
      <c r="C170" s="2" t="s">
        <v>100</v>
      </c>
      <c r="D170" s="2" t="s">
        <v>20</v>
      </c>
      <c r="E170" s="3">
        <v>98366</v>
      </c>
      <c r="F170" s="4" t="s">
        <v>219</v>
      </c>
      <c r="G170" s="2" t="s">
        <v>610</v>
      </c>
      <c r="H170" s="2" t="s">
        <v>611</v>
      </c>
      <c r="I170" s="2" t="s">
        <v>212</v>
      </c>
      <c r="J170" s="2" t="s">
        <v>213</v>
      </c>
      <c r="K170" s="4" t="s">
        <v>612</v>
      </c>
      <c r="L170" s="4" t="s">
        <v>27</v>
      </c>
      <c r="M170" s="4" t="s">
        <v>101</v>
      </c>
      <c r="N170" s="5">
        <v>348062459</v>
      </c>
      <c r="O170" s="2" t="s">
        <v>102</v>
      </c>
      <c r="P170" s="2" t="s">
        <v>30</v>
      </c>
      <c r="Q170" s="4" t="s">
        <v>638</v>
      </c>
    </row>
    <row r="171" spans="1:17" hidden="1" x14ac:dyDescent="0.2">
      <c r="A171" s="2" t="s">
        <v>639</v>
      </c>
      <c r="B171" s="2" t="s">
        <v>40</v>
      </c>
      <c r="C171" s="2" t="s">
        <v>268</v>
      </c>
      <c r="D171" s="2" t="s">
        <v>20</v>
      </c>
      <c r="E171" s="3">
        <v>98026</v>
      </c>
      <c r="F171" s="4" t="s">
        <v>230</v>
      </c>
      <c r="G171" s="2" t="s">
        <v>610</v>
      </c>
      <c r="H171" s="2" t="s">
        <v>611</v>
      </c>
      <c r="I171" s="2" t="s">
        <v>212</v>
      </c>
      <c r="J171" s="2" t="s">
        <v>213</v>
      </c>
      <c r="K171" s="4" t="s">
        <v>612</v>
      </c>
      <c r="L171" s="4" t="s">
        <v>27</v>
      </c>
      <c r="M171" s="4" t="s">
        <v>74</v>
      </c>
      <c r="N171" s="5">
        <v>194417912</v>
      </c>
      <c r="O171" s="2" t="s">
        <v>640</v>
      </c>
      <c r="P171" s="2" t="s">
        <v>30</v>
      </c>
      <c r="Q171" s="4" t="s">
        <v>641</v>
      </c>
    </row>
    <row r="172" spans="1:17" hidden="1" x14ac:dyDescent="0.2">
      <c r="A172" s="2" t="s">
        <v>642</v>
      </c>
      <c r="B172" s="2" t="s">
        <v>33</v>
      </c>
      <c r="C172" s="2" t="s">
        <v>146</v>
      </c>
      <c r="D172" s="2" t="s">
        <v>20</v>
      </c>
      <c r="E172" s="3">
        <v>98008</v>
      </c>
      <c r="F172" s="4" t="s">
        <v>209</v>
      </c>
      <c r="G172" s="2" t="s">
        <v>610</v>
      </c>
      <c r="H172" s="2" t="s">
        <v>611</v>
      </c>
      <c r="I172" s="2" t="s">
        <v>212</v>
      </c>
      <c r="J172" s="2" t="s">
        <v>213</v>
      </c>
      <c r="K172" s="4" t="s">
        <v>612</v>
      </c>
      <c r="L172" s="4" t="s">
        <v>27</v>
      </c>
      <c r="M172" s="4" t="s">
        <v>147</v>
      </c>
      <c r="N172" s="5">
        <v>222131192</v>
      </c>
      <c r="O172" s="2" t="s">
        <v>537</v>
      </c>
      <c r="P172" s="2" t="s">
        <v>37</v>
      </c>
      <c r="Q172" s="4" t="s">
        <v>643</v>
      </c>
    </row>
    <row r="173" spans="1:17" hidden="1" x14ac:dyDescent="0.2">
      <c r="A173" s="2" t="s">
        <v>642</v>
      </c>
      <c r="B173" s="2" t="s">
        <v>33</v>
      </c>
      <c r="C173" s="2" t="s">
        <v>146</v>
      </c>
      <c r="D173" s="2" t="s">
        <v>20</v>
      </c>
      <c r="E173" s="3">
        <v>98004</v>
      </c>
      <c r="F173" s="4" t="s">
        <v>209</v>
      </c>
      <c r="G173" s="2" t="s">
        <v>610</v>
      </c>
      <c r="H173" s="2" t="s">
        <v>611</v>
      </c>
      <c r="I173" s="2" t="s">
        <v>212</v>
      </c>
      <c r="J173" s="2" t="s">
        <v>213</v>
      </c>
      <c r="K173" s="4" t="s">
        <v>612</v>
      </c>
      <c r="L173" s="4" t="s">
        <v>27</v>
      </c>
      <c r="M173" s="4" t="s">
        <v>147</v>
      </c>
      <c r="N173" s="5">
        <v>101852334</v>
      </c>
      <c r="O173" s="2" t="s">
        <v>148</v>
      </c>
      <c r="P173" s="2" t="s">
        <v>37</v>
      </c>
      <c r="Q173" s="4" t="s">
        <v>195</v>
      </c>
    </row>
    <row r="174" spans="1:17" hidden="1" x14ac:dyDescent="0.2">
      <c r="A174" s="2" t="s">
        <v>644</v>
      </c>
      <c r="B174" s="2" t="s">
        <v>207</v>
      </c>
      <c r="C174" s="2" t="s">
        <v>645</v>
      </c>
      <c r="D174" s="2" t="s">
        <v>20</v>
      </c>
      <c r="E174" s="3">
        <v>98284</v>
      </c>
      <c r="F174" s="4" t="s">
        <v>227</v>
      </c>
      <c r="G174" s="2" t="s">
        <v>610</v>
      </c>
      <c r="H174" s="2" t="s">
        <v>611</v>
      </c>
      <c r="I174" s="2" t="s">
        <v>212</v>
      </c>
      <c r="J174" s="2" t="s">
        <v>213</v>
      </c>
      <c r="K174" s="4" t="s">
        <v>615</v>
      </c>
      <c r="L174" s="4" t="s">
        <v>27</v>
      </c>
      <c r="M174" s="4" t="s">
        <v>44</v>
      </c>
      <c r="N174" s="5">
        <v>209514833</v>
      </c>
      <c r="O174" s="2" t="s">
        <v>646</v>
      </c>
      <c r="P174" s="2" t="s">
        <v>30</v>
      </c>
      <c r="Q174" s="4" t="s">
        <v>647</v>
      </c>
    </row>
    <row r="175" spans="1:17" hidden="1" x14ac:dyDescent="0.2">
      <c r="A175" s="2" t="s">
        <v>644</v>
      </c>
      <c r="B175" s="2" t="s">
        <v>40</v>
      </c>
      <c r="C175" s="2" t="s">
        <v>73</v>
      </c>
      <c r="D175" s="2" t="s">
        <v>20</v>
      </c>
      <c r="E175" s="3">
        <v>98036</v>
      </c>
      <c r="F175" s="4" t="s">
        <v>227</v>
      </c>
      <c r="G175" s="2" t="s">
        <v>610</v>
      </c>
      <c r="H175" s="2" t="s">
        <v>611</v>
      </c>
      <c r="I175" s="2" t="s">
        <v>212</v>
      </c>
      <c r="J175" s="2" t="s">
        <v>213</v>
      </c>
      <c r="K175" s="4" t="s">
        <v>615</v>
      </c>
      <c r="L175" s="4" t="s">
        <v>27</v>
      </c>
      <c r="M175" s="4" t="s">
        <v>170</v>
      </c>
      <c r="N175" s="5">
        <v>214431171</v>
      </c>
      <c r="O175" s="2" t="s">
        <v>75</v>
      </c>
      <c r="P175" s="2" t="s">
        <v>30</v>
      </c>
      <c r="Q175" s="4" t="s">
        <v>648</v>
      </c>
    </row>
    <row r="176" spans="1:17" hidden="1" x14ac:dyDescent="0.2">
      <c r="A176" s="2" t="s">
        <v>644</v>
      </c>
      <c r="B176" s="2" t="s">
        <v>33</v>
      </c>
      <c r="C176" s="2" t="s">
        <v>169</v>
      </c>
      <c r="D176" s="2" t="s">
        <v>20</v>
      </c>
      <c r="E176" s="3">
        <v>98034</v>
      </c>
      <c r="F176" s="4" t="s">
        <v>227</v>
      </c>
      <c r="G176" s="2" t="s">
        <v>610</v>
      </c>
      <c r="H176" s="2" t="s">
        <v>611</v>
      </c>
      <c r="I176" s="2" t="s">
        <v>212</v>
      </c>
      <c r="J176" s="2" t="s">
        <v>213</v>
      </c>
      <c r="K176" s="4" t="s">
        <v>615</v>
      </c>
      <c r="L176" s="4" t="s">
        <v>27</v>
      </c>
      <c r="M176" s="4" t="s">
        <v>198</v>
      </c>
      <c r="N176" s="5">
        <v>121522803</v>
      </c>
      <c r="O176" s="2" t="s">
        <v>171</v>
      </c>
      <c r="P176" s="2" t="s">
        <v>37</v>
      </c>
      <c r="Q176" s="4" t="s">
        <v>649</v>
      </c>
    </row>
    <row r="177" spans="1:17" hidden="1" x14ac:dyDescent="0.2">
      <c r="A177" s="2" t="s">
        <v>644</v>
      </c>
      <c r="B177" s="2" t="s">
        <v>33</v>
      </c>
      <c r="C177" s="2" t="s">
        <v>83</v>
      </c>
      <c r="D177" s="2" t="s">
        <v>20</v>
      </c>
      <c r="E177" s="3">
        <v>98119</v>
      </c>
      <c r="F177" s="4" t="s">
        <v>227</v>
      </c>
      <c r="G177" s="2" t="s">
        <v>610</v>
      </c>
      <c r="H177" s="2" t="s">
        <v>611</v>
      </c>
      <c r="I177" s="2" t="s">
        <v>212</v>
      </c>
      <c r="J177" s="2" t="s">
        <v>213</v>
      </c>
      <c r="K177" s="4" t="s">
        <v>615</v>
      </c>
      <c r="L177" s="4" t="s">
        <v>27</v>
      </c>
      <c r="M177" s="4" t="s">
        <v>84</v>
      </c>
      <c r="N177" s="5">
        <v>237061968</v>
      </c>
      <c r="O177" s="2" t="s">
        <v>650</v>
      </c>
      <c r="P177" s="2" t="s">
        <v>86</v>
      </c>
      <c r="Q177" s="4" t="s">
        <v>651</v>
      </c>
    </row>
    <row r="178" spans="1:17" hidden="1" x14ac:dyDescent="0.2">
      <c r="A178" s="2" t="s">
        <v>652</v>
      </c>
      <c r="B178" s="2" t="s">
        <v>55</v>
      </c>
      <c r="C178" s="2" t="s">
        <v>63</v>
      </c>
      <c r="D178" s="2" t="s">
        <v>20</v>
      </c>
      <c r="E178" s="3">
        <v>98685</v>
      </c>
      <c r="F178" s="4" t="s">
        <v>230</v>
      </c>
      <c r="G178" s="2" t="s">
        <v>610</v>
      </c>
      <c r="H178" s="2" t="s">
        <v>611</v>
      </c>
      <c r="I178" s="2" t="s">
        <v>212</v>
      </c>
      <c r="J178" s="2" t="s">
        <v>213</v>
      </c>
      <c r="K178" s="4" t="s">
        <v>612</v>
      </c>
      <c r="L178" s="4" t="s">
        <v>27</v>
      </c>
      <c r="M178" s="4" t="s">
        <v>58</v>
      </c>
      <c r="N178" s="5">
        <v>237587409</v>
      </c>
      <c r="O178" s="2" t="s">
        <v>299</v>
      </c>
      <c r="P178" s="2" t="s">
        <v>60</v>
      </c>
      <c r="Q178" s="4" t="s">
        <v>300</v>
      </c>
    </row>
    <row r="179" spans="1:17" hidden="1" x14ac:dyDescent="0.2">
      <c r="A179" s="2" t="s">
        <v>653</v>
      </c>
      <c r="B179" s="2" t="s">
        <v>40</v>
      </c>
      <c r="C179" s="2" t="s">
        <v>383</v>
      </c>
      <c r="D179" s="2" t="s">
        <v>20</v>
      </c>
      <c r="E179" s="3">
        <v>98208</v>
      </c>
      <c r="F179" s="4" t="s">
        <v>227</v>
      </c>
      <c r="G179" s="2" t="s">
        <v>610</v>
      </c>
      <c r="H179" s="2" t="s">
        <v>611</v>
      </c>
      <c r="I179" s="2" t="s">
        <v>212</v>
      </c>
      <c r="J179" s="2" t="s">
        <v>213</v>
      </c>
      <c r="K179" s="4" t="s">
        <v>615</v>
      </c>
      <c r="L179" s="4" t="s">
        <v>27</v>
      </c>
      <c r="M179" s="4" t="s">
        <v>26</v>
      </c>
      <c r="N179" s="5">
        <v>139526880</v>
      </c>
      <c r="O179" s="2" t="s">
        <v>384</v>
      </c>
      <c r="P179" s="2" t="s">
        <v>30</v>
      </c>
      <c r="Q179" s="4" t="s">
        <v>654</v>
      </c>
    </row>
    <row r="180" spans="1:17" hidden="1" x14ac:dyDescent="0.2">
      <c r="A180" s="2" t="s">
        <v>653</v>
      </c>
      <c r="B180" s="2" t="s">
        <v>40</v>
      </c>
      <c r="C180" s="2" t="s">
        <v>383</v>
      </c>
      <c r="D180" s="2" t="s">
        <v>20</v>
      </c>
      <c r="E180" s="3">
        <v>98208</v>
      </c>
      <c r="F180" s="4" t="s">
        <v>227</v>
      </c>
      <c r="G180" s="2" t="s">
        <v>610</v>
      </c>
      <c r="H180" s="2" t="s">
        <v>611</v>
      </c>
      <c r="I180" s="2" t="s">
        <v>212</v>
      </c>
      <c r="J180" s="2" t="s">
        <v>213</v>
      </c>
      <c r="K180" s="4" t="s">
        <v>615</v>
      </c>
      <c r="L180" s="4" t="s">
        <v>27</v>
      </c>
      <c r="M180" s="4" t="s">
        <v>26</v>
      </c>
      <c r="N180" s="5">
        <v>150353780</v>
      </c>
      <c r="O180" s="2" t="s">
        <v>384</v>
      </c>
      <c r="P180" s="2" t="s">
        <v>30</v>
      </c>
      <c r="Q180" s="4" t="s">
        <v>655</v>
      </c>
    </row>
    <row r="181" spans="1:17" hidden="1" x14ac:dyDescent="0.2">
      <c r="A181" s="2" t="s">
        <v>656</v>
      </c>
      <c r="B181" s="2" t="s">
        <v>151</v>
      </c>
      <c r="C181" s="2" t="s">
        <v>152</v>
      </c>
      <c r="D181" s="2" t="s">
        <v>20</v>
      </c>
      <c r="E181" s="3">
        <v>98513</v>
      </c>
      <c r="F181" s="4" t="s">
        <v>219</v>
      </c>
      <c r="G181" s="2" t="s">
        <v>610</v>
      </c>
      <c r="H181" s="2" t="s">
        <v>611</v>
      </c>
      <c r="I181" s="2" t="s">
        <v>212</v>
      </c>
      <c r="J181" s="2" t="s">
        <v>213</v>
      </c>
      <c r="K181" s="4" t="s">
        <v>612</v>
      </c>
      <c r="L181" s="4" t="s">
        <v>27</v>
      </c>
      <c r="M181" s="4" t="s">
        <v>357</v>
      </c>
      <c r="N181" s="5">
        <v>223651074</v>
      </c>
      <c r="O181" s="2" t="s">
        <v>657</v>
      </c>
      <c r="P181" s="2" t="s">
        <v>30</v>
      </c>
      <c r="Q181" s="4" t="s">
        <v>658</v>
      </c>
    </row>
    <row r="182" spans="1:17" hidden="1" x14ac:dyDescent="0.2">
      <c r="A182" s="2" t="s">
        <v>659</v>
      </c>
      <c r="B182" s="2" t="s">
        <v>40</v>
      </c>
      <c r="C182" s="2" t="s">
        <v>73</v>
      </c>
      <c r="D182" s="2" t="s">
        <v>20</v>
      </c>
      <c r="E182" s="3">
        <v>98087</v>
      </c>
      <c r="F182" s="4" t="s">
        <v>230</v>
      </c>
      <c r="G182" s="2" t="s">
        <v>610</v>
      </c>
      <c r="H182" s="2" t="s">
        <v>611</v>
      </c>
      <c r="I182" s="2" t="s">
        <v>212</v>
      </c>
      <c r="J182" s="2" t="s">
        <v>213</v>
      </c>
      <c r="K182" s="4" t="s">
        <v>612</v>
      </c>
      <c r="L182" s="4" t="s">
        <v>27</v>
      </c>
      <c r="M182" s="4" t="s">
        <v>26</v>
      </c>
      <c r="N182" s="5">
        <v>177857186</v>
      </c>
      <c r="O182" s="2" t="s">
        <v>496</v>
      </c>
      <c r="P182" s="2" t="s">
        <v>30</v>
      </c>
      <c r="Q182" s="4" t="s">
        <v>660</v>
      </c>
    </row>
    <row r="183" spans="1:17" hidden="1" x14ac:dyDescent="0.2">
      <c r="A183" s="2" t="s">
        <v>659</v>
      </c>
      <c r="B183" s="2" t="s">
        <v>151</v>
      </c>
      <c r="C183" s="2" t="s">
        <v>152</v>
      </c>
      <c r="D183" s="2" t="s">
        <v>20</v>
      </c>
      <c r="E183" s="3">
        <v>98513</v>
      </c>
      <c r="F183" s="4" t="s">
        <v>230</v>
      </c>
      <c r="G183" s="2" t="s">
        <v>610</v>
      </c>
      <c r="H183" s="2" t="s">
        <v>611</v>
      </c>
      <c r="I183" s="2" t="s">
        <v>212</v>
      </c>
      <c r="J183" s="2" t="s">
        <v>213</v>
      </c>
      <c r="K183" s="4" t="s">
        <v>612</v>
      </c>
      <c r="L183" s="4" t="s">
        <v>27</v>
      </c>
      <c r="M183" s="4" t="s">
        <v>79</v>
      </c>
      <c r="N183" s="5">
        <v>179420412</v>
      </c>
      <c r="O183" s="2" t="s">
        <v>657</v>
      </c>
      <c r="P183" s="2" t="s">
        <v>30</v>
      </c>
      <c r="Q183" s="4" t="s">
        <v>661</v>
      </c>
    </row>
    <row r="184" spans="1:17" hidden="1" x14ac:dyDescent="0.2">
      <c r="A184" s="2" t="s">
        <v>662</v>
      </c>
      <c r="B184" s="2" t="s">
        <v>33</v>
      </c>
      <c r="C184" s="2" t="s">
        <v>492</v>
      </c>
      <c r="D184" s="2" t="s">
        <v>20</v>
      </c>
      <c r="E184" s="3">
        <v>98065</v>
      </c>
      <c r="F184" s="4" t="s">
        <v>227</v>
      </c>
      <c r="G184" s="2" t="s">
        <v>610</v>
      </c>
      <c r="H184" s="2" t="s">
        <v>611</v>
      </c>
      <c r="I184" s="2" t="s">
        <v>212</v>
      </c>
      <c r="J184" s="2" t="s">
        <v>213</v>
      </c>
      <c r="K184" s="4" t="s">
        <v>615</v>
      </c>
      <c r="L184" s="4" t="s">
        <v>27</v>
      </c>
      <c r="M184" s="4" t="s">
        <v>35</v>
      </c>
      <c r="N184" s="5">
        <v>111718736</v>
      </c>
      <c r="O184" s="2" t="s">
        <v>493</v>
      </c>
      <c r="P184" s="2" t="s">
        <v>37</v>
      </c>
      <c r="Q184" s="4" t="s">
        <v>663</v>
      </c>
    </row>
    <row r="185" spans="1:17" hidden="1" x14ac:dyDescent="0.2">
      <c r="A185" s="2" t="s">
        <v>664</v>
      </c>
      <c r="B185" s="2" t="s">
        <v>18</v>
      </c>
      <c r="C185" s="2" t="s">
        <v>665</v>
      </c>
      <c r="D185" s="2" t="s">
        <v>20</v>
      </c>
      <c r="E185" s="3">
        <v>98380</v>
      </c>
      <c r="F185" s="4" t="s">
        <v>219</v>
      </c>
      <c r="G185" s="2" t="s">
        <v>610</v>
      </c>
      <c r="H185" s="2" t="s">
        <v>611</v>
      </c>
      <c r="I185" s="2" t="s">
        <v>212</v>
      </c>
      <c r="J185" s="2" t="s">
        <v>213</v>
      </c>
      <c r="K185" s="4" t="s">
        <v>612</v>
      </c>
      <c r="L185" s="4" t="s">
        <v>27</v>
      </c>
      <c r="M185" s="4" t="s">
        <v>255</v>
      </c>
      <c r="N185" s="5">
        <v>219579748</v>
      </c>
      <c r="O185" s="2" t="s">
        <v>666</v>
      </c>
      <c r="P185" s="2" t="s">
        <v>30</v>
      </c>
      <c r="Q185" s="4" t="s">
        <v>667</v>
      </c>
    </row>
    <row r="186" spans="1:17" hidden="1" x14ac:dyDescent="0.2">
      <c r="A186" s="2" t="s">
        <v>668</v>
      </c>
      <c r="B186" s="2" t="s">
        <v>33</v>
      </c>
      <c r="C186" s="2" t="s">
        <v>669</v>
      </c>
      <c r="D186" s="2" t="s">
        <v>20</v>
      </c>
      <c r="E186" s="3">
        <v>98052</v>
      </c>
      <c r="F186" s="4" t="s">
        <v>230</v>
      </c>
      <c r="G186" s="2" t="s">
        <v>610</v>
      </c>
      <c r="H186" s="2" t="s">
        <v>611</v>
      </c>
      <c r="I186" s="2" t="s">
        <v>212</v>
      </c>
      <c r="J186" s="2" t="s">
        <v>213</v>
      </c>
      <c r="K186" s="4" t="s">
        <v>612</v>
      </c>
      <c r="L186" s="4" t="s">
        <v>27</v>
      </c>
      <c r="M186" s="4" t="s">
        <v>147</v>
      </c>
      <c r="N186" s="5">
        <v>324161575</v>
      </c>
      <c r="O186" s="2" t="s">
        <v>670</v>
      </c>
      <c r="P186" s="2" t="s">
        <v>37</v>
      </c>
      <c r="Q186" s="4" t="s">
        <v>671</v>
      </c>
    </row>
    <row r="187" spans="1:17" hidden="1" x14ac:dyDescent="0.2">
      <c r="A187" s="2" t="s">
        <v>672</v>
      </c>
      <c r="B187" s="2" t="s">
        <v>33</v>
      </c>
      <c r="C187" s="2" t="s">
        <v>139</v>
      </c>
      <c r="D187" s="2" t="s">
        <v>20</v>
      </c>
      <c r="E187" s="3">
        <v>98059</v>
      </c>
      <c r="F187" s="4" t="s">
        <v>209</v>
      </c>
      <c r="G187" s="2" t="s">
        <v>610</v>
      </c>
      <c r="H187" s="2" t="s">
        <v>611</v>
      </c>
      <c r="I187" s="2" t="s">
        <v>212</v>
      </c>
      <c r="J187" s="2" t="s">
        <v>213</v>
      </c>
      <c r="K187" s="4" t="s">
        <v>612</v>
      </c>
      <c r="L187" s="4" t="s">
        <v>27</v>
      </c>
      <c r="M187" s="4" t="s">
        <v>140</v>
      </c>
      <c r="N187" s="5">
        <v>6389491</v>
      </c>
      <c r="O187" s="2" t="s">
        <v>587</v>
      </c>
      <c r="P187" s="2" t="s">
        <v>37</v>
      </c>
      <c r="Q187" s="4" t="s">
        <v>588</v>
      </c>
    </row>
    <row r="188" spans="1:17" hidden="1" x14ac:dyDescent="0.2">
      <c r="A188" s="2" t="s">
        <v>672</v>
      </c>
      <c r="B188" s="2" t="s">
        <v>110</v>
      </c>
      <c r="C188" s="2" t="s">
        <v>673</v>
      </c>
      <c r="D188" s="2" t="s">
        <v>20</v>
      </c>
      <c r="E188" s="3">
        <v>98373</v>
      </c>
      <c r="F188" s="4" t="s">
        <v>209</v>
      </c>
      <c r="G188" s="2" t="s">
        <v>610</v>
      </c>
      <c r="H188" s="2" t="s">
        <v>611</v>
      </c>
      <c r="I188" s="2" t="s">
        <v>212</v>
      </c>
      <c r="J188" s="2" t="s">
        <v>213</v>
      </c>
      <c r="K188" s="4" t="s">
        <v>612</v>
      </c>
      <c r="L188" s="4" t="s">
        <v>27</v>
      </c>
      <c r="M188" s="4" t="s">
        <v>43</v>
      </c>
      <c r="N188" s="5">
        <v>259569481</v>
      </c>
      <c r="O188" s="2" t="s">
        <v>674</v>
      </c>
      <c r="P188" s="2" t="s">
        <v>584</v>
      </c>
      <c r="Q188" s="4" t="s">
        <v>675</v>
      </c>
    </row>
    <row r="189" spans="1:17" hidden="1" x14ac:dyDescent="0.2">
      <c r="A189" s="2" t="s">
        <v>676</v>
      </c>
      <c r="B189" s="2" t="s">
        <v>33</v>
      </c>
      <c r="C189" s="2" t="s">
        <v>83</v>
      </c>
      <c r="D189" s="2" t="s">
        <v>20</v>
      </c>
      <c r="E189" s="3">
        <v>98118</v>
      </c>
      <c r="F189" s="4" t="s">
        <v>227</v>
      </c>
      <c r="G189" s="2" t="s">
        <v>610</v>
      </c>
      <c r="H189" s="2" t="s">
        <v>611</v>
      </c>
      <c r="I189" s="2" t="s">
        <v>212</v>
      </c>
      <c r="J189" s="2" t="s">
        <v>213</v>
      </c>
      <c r="K189" s="4" t="s">
        <v>615</v>
      </c>
      <c r="L189" s="4" t="s">
        <v>27</v>
      </c>
      <c r="M189" s="4" t="s">
        <v>284</v>
      </c>
      <c r="N189" s="5">
        <v>218785311</v>
      </c>
      <c r="O189" s="2" t="s">
        <v>523</v>
      </c>
      <c r="P189" s="2" t="s">
        <v>86</v>
      </c>
      <c r="Q189" s="4" t="s">
        <v>677</v>
      </c>
    </row>
    <row r="190" spans="1:17" hidden="1" x14ac:dyDescent="0.2">
      <c r="A190" s="2" t="s">
        <v>678</v>
      </c>
      <c r="B190" s="2" t="s">
        <v>151</v>
      </c>
      <c r="C190" s="2" t="s">
        <v>356</v>
      </c>
      <c r="D190" s="2" t="s">
        <v>20</v>
      </c>
      <c r="E190" s="3">
        <v>98597</v>
      </c>
      <c r="F190" s="4" t="s">
        <v>219</v>
      </c>
      <c r="G190" s="2" t="s">
        <v>610</v>
      </c>
      <c r="H190" s="2" t="s">
        <v>611</v>
      </c>
      <c r="I190" s="2" t="s">
        <v>212</v>
      </c>
      <c r="J190" s="2" t="s">
        <v>213</v>
      </c>
      <c r="K190" s="4" t="s">
        <v>612</v>
      </c>
      <c r="L190" s="4" t="s">
        <v>27</v>
      </c>
      <c r="M190" s="4" t="s">
        <v>357</v>
      </c>
      <c r="N190" s="5">
        <v>247914271</v>
      </c>
      <c r="O190" s="2" t="s">
        <v>358</v>
      </c>
      <c r="P190" s="2" t="s">
        <v>30</v>
      </c>
      <c r="Q190" s="4" t="s">
        <v>679</v>
      </c>
    </row>
    <row r="191" spans="1:17" hidden="1" x14ac:dyDescent="0.2">
      <c r="A191" s="2" t="s">
        <v>678</v>
      </c>
      <c r="B191" s="2" t="s">
        <v>33</v>
      </c>
      <c r="C191" s="2" t="s">
        <v>83</v>
      </c>
      <c r="D191" s="2" t="s">
        <v>20</v>
      </c>
      <c r="E191" s="3">
        <v>98199</v>
      </c>
      <c r="F191" s="4" t="s">
        <v>219</v>
      </c>
      <c r="G191" s="2" t="s">
        <v>610</v>
      </c>
      <c r="H191" s="2" t="s">
        <v>611</v>
      </c>
      <c r="I191" s="2" t="s">
        <v>212</v>
      </c>
      <c r="J191" s="2" t="s">
        <v>213</v>
      </c>
      <c r="K191" s="4" t="s">
        <v>612</v>
      </c>
      <c r="L191" s="4" t="s">
        <v>27</v>
      </c>
      <c r="M191" s="4" t="s">
        <v>84</v>
      </c>
      <c r="N191" s="5">
        <v>116102241</v>
      </c>
      <c r="O191" s="2" t="s">
        <v>380</v>
      </c>
      <c r="P191" s="2" t="s">
        <v>86</v>
      </c>
      <c r="Q191" s="4" t="s">
        <v>413</v>
      </c>
    </row>
    <row r="192" spans="1:17" hidden="1" x14ac:dyDescent="0.2">
      <c r="A192" s="2" t="s">
        <v>680</v>
      </c>
      <c r="B192" s="2" t="s">
        <v>33</v>
      </c>
      <c r="C192" s="2" t="s">
        <v>83</v>
      </c>
      <c r="D192" s="2" t="s">
        <v>20</v>
      </c>
      <c r="E192" s="3">
        <v>98117</v>
      </c>
      <c r="F192" s="4" t="s">
        <v>230</v>
      </c>
      <c r="G192" s="2" t="s">
        <v>610</v>
      </c>
      <c r="H192" s="2" t="s">
        <v>611</v>
      </c>
      <c r="I192" s="2" t="s">
        <v>212</v>
      </c>
      <c r="J192" s="2" t="s">
        <v>213</v>
      </c>
      <c r="K192" s="4" t="s">
        <v>612</v>
      </c>
      <c r="L192" s="4" t="s">
        <v>27</v>
      </c>
      <c r="M192" s="4" t="s">
        <v>84</v>
      </c>
      <c r="N192" s="5">
        <v>217549685</v>
      </c>
      <c r="O192" s="2" t="s">
        <v>622</v>
      </c>
      <c r="P192" s="2" t="s">
        <v>86</v>
      </c>
      <c r="Q192" s="4" t="s">
        <v>681</v>
      </c>
    </row>
    <row r="193" spans="1:17" hidden="1" x14ac:dyDescent="0.2">
      <c r="A193" s="2" t="s">
        <v>680</v>
      </c>
      <c r="B193" s="2" t="s">
        <v>55</v>
      </c>
      <c r="C193" s="2" t="s">
        <v>63</v>
      </c>
      <c r="D193" s="2" t="s">
        <v>20</v>
      </c>
      <c r="E193" s="3">
        <v>98682</v>
      </c>
      <c r="F193" s="4" t="s">
        <v>230</v>
      </c>
      <c r="G193" s="2" t="s">
        <v>610</v>
      </c>
      <c r="H193" s="2" t="s">
        <v>611</v>
      </c>
      <c r="I193" s="2" t="s">
        <v>212</v>
      </c>
      <c r="J193" s="2" t="s">
        <v>213</v>
      </c>
      <c r="K193" s="4" t="s">
        <v>612</v>
      </c>
      <c r="L193" s="4" t="s">
        <v>27</v>
      </c>
      <c r="M193" s="4" t="s">
        <v>64</v>
      </c>
      <c r="N193" s="5">
        <v>475968825</v>
      </c>
      <c r="O193" s="2" t="s">
        <v>65</v>
      </c>
      <c r="P193" s="2" t="s">
        <v>60</v>
      </c>
      <c r="Q193" s="4" t="s">
        <v>682</v>
      </c>
    </row>
    <row r="194" spans="1:17" hidden="1" x14ac:dyDescent="0.2">
      <c r="A194" s="2" t="s">
        <v>683</v>
      </c>
      <c r="B194" s="2" t="s">
        <v>33</v>
      </c>
      <c r="C194" s="2" t="s">
        <v>669</v>
      </c>
      <c r="D194" s="2" t="s">
        <v>20</v>
      </c>
      <c r="E194" s="3">
        <v>98052</v>
      </c>
      <c r="F194" s="4" t="s">
        <v>227</v>
      </c>
      <c r="G194" s="2" t="s">
        <v>610</v>
      </c>
      <c r="H194" s="2" t="s">
        <v>611</v>
      </c>
      <c r="I194" s="2" t="s">
        <v>212</v>
      </c>
      <c r="J194" s="2" t="s">
        <v>213</v>
      </c>
      <c r="K194" s="4" t="s">
        <v>615</v>
      </c>
      <c r="L194" s="4" t="s">
        <v>27</v>
      </c>
      <c r="M194" s="4" t="s">
        <v>147</v>
      </c>
      <c r="N194" s="5">
        <v>102666784</v>
      </c>
      <c r="O194" s="2" t="s">
        <v>670</v>
      </c>
      <c r="P194" s="2" t="s">
        <v>37</v>
      </c>
      <c r="Q194" s="4" t="s">
        <v>684</v>
      </c>
    </row>
    <row r="195" spans="1:17" hidden="1" x14ac:dyDescent="0.2">
      <c r="A195" s="2" t="s">
        <v>683</v>
      </c>
      <c r="B195" s="2" t="s">
        <v>33</v>
      </c>
      <c r="C195" s="2" t="s">
        <v>83</v>
      </c>
      <c r="D195" s="2" t="s">
        <v>20</v>
      </c>
      <c r="E195" s="3">
        <v>98103</v>
      </c>
      <c r="F195" s="4" t="s">
        <v>227</v>
      </c>
      <c r="G195" s="2" t="s">
        <v>610</v>
      </c>
      <c r="H195" s="2" t="s">
        <v>611</v>
      </c>
      <c r="I195" s="2" t="s">
        <v>212</v>
      </c>
      <c r="J195" s="2" t="s">
        <v>213</v>
      </c>
      <c r="K195" s="4" t="s">
        <v>615</v>
      </c>
      <c r="L195" s="4" t="s">
        <v>27</v>
      </c>
      <c r="M195" s="4" t="s">
        <v>84</v>
      </c>
      <c r="N195" s="5">
        <v>247848863</v>
      </c>
      <c r="O195" s="2" t="s">
        <v>627</v>
      </c>
      <c r="P195" s="2" t="s">
        <v>86</v>
      </c>
      <c r="Q195" s="4" t="s">
        <v>685</v>
      </c>
    </row>
    <row r="196" spans="1:17" hidden="1" x14ac:dyDescent="0.2">
      <c r="A196" s="2" t="s">
        <v>686</v>
      </c>
      <c r="B196" s="2" t="s">
        <v>94</v>
      </c>
      <c r="C196" s="2" t="s">
        <v>387</v>
      </c>
      <c r="D196" s="2" t="s">
        <v>20</v>
      </c>
      <c r="E196" s="3">
        <v>98236</v>
      </c>
      <c r="F196" s="4" t="s">
        <v>230</v>
      </c>
      <c r="G196" s="2" t="s">
        <v>610</v>
      </c>
      <c r="H196" s="2" t="s">
        <v>611</v>
      </c>
      <c r="I196" s="2" t="s">
        <v>212</v>
      </c>
      <c r="J196" s="2" t="s">
        <v>213</v>
      </c>
      <c r="K196" s="4" t="s">
        <v>612</v>
      </c>
      <c r="L196" s="4" t="s">
        <v>27</v>
      </c>
      <c r="M196" s="4" t="s">
        <v>96</v>
      </c>
      <c r="N196" s="5">
        <v>233366031</v>
      </c>
      <c r="O196" s="2" t="s">
        <v>388</v>
      </c>
      <c r="P196" s="2" t="s">
        <v>30</v>
      </c>
      <c r="Q196" s="4" t="s">
        <v>98</v>
      </c>
    </row>
    <row r="197" spans="1:17" hidden="1" x14ac:dyDescent="0.2">
      <c r="A197" s="2" t="s">
        <v>687</v>
      </c>
      <c r="B197" s="2" t="s">
        <v>688</v>
      </c>
      <c r="C197" s="2" t="s">
        <v>689</v>
      </c>
      <c r="D197" s="2" t="s">
        <v>20</v>
      </c>
      <c r="E197" s="3">
        <v>98226</v>
      </c>
      <c r="F197" s="4" t="s">
        <v>227</v>
      </c>
      <c r="G197" s="2" t="s">
        <v>610</v>
      </c>
      <c r="H197" s="2" t="s">
        <v>611</v>
      </c>
      <c r="I197" s="2" t="s">
        <v>212</v>
      </c>
      <c r="J197" s="2" t="s">
        <v>213</v>
      </c>
      <c r="K197" s="4" t="s">
        <v>615</v>
      </c>
      <c r="L197" s="4" t="s">
        <v>27</v>
      </c>
      <c r="M197" s="4" t="s">
        <v>690</v>
      </c>
      <c r="N197" s="5">
        <v>181303377</v>
      </c>
      <c r="O197" s="2" t="s">
        <v>691</v>
      </c>
      <c r="P197" s="2" t="s">
        <v>692</v>
      </c>
      <c r="Q197" s="4" t="s">
        <v>693</v>
      </c>
    </row>
    <row r="198" spans="1:17" hidden="1" x14ac:dyDescent="0.2">
      <c r="A198" s="2" t="s">
        <v>694</v>
      </c>
      <c r="B198" s="2" t="s">
        <v>40</v>
      </c>
      <c r="C198" s="2" t="s">
        <v>268</v>
      </c>
      <c r="D198" s="2" t="s">
        <v>20</v>
      </c>
      <c r="E198" s="3">
        <v>98020</v>
      </c>
      <c r="F198" s="4" t="s">
        <v>230</v>
      </c>
      <c r="G198" s="2" t="s">
        <v>610</v>
      </c>
      <c r="H198" s="2" t="s">
        <v>611</v>
      </c>
      <c r="I198" s="2" t="s">
        <v>212</v>
      </c>
      <c r="J198" s="2" t="s">
        <v>213</v>
      </c>
      <c r="K198" s="4" t="s">
        <v>612</v>
      </c>
      <c r="L198" s="4" t="s">
        <v>27</v>
      </c>
      <c r="M198" s="4" t="s">
        <v>26</v>
      </c>
      <c r="N198" s="5">
        <v>109514527</v>
      </c>
      <c r="O198" s="2" t="s">
        <v>269</v>
      </c>
      <c r="P198" s="2" t="s">
        <v>30</v>
      </c>
      <c r="Q198" s="4" t="s">
        <v>531</v>
      </c>
    </row>
    <row r="199" spans="1:17" hidden="1" x14ac:dyDescent="0.2">
      <c r="A199" s="2" t="s">
        <v>695</v>
      </c>
      <c r="B199" s="2" t="s">
        <v>48</v>
      </c>
      <c r="C199" s="2" t="s">
        <v>48</v>
      </c>
      <c r="D199" s="2" t="s">
        <v>20</v>
      </c>
      <c r="E199" s="3">
        <v>98902</v>
      </c>
      <c r="F199" s="4" t="s">
        <v>219</v>
      </c>
      <c r="G199" s="2" t="s">
        <v>610</v>
      </c>
      <c r="H199" s="2" t="s">
        <v>611</v>
      </c>
      <c r="I199" s="2" t="s">
        <v>212</v>
      </c>
      <c r="J199" s="2" t="s">
        <v>213</v>
      </c>
      <c r="K199" s="4" t="s">
        <v>612</v>
      </c>
      <c r="L199" s="4" t="s">
        <v>27</v>
      </c>
      <c r="M199" s="4" t="s">
        <v>323</v>
      </c>
      <c r="N199" s="5">
        <v>183646774</v>
      </c>
      <c r="O199" s="2" t="s">
        <v>421</v>
      </c>
      <c r="P199" s="2" t="s">
        <v>52</v>
      </c>
      <c r="Q199" s="4" t="s">
        <v>696</v>
      </c>
    </row>
    <row r="200" spans="1:17" hidden="1" x14ac:dyDescent="0.2">
      <c r="A200" s="2" t="s">
        <v>695</v>
      </c>
      <c r="B200" s="2" t="s">
        <v>33</v>
      </c>
      <c r="C200" s="2" t="s">
        <v>83</v>
      </c>
      <c r="D200" s="2" t="s">
        <v>20</v>
      </c>
      <c r="E200" s="3">
        <v>98125</v>
      </c>
      <c r="F200" s="4" t="s">
        <v>219</v>
      </c>
      <c r="G200" s="2" t="s">
        <v>610</v>
      </c>
      <c r="H200" s="2" t="s">
        <v>611</v>
      </c>
      <c r="I200" s="2" t="s">
        <v>212</v>
      </c>
      <c r="J200" s="2" t="s">
        <v>213</v>
      </c>
      <c r="K200" s="4" t="s">
        <v>612</v>
      </c>
      <c r="L200" s="4" t="s">
        <v>27</v>
      </c>
      <c r="M200" s="4" t="s">
        <v>278</v>
      </c>
      <c r="N200" s="5">
        <v>238599497</v>
      </c>
      <c r="O200" s="2" t="s">
        <v>279</v>
      </c>
      <c r="P200" s="2" t="s">
        <v>86</v>
      </c>
      <c r="Q200" s="4" t="s">
        <v>697</v>
      </c>
    </row>
    <row r="201" spans="1:17" hidden="1" x14ac:dyDescent="0.2">
      <c r="A201" s="2" t="s">
        <v>698</v>
      </c>
      <c r="B201" s="2" t="s">
        <v>18</v>
      </c>
      <c r="C201" s="2" t="s">
        <v>234</v>
      </c>
      <c r="D201" s="2" t="s">
        <v>20</v>
      </c>
      <c r="E201" s="3">
        <v>98110</v>
      </c>
      <c r="F201" s="4" t="s">
        <v>230</v>
      </c>
      <c r="G201" s="2" t="s">
        <v>610</v>
      </c>
      <c r="H201" s="2" t="s">
        <v>611</v>
      </c>
      <c r="I201" s="2" t="s">
        <v>212</v>
      </c>
      <c r="J201" s="2" t="s">
        <v>213</v>
      </c>
      <c r="K201" s="4" t="s">
        <v>612</v>
      </c>
      <c r="L201" s="4" t="s">
        <v>27</v>
      </c>
      <c r="M201" s="4" t="s">
        <v>28</v>
      </c>
      <c r="N201" s="5">
        <v>148940172</v>
      </c>
      <c r="O201" s="2" t="s">
        <v>235</v>
      </c>
      <c r="P201" s="2" t="s">
        <v>30</v>
      </c>
      <c r="Q201" s="4" t="s">
        <v>473</v>
      </c>
    </row>
    <row r="202" spans="1:17" hidden="1" x14ac:dyDescent="0.2">
      <c r="A202" s="2" t="s">
        <v>699</v>
      </c>
      <c r="B202" s="2" t="s">
        <v>33</v>
      </c>
      <c r="C202" s="2" t="s">
        <v>89</v>
      </c>
      <c r="D202" s="2" t="s">
        <v>20</v>
      </c>
      <c r="E202" s="3">
        <v>98011</v>
      </c>
      <c r="F202" s="4" t="s">
        <v>130</v>
      </c>
      <c r="G202" s="2" t="s">
        <v>610</v>
      </c>
      <c r="H202" s="2" t="s">
        <v>611</v>
      </c>
      <c r="I202" s="2" t="s">
        <v>212</v>
      </c>
      <c r="J202" s="2" t="s">
        <v>298</v>
      </c>
      <c r="K202" s="4" t="s">
        <v>27</v>
      </c>
      <c r="L202" s="4" t="s">
        <v>27</v>
      </c>
      <c r="M202" s="4" t="s">
        <v>170</v>
      </c>
      <c r="N202" s="5">
        <v>282750436</v>
      </c>
      <c r="O202" s="2" t="s">
        <v>503</v>
      </c>
      <c r="P202" s="2" t="s">
        <v>37</v>
      </c>
      <c r="Q202" s="4" t="s">
        <v>700</v>
      </c>
    </row>
    <row r="203" spans="1:17" hidden="1" x14ac:dyDescent="0.2">
      <c r="A203" s="2" t="s">
        <v>701</v>
      </c>
      <c r="B203" s="2" t="s">
        <v>33</v>
      </c>
      <c r="C203" s="2" t="s">
        <v>146</v>
      </c>
      <c r="D203" s="2" t="s">
        <v>20</v>
      </c>
      <c r="E203" s="3">
        <v>98004</v>
      </c>
      <c r="F203" s="4" t="s">
        <v>121</v>
      </c>
      <c r="G203" s="2" t="s">
        <v>610</v>
      </c>
      <c r="H203" s="2" t="s">
        <v>611</v>
      </c>
      <c r="I203" s="2" t="s">
        <v>212</v>
      </c>
      <c r="J203" s="2" t="s">
        <v>298</v>
      </c>
      <c r="K203" s="4" t="s">
        <v>27</v>
      </c>
      <c r="L203" s="4" t="s">
        <v>27</v>
      </c>
      <c r="M203" s="4" t="s">
        <v>147</v>
      </c>
      <c r="N203" s="5">
        <v>268785149</v>
      </c>
      <c r="O203" s="2" t="s">
        <v>148</v>
      </c>
      <c r="P203" s="2" t="s">
        <v>37</v>
      </c>
      <c r="Q203" s="4" t="s">
        <v>195</v>
      </c>
    </row>
    <row r="204" spans="1:17" hidden="1" x14ac:dyDescent="0.2">
      <c r="A204" s="2" t="s">
        <v>702</v>
      </c>
      <c r="B204" s="2" t="s">
        <v>55</v>
      </c>
      <c r="C204" s="2" t="s">
        <v>63</v>
      </c>
      <c r="D204" s="2" t="s">
        <v>20</v>
      </c>
      <c r="E204" s="3">
        <v>98664</v>
      </c>
      <c r="F204" s="4" t="s">
        <v>130</v>
      </c>
      <c r="G204" s="2" t="s">
        <v>610</v>
      </c>
      <c r="H204" s="2" t="s">
        <v>611</v>
      </c>
      <c r="I204" s="2" t="s">
        <v>212</v>
      </c>
      <c r="J204" s="2" t="s">
        <v>298</v>
      </c>
      <c r="K204" s="4" t="s">
        <v>27</v>
      </c>
      <c r="L204" s="4" t="s">
        <v>27</v>
      </c>
      <c r="M204" s="4" t="s">
        <v>191</v>
      </c>
      <c r="N204" s="5">
        <v>272347512</v>
      </c>
      <c r="O204" s="2" t="s">
        <v>703</v>
      </c>
      <c r="P204" s="2" t="s">
        <v>60</v>
      </c>
      <c r="Q204" s="4" t="s">
        <v>704</v>
      </c>
    </row>
    <row r="205" spans="1:17" hidden="1" x14ac:dyDescent="0.2">
      <c r="A205" s="2" t="s">
        <v>705</v>
      </c>
      <c r="B205" s="2" t="s">
        <v>151</v>
      </c>
      <c r="C205" s="2" t="s">
        <v>250</v>
      </c>
      <c r="D205" s="2" t="s">
        <v>20</v>
      </c>
      <c r="E205" s="3">
        <v>98512</v>
      </c>
      <c r="F205" s="4" t="s">
        <v>21</v>
      </c>
      <c r="G205" s="2" t="s">
        <v>610</v>
      </c>
      <c r="H205" s="2" t="s">
        <v>611</v>
      </c>
      <c r="I205" s="2" t="s">
        <v>212</v>
      </c>
      <c r="J205" s="2" t="s">
        <v>298</v>
      </c>
      <c r="K205" s="4" t="s">
        <v>27</v>
      </c>
      <c r="L205" s="4" t="s">
        <v>27</v>
      </c>
      <c r="M205" s="4" t="s">
        <v>90</v>
      </c>
      <c r="N205" s="5">
        <v>274112023</v>
      </c>
      <c r="O205" s="2" t="s">
        <v>256</v>
      </c>
      <c r="P205" s="2" t="s">
        <v>30</v>
      </c>
      <c r="Q205" s="4" t="s">
        <v>706</v>
      </c>
    </row>
    <row r="206" spans="1:17" hidden="1" x14ac:dyDescent="0.2">
      <c r="A206" s="2" t="s">
        <v>707</v>
      </c>
      <c r="B206" s="2" t="s">
        <v>33</v>
      </c>
      <c r="C206" s="2" t="s">
        <v>708</v>
      </c>
      <c r="D206" s="2" t="s">
        <v>20</v>
      </c>
      <c r="E206" s="3">
        <v>98038</v>
      </c>
      <c r="F206" s="4" t="s">
        <v>130</v>
      </c>
      <c r="G206" s="2" t="s">
        <v>610</v>
      </c>
      <c r="H206" s="2" t="s">
        <v>611</v>
      </c>
      <c r="I206" s="2" t="s">
        <v>212</v>
      </c>
      <c r="J206" s="2" t="s">
        <v>298</v>
      </c>
      <c r="K206" s="4" t="s">
        <v>27</v>
      </c>
      <c r="L206" s="4" t="s">
        <v>27</v>
      </c>
      <c r="M206" s="4" t="s">
        <v>35</v>
      </c>
      <c r="N206" s="5">
        <v>272171133</v>
      </c>
      <c r="O206" s="2" t="s">
        <v>709</v>
      </c>
      <c r="P206" s="2" t="s">
        <v>37</v>
      </c>
      <c r="Q206" s="4" t="s">
        <v>710</v>
      </c>
    </row>
    <row r="207" spans="1:17" hidden="1" x14ac:dyDescent="0.2">
      <c r="A207" s="2" t="s">
        <v>711</v>
      </c>
      <c r="B207" s="2" t="s">
        <v>33</v>
      </c>
      <c r="C207" s="2" t="s">
        <v>290</v>
      </c>
      <c r="D207" s="2" t="s">
        <v>20</v>
      </c>
      <c r="E207" s="3">
        <v>98133</v>
      </c>
      <c r="F207" s="4" t="s">
        <v>371</v>
      </c>
      <c r="G207" s="2" t="s">
        <v>610</v>
      </c>
      <c r="H207" s="2" t="s">
        <v>611</v>
      </c>
      <c r="I207" s="2" t="s">
        <v>212</v>
      </c>
      <c r="J207" s="2" t="s">
        <v>213</v>
      </c>
      <c r="K207" s="4" t="s">
        <v>712</v>
      </c>
      <c r="L207" s="4" t="s">
        <v>27</v>
      </c>
      <c r="M207" s="4" t="s">
        <v>74</v>
      </c>
      <c r="N207" s="5">
        <v>289064191</v>
      </c>
      <c r="O207" s="2" t="s">
        <v>291</v>
      </c>
      <c r="P207" s="2" t="s">
        <v>86</v>
      </c>
      <c r="Q207" s="4" t="s">
        <v>713</v>
      </c>
    </row>
    <row r="208" spans="1:17" hidden="1" x14ac:dyDescent="0.2">
      <c r="A208" s="2" t="s">
        <v>711</v>
      </c>
      <c r="B208" s="2" t="s">
        <v>33</v>
      </c>
      <c r="C208" s="2" t="s">
        <v>451</v>
      </c>
      <c r="D208" s="2" t="s">
        <v>20</v>
      </c>
      <c r="E208" s="3">
        <v>98075</v>
      </c>
      <c r="F208" s="4" t="s">
        <v>371</v>
      </c>
      <c r="G208" s="2" t="s">
        <v>610</v>
      </c>
      <c r="H208" s="2" t="s">
        <v>611</v>
      </c>
      <c r="I208" s="2" t="s">
        <v>212</v>
      </c>
      <c r="J208" s="2" t="s">
        <v>213</v>
      </c>
      <c r="K208" s="4" t="s">
        <v>712</v>
      </c>
      <c r="L208" s="4" t="s">
        <v>27</v>
      </c>
      <c r="M208" s="4" t="s">
        <v>403</v>
      </c>
      <c r="N208" s="5">
        <v>253041505</v>
      </c>
      <c r="O208" s="2" t="s">
        <v>452</v>
      </c>
      <c r="P208" s="2" t="s">
        <v>37</v>
      </c>
      <c r="Q208" s="4" t="s">
        <v>714</v>
      </c>
    </row>
    <row r="209" spans="1:17" hidden="1" x14ac:dyDescent="0.2">
      <c r="A209" s="2" t="s">
        <v>715</v>
      </c>
      <c r="B209" s="2" t="s">
        <v>151</v>
      </c>
      <c r="C209" s="2" t="s">
        <v>152</v>
      </c>
      <c r="D209" s="2" t="s">
        <v>20</v>
      </c>
      <c r="E209" s="3">
        <v>98501</v>
      </c>
      <c r="F209" s="4" t="s">
        <v>408</v>
      </c>
      <c r="G209" s="2" t="s">
        <v>610</v>
      </c>
      <c r="H209" s="2" t="s">
        <v>611</v>
      </c>
      <c r="I209" s="2" t="s">
        <v>212</v>
      </c>
      <c r="J209" s="2" t="s">
        <v>213</v>
      </c>
      <c r="K209" s="4" t="s">
        <v>716</v>
      </c>
      <c r="L209" s="4" t="s">
        <v>27</v>
      </c>
      <c r="M209" s="4" t="s">
        <v>90</v>
      </c>
      <c r="N209" s="5">
        <v>347436820</v>
      </c>
      <c r="O209" s="2" t="s">
        <v>153</v>
      </c>
      <c r="P209" s="2" t="s">
        <v>30</v>
      </c>
      <c r="Q209" s="4" t="s">
        <v>717</v>
      </c>
    </row>
    <row r="210" spans="1:17" hidden="1" x14ac:dyDescent="0.2">
      <c r="A210" s="2" t="s">
        <v>718</v>
      </c>
      <c r="B210" s="2" t="s">
        <v>33</v>
      </c>
      <c r="C210" s="2" t="s">
        <v>83</v>
      </c>
      <c r="D210" s="2" t="s">
        <v>20</v>
      </c>
      <c r="E210" s="3">
        <v>98133</v>
      </c>
      <c r="F210" s="4" t="s">
        <v>371</v>
      </c>
      <c r="G210" s="2" t="s">
        <v>610</v>
      </c>
      <c r="H210" s="2" t="s">
        <v>611</v>
      </c>
      <c r="I210" s="2" t="s">
        <v>212</v>
      </c>
      <c r="J210" s="2" t="s">
        <v>213</v>
      </c>
      <c r="K210" s="4" t="s">
        <v>712</v>
      </c>
      <c r="L210" s="4" t="s">
        <v>27</v>
      </c>
      <c r="M210" s="4" t="s">
        <v>278</v>
      </c>
      <c r="N210" s="5">
        <v>238473847</v>
      </c>
      <c r="O210" s="2" t="s">
        <v>291</v>
      </c>
      <c r="P210" s="2" t="s">
        <v>86</v>
      </c>
      <c r="Q210" s="4" t="s">
        <v>719</v>
      </c>
    </row>
    <row r="211" spans="1:17" hidden="1" x14ac:dyDescent="0.2">
      <c r="A211" s="2" t="s">
        <v>718</v>
      </c>
      <c r="B211" s="2" t="s">
        <v>33</v>
      </c>
      <c r="C211" s="2" t="s">
        <v>146</v>
      </c>
      <c r="D211" s="2" t="s">
        <v>20</v>
      </c>
      <c r="E211" s="3">
        <v>98004</v>
      </c>
      <c r="F211" s="4" t="s">
        <v>371</v>
      </c>
      <c r="G211" s="2" t="s">
        <v>610</v>
      </c>
      <c r="H211" s="2" t="s">
        <v>611</v>
      </c>
      <c r="I211" s="2" t="s">
        <v>212</v>
      </c>
      <c r="J211" s="2" t="s">
        <v>213</v>
      </c>
      <c r="K211" s="4" t="s">
        <v>712</v>
      </c>
      <c r="L211" s="4" t="s">
        <v>27</v>
      </c>
      <c r="M211" s="4" t="s">
        <v>147</v>
      </c>
      <c r="N211" s="5">
        <v>297491435</v>
      </c>
      <c r="O211" s="2" t="s">
        <v>148</v>
      </c>
      <c r="P211" s="2" t="s">
        <v>37</v>
      </c>
      <c r="Q211" s="4" t="s">
        <v>195</v>
      </c>
    </row>
    <row r="212" spans="1:17" hidden="1" x14ac:dyDescent="0.2">
      <c r="A212" s="2" t="s">
        <v>720</v>
      </c>
      <c r="B212" s="2" t="s">
        <v>33</v>
      </c>
      <c r="C212" s="2" t="s">
        <v>669</v>
      </c>
      <c r="D212" s="2" t="s">
        <v>20</v>
      </c>
      <c r="E212" s="3">
        <v>98052</v>
      </c>
      <c r="F212" s="4" t="s">
        <v>371</v>
      </c>
      <c r="G212" s="2" t="s">
        <v>610</v>
      </c>
      <c r="H212" s="2" t="s">
        <v>611</v>
      </c>
      <c r="I212" s="2" t="s">
        <v>212</v>
      </c>
      <c r="J212" s="2" t="s">
        <v>213</v>
      </c>
      <c r="K212" s="4" t="s">
        <v>712</v>
      </c>
      <c r="L212" s="4" t="s">
        <v>27</v>
      </c>
      <c r="M212" s="4" t="s">
        <v>147</v>
      </c>
      <c r="N212" s="5">
        <v>475849916</v>
      </c>
      <c r="O212" s="2" t="s">
        <v>670</v>
      </c>
      <c r="P212" s="2" t="s">
        <v>37</v>
      </c>
      <c r="Q212" s="4" t="s">
        <v>721</v>
      </c>
    </row>
    <row r="213" spans="1:17" hidden="1" x14ac:dyDescent="0.2">
      <c r="A213" s="2" t="s">
        <v>720</v>
      </c>
      <c r="B213" s="2" t="s">
        <v>33</v>
      </c>
      <c r="C213" s="2" t="s">
        <v>83</v>
      </c>
      <c r="D213" s="2" t="s">
        <v>20</v>
      </c>
      <c r="E213" s="3">
        <v>98118</v>
      </c>
      <c r="F213" s="4" t="s">
        <v>371</v>
      </c>
      <c r="G213" s="2" t="s">
        <v>610</v>
      </c>
      <c r="H213" s="2" t="s">
        <v>611</v>
      </c>
      <c r="I213" s="2" t="s">
        <v>212</v>
      </c>
      <c r="J213" s="2" t="s">
        <v>213</v>
      </c>
      <c r="K213" s="4" t="s">
        <v>712</v>
      </c>
      <c r="L213" s="4" t="s">
        <v>27</v>
      </c>
      <c r="M213" s="4" t="s">
        <v>284</v>
      </c>
      <c r="N213" s="5">
        <v>272316411</v>
      </c>
      <c r="O213" s="2" t="s">
        <v>523</v>
      </c>
      <c r="P213" s="2" t="s">
        <v>86</v>
      </c>
      <c r="Q213" s="4" t="s">
        <v>722</v>
      </c>
    </row>
    <row r="214" spans="1:17" hidden="1" x14ac:dyDescent="0.2">
      <c r="A214" s="2" t="s">
        <v>720</v>
      </c>
      <c r="B214" s="2" t="s">
        <v>33</v>
      </c>
      <c r="C214" s="2" t="s">
        <v>318</v>
      </c>
      <c r="D214" s="2" t="s">
        <v>20</v>
      </c>
      <c r="E214" s="3">
        <v>98146</v>
      </c>
      <c r="F214" s="4" t="s">
        <v>371</v>
      </c>
      <c r="G214" s="2" t="s">
        <v>610</v>
      </c>
      <c r="H214" s="2" t="s">
        <v>611</v>
      </c>
      <c r="I214" s="2" t="s">
        <v>212</v>
      </c>
      <c r="J214" s="2" t="s">
        <v>213</v>
      </c>
      <c r="K214" s="4" t="s">
        <v>712</v>
      </c>
      <c r="L214" s="4" t="s">
        <v>27</v>
      </c>
      <c r="M214" s="4" t="s">
        <v>319</v>
      </c>
      <c r="N214" s="5">
        <v>254315729</v>
      </c>
      <c r="O214" s="2" t="s">
        <v>543</v>
      </c>
      <c r="P214" s="2" t="s">
        <v>86</v>
      </c>
      <c r="Q214" s="4" t="s">
        <v>723</v>
      </c>
    </row>
    <row r="215" spans="1:17" hidden="1" x14ac:dyDescent="0.2">
      <c r="A215" s="2" t="s">
        <v>720</v>
      </c>
      <c r="B215" s="2" t="s">
        <v>33</v>
      </c>
      <c r="C215" s="2" t="s">
        <v>169</v>
      </c>
      <c r="D215" s="2" t="s">
        <v>20</v>
      </c>
      <c r="E215" s="3">
        <v>98034</v>
      </c>
      <c r="F215" s="4" t="s">
        <v>371</v>
      </c>
      <c r="G215" s="2" t="s">
        <v>610</v>
      </c>
      <c r="H215" s="2" t="s">
        <v>611</v>
      </c>
      <c r="I215" s="2" t="s">
        <v>212</v>
      </c>
      <c r="J215" s="2" t="s">
        <v>213</v>
      </c>
      <c r="K215" s="4" t="s">
        <v>712</v>
      </c>
      <c r="L215" s="4" t="s">
        <v>27</v>
      </c>
      <c r="M215" s="4" t="s">
        <v>198</v>
      </c>
      <c r="N215" s="5">
        <v>207440383</v>
      </c>
      <c r="O215" s="2" t="s">
        <v>171</v>
      </c>
      <c r="P215" s="2" t="s">
        <v>37</v>
      </c>
      <c r="Q215" s="4" t="s">
        <v>724</v>
      </c>
    </row>
    <row r="216" spans="1:17" hidden="1" x14ac:dyDescent="0.2">
      <c r="A216" s="2" t="s">
        <v>725</v>
      </c>
      <c r="B216" s="2" t="s">
        <v>33</v>
      </c>
      <c r="C216" s="2" t="s">
        <v>83</v>
      </c>
      <c r="D216" s="2" t="s">
        <v>20</v>
      </c>
      <c r="E216" s="3">
        <v>98199</v>
      </c>
      <c r="F216" s="4" t="s">
        <v>408</v>
      </c>
      <c r="G216" s="2" t="s">
        <v>610</v>
      </c>
      <c r="H216" s="2" t="s">
        <v>611</v>
      </c>
      <c r="I216" s="2" t="s">
        <v>212</v>
      </c>
      <c r="J216" s="2" t="s">
        <v>213</v>
      </c>
      <c r="K216" s="4" t="s">
        <v>716</v>
      </c>
      <c r="L216" s="4" t="s">
        <v>27</v>
      </c>
      <c r="M216" s="4" t="s">
        <v>84</v>
      </c>
      <c r="N216" s="5">
        <v>3623322</v>
      </c>
      <c r="O216" s="2" t="s">
        <v>380</v>
      </c>
      <c r="P216" s="2" t="s">
        <v>86</v>
      </c>
      <c r="Q216" s="4" t="s">
        <v>413</v>
      </c>
    </row>
    <row r="217" spans="1:17" hidden="1" x14ac:dyDescent="0.2">
      <c r="A217" s="2" t="s">
        <v>726</v>
      </c>
      <c r="B217" s="2" t="s">
        <v>18</v>
      </c>
      <c r="C217" s="2" t="s">
        <v>727</v>
      </c>
      <c r="D217" s="2" t="s">
        <v>20</v>
      </c>
      <c r="E217" s="3">
        <v>98392</v>
      </c>
      <c r="F217" s="4" t="s">
        <v>371</v>
      </c>
      <c r="G217" s="2" t="s">
        <v>610</v>
      </c>
      <c r="H217" s="2" t="s">
        <v>611</v>
      </c>
      <c r="I217" s="2" t="s">
        <v>212</v>
      </c>
      <c r="J217" s="2" t="s">
        <v>213</v>
      </c>
      <c r="K217" s="4" t="s">
        <v>712</v>
      </c>
      <c r="L217" s="4" t="s">
        <v>27</v>
      </c>
      <c r="M217" s="4" t="s">
        <v>28</v>
      </c>
      <c r="N217" s="5">
        <v>218882212</v>
      </c>
      <c r="O217" s="2" t="s">
        <v>728</v>
      </c>
      <c r="P217" s="2" t="s">
        <v>30</v>
      </c>
      <c r="Q217" s="4" t="s">
        <v>729</v>
      </c>
    </row>
    <row r="218" spans="1:17" hidden="1" x14ac:dyDescent="0.2">
      <c r="A218" s="2" t="s">
        <v>726</v>
      </c>
      <c r="B218" s="2" t="s">
        <v>331</v>
      </c>
      <c r="C218" s="2" t="s">
        <v>331</v>
      </c>
      <c r="D218" s="2" t="s">
        <v>20</v>
      </c>
      <c r="E218" s="3">
        <v>99205</v>
      </c>
      <c r="F218" s="4" t="s">
        <v>371</v>
      </c>
      <c r="G218" s="2" t="s">
        <v>610</v>
      </c>
      <c r="H218" s="2" t="s">
        <v>611</v>
      </c>
      <c r="I218" s="2" t="s">
        <v>212</v>
      </c>
      <c r="J218" s="2" t="s">
        <v>213</v>
      </c>
      <c r="K218" s="4" t="s">
        <v>712</v>
      </c>
      <c r="L218" s="4" t="s">
        <v>27</v>
      </c>
      <c r="M218" s="4" t="s">
        <v>391</v>
      </c>
      <c r="N218" s="5">
        <v>350331950</v>
      </c>
      <c r="O218" s="2" t="s">
        <v>730</v>
      </c>
      <c r="P218" s="2" t="s">
        <v>393</v>
      </c>
      <c r="Q218" s="4" t="s">
        <v>731</v>
      </c>
    </row>
    <row r="219" spans="1:17" hidden="1" x14ac:dyDescent="0.2">
      <c r="A219" s="2" t="s">
        <v>732</v>
      </c>
      <c r="B219" s="2" t="s">
        <v>33</v>
      </c>
      <c r="C219" s="2" t="s">
        <v>169</v>
      </c>
      <c r="D219" s="2" t="s">
        <v>20</v>
      </c>
      <c r="E219" s="3">
        <v>98034</v>
      </c>
      <c r="F219" s="4" t="s">
        <v>408</v>
      </c>
      <c r="G219" s="2" t="s">
        <v>610</v>
      </c>
      <c r="H219" s="2" t="s">
        <v>611</v>
      </c>
      <c r="I219" s="2" t="s">
        <v>212</v>
      </c>
      <c r="J219" s="2" t="s">
        <v>213</v>
      </c>
      <c r="K219" s="4" t="s">
        <v>716</v>
      </c>
      <c r="L219" s="4" t="s">
        <v>27</v>
      </c>
      <c r="M219" s="4" t="s">
        <v>198</v>
      </c>
      <c r="N219" s="5">
        <v>325236173</v>
      </c>
      <c r="O219" s="2" t="s">
        <v>171</v>
      </c>
      <c r="P219" s="2" t="s">
        <v>37</v>
      </c>
      <c r="Q219" s="4" t="s">
        <v>733</v>
      </c>
    </row>
    <row r="220" spans="1:17" hidden="1" x14ac:dyDescent="0.2">
      <c r="A220" s="2" t="s">
        <v>732</v>
      </c>
      <c r="B220" s="2" t="s">
        <v>40</v>
      </c>
      <c r="C220" s="2" t="s">
        <v>129</v>
      </c>
      <c r="D220" s="2" t="s">
        <v>20</v>
      </c>
      <c r="E220" s="3">
        <v>98258</v>
      </c>
      <c r="F220" s="4" t="s">
        <v>408</v>
      </c>
      <c r="G220" s="2" t="s">
        <v>610</v>
      </c>
      <c r="H220" s="2" t="s">
        <v>611</v>
      </c>
      <c r="I220" s="2" t="s">
        <v>212</v>
      </c>
      <c r="J220" s="2" t="s">
        <v>213</v>
      </c>
      <c r="K220" s="4" t="s">
        <v>716</v>
      </c>
      <c r="L220" s="4" t="s">
        <v>27</v>
      </c>
      <c r="M220" s="4" t="s">
        <v>44</v>
      </c>
      <c r="N220" s="5">
        <v>102802024</v>
      </c>
      <c r="O220" s="2" t="s">
        <v>131</v>
      </c>
      <c r="P220" s="2" t="s">
        <v>30</v>
      </c>
      <c r="Q220" s="4" t="s">
        <v>46</v>
      </c>
    </row>
    <row r="221" spans="1:17" hidden="1" x14ac:dyDescent="0.2">
      <c r="A221" s="2" t="s">
        <v>734</v>
      </c>
      <c r="B221" s="2" t="s">
        <v>33</v>
      </c>
      <c r="C221" s="2" t="s">
        <v>83</v>
      </c>
      <c r="D221" s="2" t="s">
        <v>20</v>
      </c>
      <c r="E221" s="3">
        <v>98112</v>
      </c>
      <c r="F221" s="4" t="s">
        <v>401</v>
      </c>
      <c r="G221" s="2" t="s">
        <v>610</v>
      </c>
      <c r="H221" s="2" t="s">
        <v>611</v>
      </c>
      <c r="I221" s="2" t="s">
        <v>212</v>
      </c>
      <c r="J221" s="2" t="s">
        <v>213</v>
      </c>
      <c r="K221" s="4" t="s">
        <v>735</v>
      </c>
      <c r="L221" s="4" t="s">
        <v>27</v>
      </c>
      <c r="M221" s="4" t="s">
        <v>436</v>
      </c>
      <c r="N221" s="5">
        <v>150113869</v>
      </c>
      <c r="O221" s="2" t="s">
        <v>736</v>
      </c>
      <c r="P221" s="2" t="s">
        <v>86</v>
      </c>
      <c r="Q221" s="4" t="s">
        <v>737</v>
      </c>
    </row>
    <row r="222" spans="1:17" hidden="1" x14ac:dyDescent="0.2">
      <c r="A222" s="2" t="s">
        <v>738</v>
      </c>
      <c r="B222" s="2" t="s">
        <v>33</v>
      </c>
      <c r="C222" s="2" t="s">
        <v>169</v>
      </c>
      <c r="D222" s="2" t="s">
        <v>20</v>
      </c>
      <c r="E222" s="3">
        <v>98034</v>
      </c>
      <c r="F222" s="4" t="s">
        <v>408</v>
      </c>
      <c r="G222" s="2" t="s">
        <v>610</v>
      </c>
      <c r="H222" s="2" t="s">
        <v>611</v>
      </c>
      <c r="I222" s="2" t="s">
        <v>212</v>
      </c>
      <c r="J222" s="2" t="s">
        <v>213</v>
      </c>
      <c r="K222" s="4" t="s">
        <v>716</v>
      </c>
      <c r="L222" s="4" t="s">
        <v>27</v>
      </c>
      <c r="M222" s="4" t="s">
        <v>170</v>
      </c>
      <c r="N222" s="5">
        <v>272522295</v>
      </c>
      <c r="O222" s="2" t="s">
        <v>171</v>
      </c>
      <c r="P222" s="2" t="s">
        <v>37</v>
      </c>
      <c r="Q222" s="4" t="s">
        <v>739</v>
      </c>
    </row>
    <row r="223" spans="1:17" hidden="1" x14ac:dyDescent="0.2">
      <c r="A223" s="2" t="s">
        <v>738</v>
      </c>
      <c r="B223" s="2" t="s">
        <v>33</v>
      </c>
      <c r="C223" s="2" t="s">
        <v>186</v>
      </c>
      <c r="D223" s="2" t="s">
        <v>20</v>
      </c>
      <c r="E223" s="3">
        <v>98023</v>
      </c>
      <c r="F223" s="4" t="s">
        <v>408</v>
      </c>
      <c r="G223" s="2" t="s">
        <v>610</v>
      </c>
      <c r="H223" s="2" t="s">
        <v>611</v>
      </c>
      <c r="I223" s="2" t="s">
        <v>212</v>
      </c>
      <c r="J223" s="2" t="s">
        <v>213</v>
      </c>
      <c r="K223" s="4" t="s">
        <v>716</v>
      </c>
      <c r="L223" s="4" t="s">
        <v>27</v>
      </c>
      <c r="M223" s="4" t="s">
        <v>187</v>
      </c>
      <c r="N223" s="5">
        <v>199239358</v>
      </c>
      <c r="O223" s="2" t="s">
        <v>188</v>
      </c>
      <c r="P223" s="2" t="s">
        <v>37</v>
      </c>
      <c r="Q223" s="4" t="s">
        <v>740</v>
      </c>
    </row>
    <row r="224" spans="1:17" hidden="1" x14ac:dyDescent="0.2">
      <c r="A224" s="2" t="s">
        <v>741</v>
      </c>
      <c r="B224" s="2" t="s">
        <v>33</v>
      </c>
      <c r="C224" s="2" t="s">
        <v>34</v>
      </c>
      <c r="D224" s="2" t="s">
        <v>20</v>
      </c>
      <c r="E224" s="3">
        <v>98027</v>
      </c>
      <c r="F224" s="4" t="s">
        <v>401</v>
      </c>
      <c r="G224" s="2" t="s">
        <v>610</v>
      </c>
      <c r="H224" s="2" t="s">
        <v>611</v>
      </c>
      <c r="I224" s="2" t="s">
        <v>212</v>
      </c>
      <c r="J224" s="2" t="s">
        <v>213</v>
      </c>
      <c r="K224" s="4" t="s">
        <v>735</v>
      </c>
      <c r="L224" s="4" t="s">
        <v>27</v>
      </c>
      <c r="M224" s="4" t="s">
        <v>403</v>
      </c>
      <c r="N224" s="5">
        <v>122134015</v>
      </c>
      <c r="O224" s="2" t="s">
        <v>36</v>
      </c>
      <c r="P224" s="2" t="s">
        <v>37</v>
      </c>
      <c r="Q224" s="4" t="s">
        <v>742</v>
      </c>
    </row>
    <row r="225" spans="1:17" hidden="1" x14ac:dyDescent="0.2">
      <c r="A225" s="2" t="s">
        <v>741</v>
      </c>
      <c r="B225" s="2" t="s">
        <v>18</v>
      </c>
      <c r="C225" s="2" t="s">
        <v>218</v>
      </c>
      <c r="D225" s="2" t="s">
        <v>20</v>
      </c>
      <c r="E225" s="3">
        <v>98310</v>
      </c>
      <c r="F225" s="4" t="s">
        <v>401</v>
      </c>
      <c r="G225" s="2" t="s">
        <v>610</v>
      </c>
      <c r="H225" s="2" t="s">
        <v>611</v>
      </c>
      <c r="I225" s="2" t="s">
        <v>212</v>
      </c>
      <c r="J225" s="2" t="s">
        <v>213</v>
      </c>
      <c r="K225" s="4" t="s">
        <v>735</v>
      </c>
      <c r="L225" s="4" t="s">
        <v>27</v>
      </c>
      <c r="M225" s="4" t="s">
        <v>28</v>
      </c>
      <c r="N225" s="5">
        <v>127191921</v>
      </c>
      <c r="O225" s="2" t="s">
        <v>743</v>
      </c>
      <c r="P225" s="2" t="s">
        <v>30</v>
      </c>
      <c r="Q225" s="4" t="s">
        <v>744</v>
      </c>
    </row>
    <row r="226" spans="1:17" hidden="1" x14ac:dyDescent="0.2">
      <c r="A226" s="2" t="s">
        <v>745</v>
      </c>
      <c r="B226" s="2" t="s">
        <v>151</v>
      </c>
      <c r="C226" s="2" t="s">
        <v>152</v>
      </c>
      <c r="D226" s="2" t="s">
        <v>20</v>
      </c>
      <c r="E226" s="3">
        <v>98516</v>
      </c>
      <c r="F226" s="4" t="s">
        <v>371</v>
      </c>
      <c r="G226" s="2" t="s">
        <v>610</v>
      </c>
      <c r="H226" s="2" t="s">
        <v>611</v>
      </c>
      <c r="I226" s="2" t="s">
        <v>212</v>
      </c>
      <c r="J226" s="2" t="s">
        <v>213</v>
      </c>
      <c r="K226" s="4" t="s">
        <v>712</v>
      </c>
      <c r="L226" s="4" t="s">
        <v>27</v>
      </c>
      <c r="M226" s="4" t="s">
        <v>90</v>
      </c>
      <c r="N226" s="5">
        <v>103390374</v>
      </c>
      <c r="O226" s="2" t="s">
        <v>746</v>
      </c>
      <c r="P226" s="2" t="s">
        <v>30</v>
      </c>
      <c r="Q226" s="4" t="s">
        <v>747</v>
      </c>
    </row>
    <row r="227" spans="1:17" hidden="1" x14ac:dyDescent="0.2">
      <c r="A227" s="2" t="s">
        <v>748</v>
      </c>
      <c r="B227" s="2" t="s">
        <v>40</v>
      </c>
      <c r="C227" s="2" t="s">
        <v>268</v>
      </c>
      <c r="D227" s="2" t="s">
        <v>20</v>
      </c>
      <c r="E227" s="3">
        <v>98026</v>
      </c>
      <c r="F227" s="4" t="s">
        <v>408</v>
      </c>
      <c r="G227" s="2" t="s">
        <v>610</v>
      </c>
      <c r="H227" s="2" t="s">
        <v>611</v>
      </c>
      <c r="I227" s="2" t="s">
        <v>212</v>
      </c>
      <c r="J227" s="2" t="s">
        <v>213</v>
      </c>
      <c r="K227" s="4" t="s">
        <v>716</v>
      </c>
      <c r="L227" s="4" t="s">
        <v>27</v>
      </c>
      <c r="M227" s="4" t="s">
        <v>74</v>
      </c>
      <c r="N227" s="5">
        <v>478448624</v>
      </c>
      <c r="O227" s="2" t="s">
        <v>640</v>
      </c>
      <c r="P227" s="2" t="s">
        <v>30</v>
      </c>
      <c r="Q227" s="4" t="s">
        <v>641</v>
      </c>
    </row>
    <row r="228" spans="1:17" hidden="1" x14ac:dyDescent="0.2">
      <c r="A228" s="2" t="s">
        <v>748</v>
      </c>
      <c r="B228" s="2" t="s">
        <v>110</v>
      </c>
      <c r="C228" s="2" t="s">
        <v>749</v>
      </c>
      <c r="D228" s="2" t="s">
        <v>20</v>
      </c>
      <c r="E228" s="3">
        <v>98391</v>
      </c>
      <c r="F228" s="4" t="s">
        <v>408</v>
      </c>
      <c r="G228" s="2" t="s">
        <v>610</v>
      </c>
      <c r="H228" s="2" t="s">
        <v>611</v>
      </c>
      <c r="I228" s="2" t="s">
        <v>212</v>
      </c>
      <c r="J228" s="2" t="s">
        <v>213</v>
      </c>
      <c r="K228" s="4" t="s">
        <v>716</v>
      </c>
      <c r="L228" s="4" t="s">
        <v>27</v>
      </c>
      <c r="M228" s="4" t="s">
        <v>112</v>
      </c>
      <c r="N228" s="5">
        <v>477820577</v>
      </c>
      <c r="O228" s="2" t="s">
        <v>113</v>
      </c>
      <c r="P228" s="2" t="s">
        <v>37</v>
      </c>
      <c r="Q228" s="4" t="s">
        <v>750</v>
      </c>
    </row>
    <row r="229" spans="1:17" hidden="1" x14ac:dyDescent="0.2">
      <c r="A229" s="2" t="s">
        <v>751</v>
      </c>
      <c r="B229" s="2" t="s">
        <v>33</v>
      </c>
      <c r="C229" s="2" t="s">
        <v>169</v>
      </c>
      <c r="D229" s="2" t="s">
        <v>20</v>
      </c>
      <c r="E229" s="3">
        <v>98034</v>
      </c>
      <c r="F229" s="4" t="s">
        <v>408</v>
      </c>
      <c r="G229" s="2" t="s">
        <v>610</v>
      </c>
      <c r="H229" s="2" t="s">
        <v>611</v>
      </c>
      <c r="I229" s="2" t="s">
        <v>212</v>
      </c>
      <c r="J229" s="2" t="s">
        <v>213</v>
      </c>
      <c r="K229" s="4" t="s">
        <v>716</v>
      </c>
      <c r="L229" s="4" t="s">
        <v>27</v>
      </c>
      <c r="M229" s="4" t="s">
        <v>198</v>
      </c>
      <c r="N229" s="5">
        <v>112401474</v>
      </c>
      <c r="O229" s="2" t="s">
        <v>171</v>
      </c>
      <c r="P229" s="2" t="s">
        <v>37</v>
      </c>
      <c r="Q229" s="4" t="s">
        <v>649</v>
      </c>
    </row>
    <row r="230" spans="1:17" hidden="1" x14ac:dyDescent="0.2">
      <c r="A230" s="2" t="s">
        <v>752</v>
      </c>
      <c r="B230" s="2" t="s">
        <v>33</v>
      </c>
      <c r="C230" s="2" t="s">
        <v>146</v>
      </c>
      <c r="D230" s="2" t="s">
        <v>20</v>
      </c>
      <c r="E230" s="3">
        <v>98007</v>
      </c>
      <c r="F230" s="4" t="s">
        <v>371</v>
      </c>
      <c r="G230" s="2" t="s">
        <v>610</v>
      </c>
      <c r="H230" s="2" t="s">
        <v>611</v>
      </c>
      <c r="I230" s="2" t="s">
        <v>212</v>
      </c>
      <c r="J230" s="2" t="s">
        <v>213</v>
      </c>
      <c r="K230" s="4" t="s">
        <v>712</v>
      </c>
      <c r="L230" s="4" t="s">
        <v>27</v>
      </c>
      <c r="M230" s="4" t="s">
        <v>147</v>
      </c>
      <c r="N230" s="5">
        <v>474494793</v>
      </c>
      <c r="O230" s="2" t="s">
        <v>753</v>
      </c>
      <c r="P230" s="2" t="s">
        <v>37</v>
      </c>
      <c r="Q230" s="4" t="s">
        <v>754</v>
      </c>
    </row>
    <row r="231" spans="1:17" hidden="1" x14ac:dyDescent="0.2">
      <c r="A231" s="2" t="s">
        <v>755</v>
      </c>
      <c r="B231" s="2" t="s">
        <v>18</v>
      </c>
      <c r="C231" s="2" t="s">
        <v>234</v>
      </c>
      <c r="D231" s="2" t="s">
        <v>20</v>
      </c>
      <c r="E231" s="3">
        <v>98110</v>
      </c>
      <c r="F231" s="4" t="s">
        <v>57</v>
      </c>
      <c r="G231" s="2" t="s">
        <v>610</v>
      </c>
      <c r="H231" s="2" t="s">
        <v>611</v>
      </c>
      <c r="I231" s="2" t="s">
        <v>212</v>
      </c>
      <c r="J231" s="2" t="s">
        <v>298</v>
      </c>
      <c r="K231" s="4" t="s">
        <v>27</v>
      </c>
      <c r="L231" s="4" t="s">
        <v>27</v>
      </c>
      <c r="M231" s="4" t="s">
        <v>28</v>
      </c>
      <c r="N231" s="5">
        <v>264442510</v>
      </c>
      <c r="O231" s="2" t="s">
        <v>235</v>
      </c>
      <c r="P231" s="2" t="s">
        <v>30</v>
      </c>
      <c r="Q231" s="4" t="s">
        <v>473</v>
      </c>
    </row>
    <row r="232" spans="1:17" hidden="1" x14ac:dyDescent="0.2">
      <c r="A232" s="2" t="s">
        <v>756</v>
      </c>
      <c r="B232" s="2" t="s">
        <v>33</v>
      </c>
      <c r="C232" s="2" t="s">
        <v>464</v>
      </c>
      <c r="D232" s="2" t="s">
        <v>20</v>
      </c>
      <c r="E232" s="3">
        <v>98045</v>
      </c>
      <c r="F232" s="4" t="s">
        <v>57</v>
      </c>
      <c r="G232" s="2" t="s">
        <v>610</v>
      </c>
      <c r="H232" s="2" t="s">
        <v>611</v>
      </c>
      <c r="I232" s="2" t="s">
        <v>212</v>
      </c>
      <c r="J232" s="2" t="s">
        <v>298</v>
      </c>
      <c r="K232" s="4" t="s">
        <v>27</v>
      </c>
      <c r="L232" s="4" t="s">
        <v>27</v>
      </c>
      <c r="M232" s="4" t="s">
        <v>35</v>
      </c>
      <c r="N232" s="5">
        <v>181471524</v>
      </c>
      <c r="O232" s="2" t="s">
        <v>465</v>
      </c>
      <c r="P232" s="2" t="s">
        <v>37</v>
      </c>
      <c r="Q232" s="4" t="s">
        <v>757</v>
      </c>
    </row>
    <row r="233" spans="1:17" hidden="1" x14ac:dyDescent="0.2">
      <c r="A233" s="2" t="s">
        <v>756</v>
      </c>
      <c r="B233" s="2" t="s">
        <v>33</v>
      </c>
      <c r="C233" s="2" t="s">
        <v>68</v>
      </c>
      <c r="D233" s="2" t="s">
        <v>20</v>
      </c>
      <c r="E233" s="3">
        <v>98001</v>
      </c>
      <c r="F233" s="4" t="s">
        <v>57</v>
      </c>
      <c r="G233" s="2" t="s">
        <v>610</v>
      </c>
      <c r="H233" s="2" t="s">
        <v>611</v>
      </c>
      <c r="I233" s="2" t="s">
        <v>212</v>
      </c>
      <c r="J233" s="2" t="s">
        <v>298</v>
      </c>
      <c r="K233" s="4" t="s">
        <v>27</v>
      </c>
      <c r="L233" s="4" t="s">
        <v>27</v>
      </c>
      <c r="M233" s="4" t="s">
        <v>69</v>
      </c>
      <c r="N233" s="5">
        <v>186838732</v>
      </c>
      <c r="O233" s="2" t="s">
        <v>474</v>
      </c>
      <c r="P233" s="2" t="s">
        <v>37</v>
      </c>
      <c r="Q233" s="4" t="s">
        <v>758</v>
      </c>
    </row>
    <row r="234" spans="1:17" hidden="1" x14ac:dyDescent="0.2">
      <c r="A234" s="2" t="s">
        <v>759</v>
      </c>
      <c r="B234" s="2" t="s">
        <v>55</v>
      </c>
      <c r="C234" s="2" t="s">
        <v>63</v>
      </c>
      <c r="D234" s="2" t="s">
        <v>20</v>
      </c>
      <c r="E234" s="3">
        <v>98661</v>
      </c>
      <c r="F234" s="4" t="s">
        <v>42</v>
      </c>
      <c r="G234" s="2" t="s">
        <v>610</v>
      </c>
      <c r="H234" s="2" t="s">
        <v>611</v>
      </c>
      <c r="I234" s="2" t="s">
        <v>212</v>
      </c>
      <c r="J234" s="2" t="s">
        <v>298</v>
      </c>
      <c r="K234" s="4" t="s">
        <v>27</v>
      </c>
      <c r="L234" s="4" t="s">
        <v>27</v>
      </c>
      <c r="M234" s="4" t="s">
        <v>191</v>
      </c>
      <c r="N234" s="5">
        <v>172371062</v>
      </c>
      <c r="O234" s="2" t="s">
        <v>760</v>
      </c>
      <c r="P234" s="2" t="s">
        <v>60</v>
      </c>
      <c r="Q234" s="4" t="s">
        <v>761</v>
      </c>
    </row>
    <row r="235" spans="1:17" hidden="1" x14ac:dyDescent="0.2">
      <c r="A235" s="2" t="s">
        <v>762</v>
      </c>
      <c r="B235" s="2" t="s">
        <v>40</v>
      </c>
      <c r="C235" s="2" t="s">
        <v>268</v>
      </c>
      <c r="D235" s="2" t="s">
        <v>20</v>
      </c>
      <c r="E235" s="3">
        <v>98026</v>
      </c>
      <c r="F235" s="4" t="s">
        <v>57</v>
      </c>
      <c r="G235" s="2" t="s">
        <v>610</v>
      </c>
      <c r="H235" s="2" t="s">
        <v>611</v>
      </c>
      <c r="I235" s="2" t="s">
        <v>212</v>
      </c>
      <c r="J235" s="2" t="s">
        <v>298</v>
      </c>
      <c r="K235" s="4" t="s">
        <v>27</v>
      </c>
      <c r="L235" s="4" t="s">
        <v>27</v>
      </c>
      <c r="M235" s="4" t="s">
        <v>26</v>
      </c>
      <c r="N235" s="5">
        <v>198761090</v>
      </c>
      <c r="O235" s="2" t="s">
        <v>640</v>
      </c>
      <c r="P235" s="2" t="s">
        <v>30</v>
      </c>
      <c r="Q235" s="4" t="s">
        <v>763</v>
      </c>
    </row>
    <row r="236" spans="1:17" hidden="1" x14ac:dyDescent="0.2">
      <c r="A236" s="2" t="s">
        <v>764</v>
      </c>
      <c r="B236" s="2" t="s">
        <v>151</v>
      </c>
      <c r="C236" s="2" t="s">
        <v>152</v>
      </c>
      <c r="D236" s="2" t="s">
        <v>20</v>
      </c>
      <c r="E236" s="3">
        <v>98501</v>
      </c>
      <c r="F236" s="4" t="s">
        <v>57</v>
      </c>
      <c r="G236" s="2" t="s">
        <v>610</v>
      </c>
      <c r="H236" s="2" t="s">
        <v>611</v>
      </c>
      <c r="I236" s="2" t="s">
        <v>212</v>
      </c>
      <c r="J236" s="2" t="s">
        <v>298</v>
      </c>
      <c r="K236" s="4" t="s">
        <v>27</v>
      </c>
      <c r="L236" s="4" t="s">
        <v>27</v>
      </c>
      <c r="M236" s="4" t="s">
        <v>90</v>
      </c>
      <c r="N236" s="5">
        <v>205689459</v>
      </c>
      <c r="O236" s="2" t="s">
        <v>153</v>
      </c>
      <c r="P236" s="2" t="s">
        <v>30</v>
      </c>
      <c r="Q236" s="4" t="s">
        <v>361</v>
      </c>
    </row>
    <row r="237" spans="1:17" hidden="1" x14ac:dyDescent="0.2">
      <c r="A237" s="2" t="s">
        <v>765</v>
      </c>
      <c r="B237" s="2" t="s">
        <v>175</v>
      </c>
      <c r="C237" s="2" t="s">
        <v>347</v>
      </c>
      <c r="D237" s="2" t="s">
        <v>20</v>
      </c>
      <c r="E237" s="3">
        <v>98801</v>
      </c>
      <c r="F237" s="4" t="s">
        <v>273</v>
      </c>
      <c r="G237" s="2" t="s">
        <v>610</v>
      </c>
      <c r="H237" s="2" t="s">
        <v>611</v>
      </c>
      <c r="I237" s="2" t="s">
        <v>212</v>
      </c>
      <c r="J237" s="2" t="s">
        <v>213</v>
      </c>
      <c r="K237" s="4" t="s">
        <v>766</v>
      </c>
      <c r="L237" s="4" t="s">
        <v>27</v>
      </c>
      <c r="M237" s="4" t="s">
        <v>177</v>
      </c>
      <c r="N237" s="5">
        <v>6395616</v>
      </c>
      <c r="O237" s="2" t="s">
        <v>351</v>
      </c>
      <c r="P237" s="2" t="s">
        <v>179</v>
      </c>
      <c r="Q237" s="4" t="s">
        <v>767</v>
      </c>
    </row>
    <row r="238" spans="1:17" hidden="1" x14ac:dyDescent="0.2">
      <c r="A238" s="2" t="s">
        <v>765</v>
      </c>
      <c r="B238" s="2" t="s">
        <v>207</v>
      </c>
      <c r="C238" s="2" t="s">
        <v>499</v>
      </c>
      <c r="D238" s="2" t="s">
        <v>20</v>
      </c>
      <c r="E238" s="3">
        <v>98221</v>
      </c>
      <c r="F238" s="4" t="s">
        <v>273</v>
      </c>
      <c r="G238" s="2" t="s">
        <v>610</v>
      </c>
      <c r="H238" s="2" t="s">
        <v>611</v>
      </c>
      <c r="I238" s="2" t="s">
        <v>212</v>
      </c>
      <c r="J238" s="2" t="s">
        <v>213</v>
      </c>
      <c r="K238" s="4" t="s">
        <v>766</v>
      </c>
      <c r="L238" s="4" t="s">
        <v>27</v>
      </c>
      <c r="M238" s="4" t="s">
        <v>409</v>
      </c>
      <c r="N238" s="5">
        <v>268294967</v>
      </c>
      <c r="O238" s="2" t="s">
        <v>500</v>
      </c>
      <c r="P238" s="2" t="s">
        <v>30</v>
      </c>
      <c r="Q238" s="4" t="s">
        <v>768</v>
      </c>
    </row>
    <row r="239" spans="1:17" hidden="1" x14ac:dyDescent="0.2">
      <c r="A239" s="2" t="s">
        <v>769</v>
      </c>
      <c r="B239" s="2" t="s">
        <v>207</v>
      </c>
      <c r="C239" s="2" t="s">
        <v>770</v>
      </c>
      <c r="D239" s="2" t="s">
        <v>20</v>
      </c>
      <c r="E239" s="3">
        <v>98237</v>
      </c>
      <c r="F239" s="4" t="s">
        <v>209</v>
      </c>
      <c r="G239" s="2" t="s">
        <v>610</v>
      </c>
      <c r="H239" s="2" t="s">
        <v>611</v>
      </c>
      <c r="I239" s="2" t="s">
        <v>212</v>
      </c>
      <c r="J239" s="2" t="s">
        <v>213</v>
      </c>
      <c r="K239" s="4" t="s">
        <v>612</v>
      </c>
      <c r="L239" s="4" t="s">
        <v>27</v>
      </c>
      <c r="M239" s="4" t="s">
        <v>44</v>
      </c>
      <c r="N239" s="5">
        <v>155491024</v>
      </c>
      <c r="O239" s="2" t="s">
        <v>771</v>
      </c>
      <c r="P239" s="2" t="s">
        <v>30</v>
      </c>
      <c r="Q239" s="4" t="s">
        <v>772</v>
      </c>
    </row>
    <row r="240" spans="1:17" hidden="1" x14ac:dyDescent="0.2">
      <c r="A240" s="2" t="s">
        <v>769</v>
      </c>
      <c r="B240" s="2" t="s">
        <v>331</v>
      </c>
      <c r="C240" s="2" t="s">
        <v>331</v>
      </c>
      <c r="D240" s="2" t="s">
        <v>20</v>
      </c>
      <c r="E240" s="3">
        <v>99223</v>
      </c>
      <c r="F240" s="4" t="s">
        <v>209</v>
      </c>
      <c r="G240" s="2" t="s">
        <v>610</v>
      </c>
      <c r="H240" s="2" t="s">
        <v>611</v>
      </c>
      <c r="I240" s="2" t="s">
        <v>212</v>
      </c>
      <c r="J240" s="2" t="s">
        <v>213</v>
      </c>
      <c r="K240" s="4" t="s">
        <v>612</v>
      </c>
      <c r="L240" s="4" t="s">
        <v>27</v>
      </c>
      <c r="M240" s="4" t="s">
        <v>332</v>
      </c>
      <c r="N240" s="5">
        <v>225137258</v>
      </c>
      <c r="O240" s="2" t="s">
        <v>773</v>
      </c>
      <c r="P240" s="2" t="s">
        <v>334</v>
      </c>
      <c r="Q240" s="4" t="s">
        <v>774</v>
      </c>
    </row>
    <row r="241" spans="1:17" hidden="1" x14ac:dyDescent="0.2">
      <c r="A241" s="2" t="s">
        <v>769</v>
      </c>
      <c r="B241" s="2" t="s">
        <v>94</v>
      </c>
      <c r="C241" s="2" t="s">
        <v>775</v>
      </c>
      <c r="D241" s="2" t="s">
        <v>20</v>
      </c>
      <c r="E241" s="3">
        <v>98249</v>
      </c>
      <c r="F241" s="4" t="s">
        <v>209</v>
      </c>
      <c r="G241" s="2" t="s">
        <v>610</v>
      </c>
      <c r="H241" s="2" t="s">
        <v>611</v>
      </c>
      <c r="I241" s="2" t="s">
        <v>212</v>
      </c>
      <c r="J241" s="2" t="s">
        <v>213</v>
      </c>
      <c r="K241" s="4" t="s">
        <v>612</v>
      </c>
      <c r="L241" s="4" t="s">
        <v>27</v>
      </c>
      <c r="M241" s="4" t="s">
        <v>96</v>
      </c>
      <c r="N241" s="5">
        <v>101164325</v>
      </c>
      <c r="O241" s="2" t="s">
        <v>776</v>
      </c>
      <c r="P241" s="2" t="s">
        <v>30</v>
      </c>
      <c r="Q241" s="4" t="s">
        <v>777</v>
      </c>
    </row>
    <row r="242" spans="1:17" hidden="1" x14ac:dyDescent="0.2">
      <c r="A242" s="2" t="s">
        <v>778</v>
      </c>
      <c r="B242" s="2" t="s">
        <v>33</v>
      </c>
      <c r="C242" s="2" t="s">
        <v>83</v>
      </c>
      <c r="D242" s="2" t="s">
        <v>20</v>
      </c>
      <c r="E242" s="3">
        <v>98112</v>
      </c>
      <c r="F242" s="4" t="s">
        <v>273</v>
      </c>
      <c r="G242" s="2" t="s">
        <v>610</v>
      </c>
      <c r="H242" s="2" t="s">
        <v>611</v>
      </c>
      <c r="I242" s="2" t="s">
        <v>212</v>
      </c>
      <c r="J242" s="2" t="s">
        <v>213</v>
      </c>
      <c r="K242" s="4" t="s">
        <v>766</v>
      </c>
      <c r="L242" s="4" t="s">
        <v>27</v>
      </c>
      <c r="M242" s="4" t="s">
        <v>436</v>
      </c>
      <c r="N242" s="5">
        <v>208910733</v>
      </c>
      <c r="O242" s="2" t="s">
        <v>736</v>
      </c>
      <c r="P242" s="2" t="s">
        <v>86</v>
      </c>
      <c r="Q242" s="4" t="s">
        <v>779</v>
      </c>
    </row>
    <row r="243" spans="1:17" hidden="1" x14ac:dyDescent="0.2">
      <c r="A243" s="2" t="s">
        <v>780</v>
      </c>
      <c r="B243" s="2" t="s">
        <v>33</v>
      </c>
      <c r="C243" s="2" t="s">
        <v>83</v>
      </c>
      <c r="D243" s="2" t="s">
        <v>20</v>
      </c>
      <c r="E243" s="3">
        <v>98199</v>
      </c>
      <c r="F243" s="4" t="s">
        <v>209</v>
      </c>
      <c r="G243" s="2" t="s">
        <v>610</v>
      </c>
      <c r="H243" s="2" t="s">
        <v>611</v>
      </c>
      <c r="I243" s="2" t="s">
        <v>212</v>
      </c>
      <c r="J243" s="2" t="s">
        <v>213</v>
      </c>
      <c r="K243" s="4" t="s">
        <v>612</v>
      </c>
      <c r="L243" s="4" t="s">
        <v>27</v>
      </c>
      <c r="M243" s="4" t="s">
        <v>84</v>
      </c>
      <c r="N243" s="5">
        <v>3615475</v>
      </c>
      <c r="O243" s="2" t="s">
        <v>380</v>
      </c>
      <c r="P243" s="2" t="s">
        <v>86</v>
      </c>
      <c r="Q243" s="4" t="s">
        <v>381</v>
      </c>
    </row>
    <row r="244" spans="1:17" hidden="1" x14ac:dyDescent="0.2">
      <c r="A244" s="2" t="s">
        <v>780</v>
      </c>
      <c r="B244" s="2" t="s">
        <v>33</v>
      </c>
      <c r="C244" s="2" t="s">
        <v>451</v>
      </c>
      <c r="D244" s="2" t="s">
        <v>20</v>
      </c>
      <c r="E244" s="3">
        <v>98074</v>
      </c>
      <c r="F244" s="4" t="s">
        <v>209</v>
      </c>
      <c r="G244" s="2" t="s">
        <v>610</v>
      </c>
      <c r="H244" s="2" t="s">
        <v>611</v>
      </c>
      <c r="I244" s="2" t="s">
        <v>212</v>
      </c>
      <c r="J244" s="2" t="s">
        <v>213</v>
      </c>
      <c r="K244" s="4" t="s">
        <v>612</v>
      </c>
      <c r="L244" s="4" t="s">
        <v>27</v>
      </c>
      <c r="M244" s="4" t="s">
        <v>198</v>
      </c>
      <c r="N244" s="5">
        <v>119455920</v>
      </c>
      <c r="O244" s="2" t="s">
        <v>781</v>
      </c>
      <c r="P244" s="2" t="s">
        <v>37</v>
      </c>
      <c r="Q244" s="4" t="s">
        <v>782</v>
      </c>
    </row>
    <row r="245" spans="1:17" hidden="1" x14ac:dyDescent="0.2">
      <c r="A245" s="2" t="s">
        <v>783</v>
      </c>
      <c r="B245" s="2" t="s">
        <v>40</v>
      </c>
      <c r="C245" s="2" t="s">
        <v>784</v>
      </c>
      <c r="D245" s="2" t="s">
        <v>20</v>
      </c>
      <c r="E245" s="3">
        <v>98275</v>
      </c>
      <c r="F245" s="4" t="s">
        <v>273</v>
      </c>
      <c r="G245" s="2" t="s">
        <v>610</v>
      </c>
      <c r="H245" s="2" t="s">
        <v>611</v>
      </c>
      <c r="I245" s="2" t="s">
        <v>212</v>
      </c>
      <c r="J245" s="2" t="s">
        <v>213</v>
      </c>
      <c r="K245" s="4" t="s">
        <v>766</v>
      </c>
      <c r="L245" s="4" t="s">
        <v>27</v>
      </c>
      <c r="M245" s="4" t="s">
        <v>26</v>
      </c>
      <c r="N245" s="5">
        <v>336474694</v>
      </c>
      <c r="O245" s="2" t="s">
        <v>785</v>
      </c>
      <c r="P245" s="2" t="s">
        <v>30</v>
      </c>
      <c r="Q245" s="4" t="s">
        <v>786</v>
      </c>
    </row>
    <row r="246" spans="1:17" hidden="1" x14ac:dyDescent="0.2">
      <c r="A246" s="2" t="s">
        <v>787</v>
      </c>
      <c r="B246" s="2" t="s">
        <v>18</v>
      </c>
      <c r="C246" s="2" t="s">
        <v>234</v>
      </c>
      <c r="D246" s="2" t="s">
        <v>20</v>
      </c>
      <c r="E246" s="3">
        <v>98110</v>
      </c>
      <c r="F246" s="4" t="s">
        <v>273</v>
      </c>
      <c r="G246" s="2" t="s">
        <v>610</v>
      </c>
      <c r="H246" s="2" t="s">
        <v>611</v>
      </c>
      <c r="I246" s="2" t="s">
        <v>212</v>
      </c>
      <c r="J246" s="2" t="s">
        <v>213</v>
      </c>
      <c r="K246" s="4" t="s">
        <v>766</v>
      </c>
      <c r="L246" s="4" t="s">
        <v>27</v>
      </c>
      <c r="M246" s="4" t="s">
        <v>28</v>
      </c>
      <c r="N246" s="5">
        <v>298302084</v>
      </c>
      <c r="O246" s="2" t="s">
        <v>235</v>
      </c>
      <c r="P246" s="2" t="s">
        <v>30</v>
      </c>
      <c r="Q246" s="4" t="s">
        <v>788</v>
      </c>
    </row>
    <row r="247" spans="1:17" hidden="1" x14ac:dyDescent="0.2">
      <c r="A247" s="2" t="s">
        <v>789</v>
      </c>
      <c r="B247" s="2" t="s">
        <v>151</v>
      </c>
      <c r="C247" s="2" t="s">
        <v>152</v>
      </c>
      <c r="D247" s="2" t="s">
        <v>20</v>
      </c>
      <c r="E247" s="3">
        <v>98512</v>
      </c>
      <c r="F247" s="4" t="s">
        <v>273</v>
      </c>
      <c r="G247" s="2" t="s">
        <v>610</v>
      </c>
      <c r="H247" s="2" t="s">
        <v>611</v>
      </c>
      <c r="I247" s="2" t="s">
        <v>212</v>
      </c>
      <c r="J247" s="2" t="s">
        <v>213</v>
      </c>
      <c r="K247" s="4" t="s">
        <v>766</v>
      </c>
      <c r="L247" s="4" t="s">
        <v>27</v>
      </c>
      <c r="M247" s="4" t="s">
        <v>255</v>
      </c>
      <c r="N247" s="5">
        <v>261303234</v>
      </c>
      <c r="O247" s="2" t="s">
        <v>256</v>
      </c>
      <c r="P247" s="2" t="s">
        <v>30</v>
      </c>
      <c r="Q247" s="4" t="s">
        <v>790</v>
      </c>
    </row>
    <row r="248" spans="1:17" hidden="1" x14ac:dyDescent="0.2">
      <c r="A248" s="2" t="s">
        <v>789</v>
      </c>
      <c r="B248" s="2" t="s">
        <v>33</v>
      </c>
      <c r="C248" s="2" t="s">
        <v>146</v>
      </c>
      <c r="D248" s="2" t="s">
        <v>20</v>
      </c>
      <c r="E248" s="3">
        <v>98008</v>
      </c>
      <c r="F248" s="4" t="s">
        <v>273</v>
      </c>
      <c r="G248" s="2" t="s">
        <v>610</v>
      </c>
      <c r="H248" s="2" t="s">
        <v>611</v>
      </c>
      <c r="I248" s="2" t="s">
        <v>212</v>
      </c>
      <c r="J248" s="2" t="s">
        <v>213</v>
      </c>
      <c r="K248" s="4" t="s">
        <v>766</v>
      </c>
      <c r="L248" s="4" t="s">
        <v>27</v>
      </c>
      <c r="M248" s="4" t="s">
        <v>147</v>
      </c>
      <c r="N248" s="5">
        <v>255748909</v>
      </c>
      <c r="O248" s="2" t="s">
        <v>537</v>
      </c>
      <c r="P248" s="2" t="s">
        <v>37</v>
      </c>
      <c r="Q248" s="4" t="s">
        <v>791</v>
      </c>
    </row>
    <row r="249" spans="1:17" hidden="1" x14ac:dyDescent="0.2">
      <c r="A249" s="2" t="s">
        <v>792</v>
      </c>
      <c r="B249" s="2" t="s">
        <v>18</v>
      </c>
      <c r="C249" s="2" t="s">
        <v>100</v>
      </c>
      <c r="D249" s="2" t="s">
        <v>20</v>
      </c>
      <c r="E249" s="3">
        <v>98366</v>
      </c>
      <c r="F249" s="4" t="s">
        <v>209</v>
      </c>
      <c r="G249" s="2" t="s">
        <v>610</v>
      </c>
      <c r="H249" s="2" t="s">
        <v>611</v>
      </c>
      <c r="I249" s="2" t="s">
        <v>212</v>
      </c>
      <c r="J249" s="2" t="s">
        <v>213</v>
      </c>
      <c r="K249" s="4" t="s">
        <v>612</v>
      </c>
      <c r="L249" s="4" t="s">
        <v>27</v>
      </c>
      <c r="M249" s="4" t="s">
        <v>101</v>
      </c>
      <c r="N249" s="5">
        <v>121314525</v>
      </c>
      <c r="O249" s="2" t="s">
        <v>102</v>
      </c>
      <c r="P249" s="2" t="s">
        <v>30</v>
      </c>
      <c r="Q249" s="4" t="s">
        <v>793</v>
      </c>
    </row>
    <row r="250" spans="1:17" hidden="1" x14ac:dyDescent="0.2">
      <c r="A250" s="2" t="s">
        <v>794</v>
      </c>
      <c r="B250" s="2" t="s">
        <v>33</v>
      </c>
      <c r="C250" s="2" t="s">
        <v>34</v>
      </c>
      <c r="D250" s="2" t="s">
        <v>20</v>
      </c>
      <c r="E250" s="3">
        <v>98029</v>
      </c>
      <c r="F250" s="4" t="s">
        <v>273</v>
      </c>
      <c r="G250" s="2" t="s">
        <v>610</v>
      </c>
      <c r="H250" s="2" t="s">
        <v>611</v>
      </c>
      <c r="I250" s="2" t="s">
        <v>212</v>
      </c>
      <c r="J250" s="2" t="s">
        <v>213</v>
      </c>
      <c r="K250" s="4" t="s">
        <v>766</v>
      </c>
      <c r="L250" s="4" t="s">
        <v>27</v>
      </c>
      <c r="M250" s="4" t="s">
        <v>35</v>
      </c>
      <c r="N250" s="5">
        <v>349586436</v>
      </c>
      <c r="O250" s="2" t="s">
        <v>795</v>
      </c>
      <c r="P250" s="2" t="s">
        <v>37</v>
      </c>
      <c r="Q250" s="4" t="s">
        <v>796</v>
      </c>
    </row>
    <row r="251" spans="1:17" hidden="1" x14ac:dyDescent="0.2">
      <c r="A251" s="2" t="s">
        <v>797</v>
      </c>
      <c r="B251" s="2" t="s">
        <v>33</v>
      </c>
      <c r="C251" s="2" t="s">
        <v>83</v>
      </c>
      <c r="D251" s="2" t="s">
        <v>20</v>
      </c>
      <c r="E251" s="3">
        <v>98177</v>
      </c>
      <c r="F251" s="4" t="s">
        <v>57</v>
      </c>
      <c r="G251" s="2" t="s">
        <v>610</v>
      </c>
      <c r="H251" s="2" t="s">
        <v>611</v>
      </c>
      <c r="I251" s="2" t="s">
        <v>212</v>
      </c>
      <c r="J251" s="2" t="s">
        <v>298</v>
      </c>
      <c r="K251" s="4" t="s">
        <v>27</v>
      </c>
      <c r="L251" s="4" t="s">
        <v>27</v>
      </c>
      <c r="M251" s="4" t="s">
        <v>74</v>
      </c>
      <c r="N251" s="5">
        <v>194355157</v>
      </c>
      <c r="O251" s="2" t="s">
        <v>85</v>
      </c>
      <c r="P251" s="2" t="s">
        <v>86</v>
      </c>
      <c r="Q251" s="4" t="s">
        <v>798</v>
      </c>
    </row>
    <row r="252" spans="1:17" hidden="1" x14ac:dyDescent="0.2">
      <c r="A252" s="2" t="s">
        <v>799</v>
      </c>
      <c r="B252" s="2" t="s">
        <v>55</v>
      </c>
      <c r="C252" s="2" t="s">
        <v>800</v>
      </c>
      <c r="D252" s="2" t="s">
        <v>20</v>
      </c>
      <c r="E252" s="3">
        <v>98642</v>
      </c>
      <c r="F252" s="4" t="s">
        <v>57</v>
      </c>
      <c r="G252" s="2" t="s">
        <v>610</v>
      </c>
      <c r="H252" s="2" t="s">
        <v>611</v>
      </c>
      <c r="I252" s="2" t="s">
        <v>212</v>
      </c>
      <c r="J252" s="2" t="s">
        <v>298</v>
      </c>
      <c r="K252" s="4" t="s">
        <v>27</v>
      </c>
      <c r="L252" s="4" t="s">
        <v>27</v>
      </c>
      <c r="M252" s="4" t="s">
        <v>58</v>
      </c>
      <c r="N252" s="5">
        <v>183435990</v>
      </c>
      <c r="O252" s="2" t="s">
        <v>801</v>
      </c>
      <c r="P252" s="2" t="s">
        <v>60</v>
      </c>
      <c r="Q252" s="4" t="s">
        <v>802</v>
      </c>
    </row>
    <row r="253" spans="1:17" hidden="1" x14ac:dyDescent="0.2">
      <c r="A253" s="2" t="s">
        <v>803</v>
      </c>
      <c r="B253" s="2" t="s">
        <v>804</v>
      </c>
      <c r="C253" s="2" t="s">
        <v>805</v>
      </c>
      <c r="D253" s="2" t="s">
        <v>20</v>
      </c>
      <c r="E253" s="3">
        <v>99354</v>
      </c>
      <c r="F253" s="4" t="s">
        <v>57</v>
      </c>
      <c r="G253" s="2" t="s">
        <v>610</v>
      </c>
      <c r="H253" s="2" t="s">
        <v>611</v>
      </c>
      <c r="I253" s="2" t="s">
        <v>212</v>
      </c>
      <c r="J253" s="2" t="s">
        <v>298</v>
      </c>
      <c r="K253" s="4" t="s">
        <v>27</v>
      </c>
      <c r="L253" s="4" t="s">
        <v>27</v>
      </c>
      <c r="M253" s="4" t="s">
        <v>806</v>
      </c>
      <c r="N253" s="5">
        <v>195883565</v>
      </c>
      <c r="O253" s="2" t="s">
        <v>807</v>
      </c>
      <c r="P253" s="2" t="s">
        <v>808</v>
      </c>
      <c r="Q253" s="4" t="s">
        <v>809</v>
      </c>
    </row>
    <row r="254" spans="1:17" hidden="1" x14ac:dyDescent="0.2">
      <c r="A254" s="2" t="s">
        <v>810</v>
      </c>
      <c r="B254" s="2" t="s">
        <v>40</v>
      </c>
      <c r="C254" s="2" t="s">
        <v>89</v>
      </c>
      <c r="D254" s="2" t="s">
        <v>20</v>
      </c>
      <c r="E254" s="3">
        <v>98012</v>
      </c>
      <c r="F254" s="4" t="s">
        <v>57</v>
      </c>
      <c r="G254" s="2" t="s">
        <v>610</v>
      </c>
      <c r="H254" s="2" t="s">
        <v>611</v>
      </c>
      <c r="I254" s="2" t="s">
        <v>212</v>
      </c>
      <c r="J254" s="2" t="s">
        <v>298</v>
      </c>
      <c r="K254" s="4" t="s">
        <v>27</v>
      </c>
      <c r="L254" s="4" t="s">
        <v>27</v>
      </c>
      <c r="M254" s="4" t="s">
        <v>170</v>
      </c>
      <c r="N254" s="5">
        <v>177797238</v>
      </c>
      <c r="O254" s="2" t="s">
        <v>91</v>
      </c>
      <c r="P254" s="2" t="s">
        <v>30</v>
      </c>
      <c r="Q254" s="4" t="s">
        <v>811</v>
      </c>
    </row>
    <row r="255" spans="1:17" hidden="1" x14ac:dyDescent="0.2">
      <c r="A255" s="2" t="s">
        <v>812</v>
      </c>
      <c r="B255" s="2" t="s">
        <v>40</v>
      </c>
      <c r="C255" s="2" t="s">
        <v>268</v>
      </c>
      <c r="D255" s="2" t="s">
        <v>20</v>
      </c>
      <c r="E255" s="3">
        <v>98026</v>
      </c>
      <c r="F255" s="4" t="s">
        <v>408</v>
      </c>
      <c r="G255" s="2" t="s">
        <v>610</v>
      </c>
      <c r="H255" s="2" t="s">
        <v>611</v>
      </c>
      <c r="I255" s="2" t="s">
        <v>212</v>
      </c>
      <c r="J255" s="2" t="s">
        <v>213</v>
      </c>
      <c r="K255" s="4" t="s">
        <v>716</v>
      </c>
      <c r="L255" s="4" t="s">
        <v>27</v>
      </c>
      <c r="M255" s="4" t="s">
        <v>26</v>
      </c>
      <c r="N255" s="5">
        <v>108886319</v>
      </c>
      <c r="O255" s="2" t="s">
        <v>640</v>
      </c>
      <c r="P255" s="2" t="s">
        <v>30</v>
      </c>
      <c r="Q255" s="4" t="s">
        <v>813</v>
      </c>
    </row>
    <row r="256" spans="1:17" hidden="1" x14ac:dyDescent="0.2">
      <c r="A256" s="2" t="s">
        <v>812</v>
      </c>
      <c r="B256" s="2" t="s">
        <v>94</v>
      </c>
      <c r="C256" s="2" t="s">
        <v>775</v>
      </c>
      <c r="D256" s="2" t="s">
        <v>20</v>
      </c>
      <c r="E256" s="3">
        <v>98249</v>
      </c>
      <c r="F256" s="4" t="s">
        <v>408</v>
      </c>
      <c r="G256" s="2" t="s">
        <v>610</v>
      </c>
      <c r="H256" s="2" t="s">
        <v>611</v>
      </c>
      <c r="I256" s="2" t="s">
        <v>212</v>
      </c>
      <c r="J256" s="2" t="s">
        <v>213</v>
      </c>
      <c r="K256" s="4" t="s">
        <v>716</v>
      </c>
      <c r="L256" s="4" t="s">
        <v>27</v>
      </c>
      <c r="M256" s="4" t="s">
        <v>96</v>
      </c>
      <c r="N256" s="5">
        <v>104831933</v>
      </c>
      <c r="O256" s="2" t="s">
        <v>776</v>
      </c>
      <c r="P256" s="2" t="s">
        <v>30</v>
      </c>
      <c r="Q256" s="4" t="s">
        <v>777</v>
      </c>
    </row>
    <row r="257" spans="1:17" hidden="1" x14ac:dyDescent="0.2">
      <c r="A257" s="2" t="s">
        <v>814</v>
      </c>
      <c r="B257" s="2" t="s">
        <v>40</v>
      </c>
      <c r="C257" s="2" t="s">
        <v>89</v>
      </c>
      <c r="D257" s="2" t="s">
        <v>20</v>
      </c>
      <c r="E257" s="3">
        <v>98021</v>
      </c>
      <c r="F257" s="4" t="s">
        <v>401</v>
      </c>
      <c r="G257" s="2" t="s">
        <v>610</v>
      </c>
      <c r="H257" s="2" t="s">
        <v>611</v>
      </c>
      <c r="I257" s="2" t="s">
        <v>212</v>
      </c>
      <c r="J257" s="2" t="s">
        <v>213</v>
      </c>
      <c r="K257" s="4" t="s">
        <v>815</v>
      </c>
      <c r="L257" s="4" t="s">
        <v>27</v>
      </c>
      <c r="M257" s="4" t="s">
        <v>170</v>
      </c>
      <c r="N257" s="5">
        <v>244703329</v>
      </c>
      <c r="O257" s="2" t="s">
        <v>247</v>
      </c>
      <c r="P257" s="2" t="s">
        <v>30</v>
      </c>
      <c r="Q257" s="4" t="s">
        <v>248</v>
      </c>
    </row>
    <row r="258" spans="1:17" hidden="1" x14ac:dyDescent="0.2">
      <c r="A258" s="2" t="s">
        <v>816</v>
      </c>
      <c r="B258" s="2" t="s">
        <v>40</v>
      </c>
      <c r="C258" s="2" t="s">
        <v>89</v>
      </c>
      <c r="D258" s="2" t="s">
        <v>20</v>
      </c>
      <c r="E258" s="3">
        <v>98012</v>
      </c>
      <c r="F258" s="4" t="s">
        <v>401</v>
      </c>
      <c r="G258" s="2" t="s">
        <v>610</v>
      </c>
      <c r="H258" s="2" t="s">
        <v>611</v>
      </c>
      <c r="I258" s="2" t="s">
        <v>212</v>
      </c>
      <c r="J258" s="2" t="s">
        <v>213</v>
      </c>
      <c r="K258" s="4" t="s">
        <v>815</v>
      </c>
      <c r="L258" s="4" t="s">
        <v>27</v>
      </c>
      <c r="M258" s="4" t="s">
        <v>26</v>
      </c>
      <c r="N258" s="5">
        <v>133721290</v>
      </c>
      <c r="O258" s="2" t="s">
        <v>91</v>
      </c>
      <c r="P258" s="2" t="s">
        <v>30</v>
      </c>
      <c r="Q258" s="4" t="s">
        <v>92</v>
      </c>
    </row>
    <row r="259" spans="1:17" hidden="1" x14ac:dyDescent="0.2">
      <c r="A259" s="2" t="s">
        <v>817</v>
      </c>
      <c r="B259" s="2" t="s">
        <v>40</v>
      </c>
      <c r="C259" s="2" t="s">
        <v>784</v>
      </c>
      <c r="D259" s="2" t="s">
        <v>20</v>
      </c>
      <c r="E259" s="3">
        <v>98275</v>
      </c>
      <c r="F259" s="4" t="s">
        <v>401</v>
      </c>
      <c r="G259" s="2" t="s">
        <v>610</v>
      </c>
      <c r="H259" s="2" t="s">
        <v>611</v>
      </c>
      <c r="I259" s="2" t="s">
        <v>212</v>
      </c>
      <c r="J259" s="2" t="s">
        <v>213</v>
      </c>
      <c r="K259" s="4" t="s">
        <v>815</v>
      </c>
      <c r="L259" s="4" t="s">
        <v>27</v>
      </c>
      <c r="M259" s="4" t="s">
        <v>26</v>
      </c>
      <c r="N259" s="5">
        <v>128721953</v>
      </c>
      <c r="O259" s="2" t="s">
        <v>785</v>
      </c>
      <c r="P259" s="2" t="s">
        <v>30</v>
      </c>
      <c r="Q259" s="4" t="s">
        <v>786</v>
      </c>
    </row>
    <row r="260" spans="1:17" hidden="1" x14ac:dyDescent="0.2">
      <c r="A260" s="2" t="s">
        <v>818</v>
      </c>
      <c r="B260" s="2" t="s">
        <v>40</v>
      </c>
      <c r="C260" s="2" t="s">
        <v>73</v>
      </c>
      <c r="D260" s="2" t="s">
        <v>20</v>
      </c>
      <c r="E260" s="3">
        <v>98036</v>
      </c>
      <c r="F260" s="4" t="s">
        <v>408</v>
      </c>
      <c r="G260" s="2" t="s">
        <v>610</v>
      </c>
      <c r="H260" s="2" t="s">
        <v>611</v>
      </c>
      <c r="I260" s="2" t="s">
        <v>212</v>
      </c>
      <c r="J260" s="2" t="s">
        <v>213</v>
      </c>
      <c r="K260" s="4" t="s">
        <v>716</v>
      </c>
      <c r="L260" s="4" t="s">
        <v>27</v>
      </c>
      <c r="M260" s="4" t="s">
        <v>74</v>
      </c>
      <c r="N260" s="5">
        <v>478371778</v>
      </c>
      <c r="O260" s="2" t="s">
        <v>75</v>
      </c>
      <c r="P260" s="2" t="s">
        <v>30</v>
      </c>
      <c r="Q260" s="4" t="s">
        <v>819</v>
      </c>
    </row>
    <row r="261" spans="1:17" hidden="1" x14ac:dyDescent="0.2">
      <c r="A261" s="2" t="s">
        <v>820</v>
      </c>
      <c r="B261" s="2" t="s">
        <v>33</v>
      </c>
      <c r="C261" s="2" t="s">
        <v>83</v>
      </c>
      <c r="D261" s="2" t="s">
        <v>20</v>
      </c>
      <c r="E261" s="3">
        <v>98105</v>
      </c>
      <c r="F261" s="4" t="s">
        <v>57</v>
      </c>
      <c r="G261" s="2" t="s">
        <v>610</v>
      </c>
      <c r="H261" s="2" t="s">
        <v>611</v>
      </c>
      <c r="I261" s="2" t="s">
        <v>212</v>
      </c>
      <c r="J261" s="2" t="s">
        <v>298</v>
      </c>
      <c r="K261" s="4" t="s">
        <v>27</v>
      </c>
      <c r="L261" s="4" t="s">
        <v>27</v>
      </c>
      <c r="M261" s="4" t="s">
        <v>278</v>
      </c>
      <c r="N261" s="5">
        <v>195202899</v>
      </c>
      <c r="O261" s="2" t="s">
        <v>455</v>
      </c>
      <c r="P261" s="2" t="s">
        <v>86</v>
      </c>
      <c r="Q261" s="4" t="s">
        <v>821</v>
      </c>
    </row>
    <row r="262" spans="1:17" hidden="1" x14ac:dyDescent="0.2">
      <c r="A262" s="2" t="s">
        <v>822</v>
      </c>
      <c r="B262" s="2" t="s">
        <v>551</v>
      </c>
      <c r="C262" s="2" t="s">
        <v>823</v>
      </c>
      <c r="D262" s="2" t="s">
        <v>20</v>
      </c>
      <c r="E262" s="3">
        <v>98362</v>
      </c>
      <c r="F262" s="4" t="s">
        <v>401</v>
      </c>
      <c r="G262" s="2" t="s">
        <v>610</v>
      </c>
      <c r="H262" s="2" t="s">
        <v>611</v>
      </c>
      <c r="I262" s="2" t="s">
        <v>212</v>
      </c>
      <c r="J262" s="2" t="s">
        <v>213</v>
      </c>
      <c r="K262" s="4" t="s">
        <v>815</v>
      </c>
      <c r="L262" s="4" t="s">
        <v>27</v>
      </c>
      <c r="M262" s="4" t="s">
        <v>509</v>
      </c>
      <c r="N262" s="5">
        <v>256161034</v>
      </c>
      <c r="O262" s="2" t="s">
        <v>824</v>
      </c>
      <c r="P262" s="2" t="s">
        <v>554</v>
      </c>
      <c r="Q262" s="4" t="s">
        <v>825</v>
      </c>
    </row>
    <row r="263" spans="1:17" hidden="1" x14ac:dyDescent="0.2">
      <c r="A263" s="2" t="s">
        <v>822</v>
      </c>
      <c r="B263" s="2" t="s">
        <v>94</v>
      </c>
      <c r="C263" s="2" t="s">
        <v>125</v>
      </c>
      <c r="D263" s="2" t="s">
        <v>20</v>
      </c>
      <c r="E263" s="3">
        <v>98277</v>
      </c>
      <c r="F263" s="4" t="s">
        <v>401</v>
      </c>
      <c r="G263" s="2" t="s">
        <v>610</v>
      </c>
      <c r="H263" s="2" t="s">
        <v>611</v>
      </c>
      <c r="I263" s="2" t="s">
        <v>212</v>
      </c>
      <c r="J263" s="2" t="s">
        <v>213</v>
      </c>
      <c r="K263" s="4" t="s">
        <v>815</v>
      </c>
      <c r="L263" s="4" t="s">
        <v>27</v>
      </c>
      <c r="M263" s="4" t="s">
        <v>96</v>
      </c>
      <c r="N263" s="5">
        <v>283289359</v>
      </c>
      <c r="O263" s="2" t="s">
        <v>126</v>
      </c>
      <c r="P263" s="2" t="s">
        <v>30</v>
      </c>
      <c r="Q263" s="4" t="s">
        <v>826</v>
      </c>
    </row>
    <row r="264" spans="1:17" hidden="1" x14ac:dyDescent="0.2">
      <c r="A264" s="2" t="s">
        <v>827</v>
      </c>
      <c r="B264" s="2" t="s">
        <v>33</v>
      </c>
      <c r="C264" s="2" t="s">
        <v>83</v>
      </c>
      <c r="D264" s="2" t="s">
        <v>20</v>
      </c>
      <c r="E264" s="3">
        <v>98115</v>
      </c>
      <c r="F264" s="4" t="s">
        <v>57</v>
      </c>
      <c r="G264" s="2" t="s">
        <v>610</v>
      </c>
      <c r="H264" s="2" t="s">
        <v>611</v>
      </c>
      <c r="I264" s="2" t="s">
        <v>212</v>
      </c>
      <c r="J264" s="2" t="s">
        <v>298</v>
      </c>
      <c r="K264" s="4" t="s">
        <v>27</v>
      </c>
      <c r="L264" s="4" t="s">
        <v>27</v>
      </c>
      <c r="M264" s="4" t="s">
        <v>278</v>
      </c>
      <c r="N264" s="5">
        <v>186162287</v>
      </c>
      <c r="O264" s="2" t="s">
        <v>828</v>
      </c>
      <c r="P264" s="2" t="s">
        <v>86</v>
      </c>
      <c r="Q264" s="4" t="s">
        <v>829</v>
      </c>
    </row>
    <row r="265" spans="1:17" hidden="1" x14ac:dyDescent="0.2">
      <c r="A265" s="2" t="s">
        <v>830</v>
      </c>
      <c r="B265" s="2" t="s">
        <v>40</v>
      </c>
      <c r="C265" s="2" t="s">
        <v>383</v>
      </c>
      <c r="D265" s="2" t="s">
        <v>20</v>
      </c>
      <c r="E265" s="3">
        <v>98208</v>
      </c>
      <c r="F265" s="4" t="s">
        <v>130</v>
      </c>
      <c r="G265" s="2" t="s">
        <v>610</v>
      </c>
      <c r="H265" s="2" t="s">
        <v>611</v>
      </c>
      <c r="I265" s="2" t="s">
        <v>212</v>
      </c>
      <c r="J265" s="2" t="s">
        <v>298</v>
      </c>
      <c r="K265" s="4" t="s">
        <v>27</v>
      </c>
      <c r="L265" s="4" t="s">
        <v>27</v>
      </c>
      <c r="M265" s="4" t="s">
        <v>116</v>
      </c>
      <c r="N265" s="5">
        <v>277986089</v>
      </c>
      <c r="O265" s="2" t="s">
        <v>384</v>
      </c>
      <c r="P265" s="2" t="s">
        <v>30</v>
      </c>
      <c r="Q265" s="4" t="s">
        <v>831</v>
      </c>
    </row>
    <row r="266" spans="1:17" hidden="1" x14ac:dyDescent="0.2">
      <c r="A266" s="2" t="s">
        <v>832</v>
      </c>
      <c r="B266" s="2" t="s">
        <v>688</v>
      </c>
      <c r="C266" s="2" t="s">
        <v>689</v>
      </c>
      <c r="D266" s="2" t="s">
        <v>20</v>
      </c>
      <c r="E266" s="3">
        <v>98226</v>
      </c>
      <c r="F266" s="4" t="s">
        <v>130</v>
      </c>
      <c r="G266" s="2" t="s">
        <v>610</v>
      </c>
      <c r="H266" s="2" t="s">
        <v>611</v>
      </c>
      <c r="I266" s="2" t="s">
        <v>212</v>
      </c>
      <c r="J266" s="2" t="s">
        <v>298</v>
      </c>
      <c r="K266" s="4" t="s">
        <v>27</v>
      </c>
      <c r="L266" s="4" t="s">
        <v>27</v>
      </c>
      <c r="M266" s="4" t="s">
        <v>690</v>
      </c>
      <c r="N266" s="5">
        <v>278022860</v>
      </c>
      <c r="O266" s="2" t="s">
        <v>691</v>
      </c>
      <c r="P266" s="2" t="s">
        <v>692</v>
      </c>
      <c r="Q266" s="4" t="s">
        <v>833</v>
      </c>
    </row>
    <row r="267" spans="1:17" hidden="1" x14ac:dyDescent="0.2">
      <c r="A267" s="2" t="s">
        <v>834</v>
      </c>
      <c r="B267" s="2" t="s">
        <v>151</v>
      </c>
      <c r="C267" s="2" t="s">
        <v>566</v>
      </c>
      <c r="D267" s="2" t="s">
        <v>20</v>
      </c>
      <c r="E267" s="3">
        <v>98503</v>
      </c>
      <c r="F267" s="4" t="s">
        <v>21</v>
      </c>
      <c r="G267" s="2" t="s">
        <v>610</v>
      </c>
      <c r="H267" s="2" t="s">
        <v>611</v>
      </c>
      <c r="I267" s="2" t="s">
        <v>212</v>
      </c>
      <c r="J267" s="2" t="s">
        <v>298</v>
      </c>
      <c r="K267" s="4" t="s">
        <v>27</v>
      </c>
      <c r="L267" s="4" t="s">
        <v>27</v>
      </c>
      <c r="M267" s="4" t="s">
        <v>90</v>
      </c>
      <c r="N267" s="5">
        <v>231018504</v>
      </c>
      <c r="O267" s="2" t="s">
        <v>567</v>
      </c>
      <c r="P267" s="2" t="s">
        <v>30</v>
      </c>
      <c r="Q267" s="4" t="s">
        <v>835</v>
      </c>
    </row>
    <row r="268" spans="1:17" hidden="1" x14ac:dyDescent="0.2">
      <c r="A268" s="2" t="s">
        <v>834</v>
      </c>
      <c r="B268" s="2" t="s">
        <v>55</v>
      </c>
      <c r="C268" s="2" t="s">
        <v>836</v>
      </c>
      <c r="D268" s="2" t="s">
        <v>20</v>
      </c>
      <c r="E268" s="3">
        <v>98604</v>
      </c>
      <c r="F268" s="4" t="s">
        <v>21</v>
      </c>
      <c r="G268" s="2" t="s">
        <v>610</v>
      </c>
      <c r="H268" s="2" t="s">
        <v>611</v>
      </c>
      <c r="I268" s="2" t="s">
        <v>212</v>
      </c>
      <c r="J268" s="2" t="s">
        <v>298</v>
      </c>
      <c r="K268" s="4" t="s">
        <v>27</v>
      </c>
      <c r="L268" s="4" t="s">
        <v>27</v>
      </c>
      <c r="M268" s="4" t="s">
        <v>58</v>
      </c>
      <c r="N268" s="5">
        <v>238086642</v>
      </c>
      <c r="O268" s="2" t="s">
        <v>837</v>
      </c>
      <c r="P268" s="2" t="s">
        <v>60</v>
      </c>
      <c r="Q268" s="4" t="s">
        <v>838</v>
      </c>
    </row>
    <row r="269" spans="1:17" hidden="1" x14ac:dyDescent="0.2">
      <c r="A269" s="2" t="s">
        <v>839</v>
      </c>
      <c r="B269" s="2" t="s">
        <v>33</v>
      </c>
      <c r="C269" s="2" t="s">
        <v>89</v>
      </c>
      <c r="D269" s="2" t="s">
        <v>20</v>
      </c>
      <c r="E269" s="3">
        <v>98011</v>
      </c>
      <c r="F269" s="4" t="s">
        <v>130</v>
      </c>
      <c r="G269" s="2" t="s">
        <v>610</v>
      </c>
      <c r="H269" s="2" t="s">
        <v>611</v>
      </c>
      <c r="I269" s="2" t="s">
        <v>212</v>
      </c>
      <c r="J269" s="2" t="s">
        <v>298</v>
      </c>
      <c r="K269" s="4" t="s">
        <v>27</v>
      </c>
      <c r="L269" s="4" t="s">
        <v>27</v>
      </c>
      <c r="M269" s="4" t="s">
        <v>170</v>
      </c>
      <c r="N269" s="5">
        <v>281582626</v>
      </c>
      <c r="O269" s="2" t="s">
        <v>503</v>
      </c>
      <c r="P269" s="2" t="s">
        <v>37</v>
      </c>
      <c r="Q269" s="4" t="s">
        <v>504</v>
      </c>
    </row>
    <row r="270" spans="1:17" hidden="1" x14ac:dyDescent="0.2">
      <c r="A270" s="2" t="s">
        <v>840</v>
      </c>
      <c r="B270" s="2" t="s">
        <v>18</v>
      </c>
      <c r="C270" s="2" t="s">
        <v>218</v>
      </c>
      <c r="D270" s="2" t="s">
        <v>20</v>
      </c>
      <c r="E270" s="3">
        <v>98310</v>
      </c>
      <c r="F270" s="4" t="s">
        <v>130</v>
      </c>
      <c r="G270" s="2" t="s">
        <v>610</v>
      </c>
      <c r="H270" s="2" t="s">
        <v>611</v>
      </c>
      <c r="I270" s="2" t="s">
        <v>212</v>
      </c>
      <c r="J270" s="2" t="s">
        <v>298</v>
      </c>
      <c r="K270" s="4" t="s">
        <v>27</v>
      </c>
      <c r="L270" s="4" t="s">
        <v>27</v>
      </c>
      <c r="M270" s="4" t="s">
        <v>28</v>
      </c>
      <c r="N270" s="5">
        <v>276853279</v>
      </c>
      <c r="O270" s="2" t="s">
        <v>743</v>
      </c>
      <c r="P270" s="2" t="s">
        <v>30</v>
      </c>
      <c r="Q270" s="4" t="s">
        <v>744</v>
      </c>
    </row>
    <row r="271" spans="1:17" hidden="1" x14ac:dyDescent="0.2">
      <c r="A271" s="2" t="s">
        <v>841</v>
      </c>
      <c r="B271" s="2" t="s">
        <v>842</v>
      </c>
      <c r="C271" s="2" t="s">
        <v>843</v>
      </c>
      <c r="D271" s="2" t="s">
        <v>20</v>
      </c>
      <c r="E271" s="3">
        <v>98541</v>
      </c>
      <c r="F271" s="4" t="s">
        <v>21</v>
      </c>
      <c r="G271" s="2" t="s">
        <v>610</v>
      </c>
      <c r="H271" s="2" t="s">
        <v>611</v>
      </c>
      <c r="I271" s="2" t="s">
        <v>212</v>
      </c>
      <c r="J271" s="2" t="s">
        <v>298</v>
      </c>
      <c r="K271" s="4" t="s">
        <v>27</v>
      </c>
      <c r="L271" s="4" t="s">
        <v>27</v>
      </c>
      <c r="M271" s="4" t="s">
        <v>509</v>
      </c>
      <c r="N271" s="5">
        <v>264856665</v>
      </c>
      <c r="O271" s="2" t="s">
        <v>844</v>
      </c>
      <c r="P271" s="2" t="s">
        <v>845</v>
      </c>
      <c r="Q271" s="4" t="s">
        <v>846</v>
      </c>
    </row>
    <row r="272" spans="1:17" hidden="1" x14ac:dyDescent="0.2">
      <c r="A272" s="2" t="s">
        <v>847</v>
      </c>
      <c r="B272" s="2" t="s">
        <v>33</v>
      </c>
      <c r="C272" s="2" t="s">
        <v>139</v>
      </c>
      <c r="D272" s="2" t="s">
        <v>20</v>
      </c>
      <c r="E272" s="3">
        <v>98058</v>
      </c>
      <c r="F272" s="4" t="s">
        <v>121</v>
      </c>
      <c r="G272" s="2" t="s">
        <v>610</v>
      </c>
      <c r="H272" s="2" t="s">
        <v>611</v>
      </c>
      <c r="I272" s="2" t="s">
        <v>212</v>
      </c>
      <c r="J272" s="2" t="s">
        <v>298</v>
      </c>
      <c r="K272" s="4" t="s">
        <v>27</v>
      </c>
      <c r="L272" s="4" t="s">
        <v>27</v>
      </c>
      <c r="M272" s="4" t="s">
        <v>140</v>
      </c>
      <c r="N272" s="5">
        <v>267310235</v>
      </c>
      <c r="O272" s="2" t="s">
        <v>141</v>
      </c>
      <c r="P272" s="2" t="s">
        <v>37</v>
      </c>
      <c r="Q272" s="4" t="s">
        <v>848</v>
      </c>
    </row>
    <row r="273" spans="1:17" hidden="1" x14ac:dyDescent="0.2">
      <c r="A273" s="2" t="s">
        <v>849</v>
      </c>
      <c r="B273" s="2" t="s">
        <v>688</v>
      </c>
      <c r="C273" s="2" t="s">
        <v>689</v>
      </c>
      <c r="D273" s="2" t="s">
        <v>20</v>
      </c>
      <c r="E273" s="3">
        <v>98229</v>
      </c>
      <c r="F273" s="4" t="s">
        <v>130</v>
      </c>
      <c r="G273" s="2" t="s">
        <v>610</v>
      </c>
      <c r="H273" s="2" t="s">
        <v>611</v>
      </c>
      <c r="I273" s="2" t="s">
        <v>212</v>
      </c>
      <c r="J273" s="2" t="s">
        <v>298</v>
      </c>
      <c r="K273" s="4" t="s">
        <v>27</v>
      </c>
      <c r="L273" s="4" t="s">
        <v>27</v>
      </c>
      <c r="M273" s="4" t="s">
        <v>409</v>
      </c>
      <c r="N273" s="5">
        <v>281500649</v>
      </c>
      <c r="O273" s="2" t="s">
        <v>850</v>
      </c>
      <c r="P273" s="2" t="s">
        <v>692</v>
      </c>
      <c r="Q273" s="4" t="s">
        <v>851</v>
      </c>
    </row>
    <row r="274" spans="1:17" hidden="1" x14ac:dyDescent="0.2">
      <c r="A274" s="2" t="s">
        <v>852</v>
      </c>
      <c r="B274" s="2" t="s">
        <v>33</v>
      </c>
      <c r="C274" s="2" t="s">
        <v>83</v>
      </c>
      <c r="D274" s="2" t="s">
        <v>20</v>
      </c>
      <c r="E274" s="3">
        <v>98133</v>
      </c>
      <c r="F274" s="4" t="s">
        <v>121</v>
      </c>
      <c r="G274" s="2" t="s">
        <v>853</v>
      </c>
      <c r="H274" s="2" t="s">
        <v>854</v>
      </c>
      <c r="I274" s="2" t="s">
        <v>212</v>
      </c>
      <c r="J274" s="2" t="s">
        <v>298</v>
      </c>
      <c r="K274" s="4" t="s">
        <v>27</v>
      </c>
      <c r="L274" s="4" t="s">
        <v>27</v>
      </c>
      <c r="M274" s="4" t="s">
        <v>74</v>
      </c>
      <c r="N274" s="5">
        <v>268536033</v>
      </c>
      <c r="O274" s="2" t="s">
        <v>291</v>
      </c>
      <c r="P274" s="2" t="s">
        <v>86</v>
      </c>
      <c r="Q274" s="4" t="s">
        <v>855</v>
      </c>
    </row>
    <row r="275" spans="1:17" hidden="1" x14ac:dyDescent="0.2">
      <c r="A275" s="2" t="s">
        <v>856</v>
      </c>
      <c r="B275" s="2" t="s">
        <v>151</v>
      </c>
      <c r="C275" s="2" t="s">
        <v>566</v>
      </c>
      <c r="D275" s="2" t="s">
        <v>20</v>
      </c>
      <c r="E275" s="3">
        <v>98503</v>
      </c>
      <c r="F275" s="4" t="s">
        <v>121</v>
      </c>
      <c r="G275" s="2" t="s">
        <v>853</v>
      </c>
      <c r="H275" s="2" t="s">
        <v>854</v>
      </c>
      <c r="I275" s="2" t="s">
        <v>212</v>
      </c>
      <c r="J275" s="2" t="s">
        <v>298</v>
      </c>
      <c r="K275" s="4" t="s">
        <v>27</v>
      </c>
      <c r="L275" s="4" t="s">
        <v>27</v>
      </c>
      <c r="M275" s="4" t="s">
        <v>90</v>
      </c>
      <c r="N275" s="5">
        <v>277263192</v>
      </c>
      <c r="O275" s="2" t="s">
        <v>567</v>
      </c>
      <c r="P275" s="2" t="s">
        <v>30</v>
      </c>
      <c r="Q275" s="4" t="s">
        <v>225</v>
      </c>
    </row>
    <row r="276" spans="1:17" hidden="1" x14ac:dyDescent="0.2">
      <c r="A276" s="2" t="s">
        <v>857</v>
      </c>
      <c r="B276" s="2" t="s">
        <v>33</v>
      </c>
      <c r="C276" s="2" t="s">
        <v>83</v>
      </c>
      <c r="D276" s="2" t="s">
        <v>20</v>
      </c>
      <c r="E276" s="3">
        <v>98125</v>
      </c>
      <c r="F276" s="4" t="s">
        <v>21</v>
      </c>
      <c r="G276" s="2" t="s">
        <v>853</v>
      </c>
      <c r="H276" s="2" t="s">
        <v>854</v>
      </c>
      <c r="I276" s="2" t="s">
        <v>212</v>
      </c>
      <c r="J276" s="2" t="s">
        <v>298</v>
      </c>
      <c r="K276" s="4" t="s">
        <v>27</v>
      </c>
      <c r="L276" s="4" t="s">
        <v>27</v>
      </c>
      <c r="M276" s="4" t="s">
        <v>278</v>
      </c>
      <c r="N276" s="5">
        <v>228601677</v>
      </c>
      <c r="O276" s="2" t="s">
        <v>279</v>
      </c>
      <c r="P276" s="2" t="s">
        <v>86</v>
      </c>
      <c r="Q276" s="4" t="s">
        <v>858</v>
      </c>
    </row>
    <row r="277" spans="1:17" hidden="1" x14ac:dyDescent="0.2">
      <c r="A277" s="2" t="s">
        <v>859</v>
      </c>
      <c r="B277" s="2" t="s">
        <v>804</v>
      </c>
      <c r="C277" s="2" t="s">
        <v>805</v>
      </c>
      <c r="D277" s="2" t="s">
        <v>20</v>
      </c>
      <c r="E277" s="3">
        <v>99352</v>
      </c>
      <c r="F277" s="4" t="s">
        <v>21</v>
      </c>
      <c r="G277" s="2" t="s">
        <v>853</v>
      </c>
      <c r="H277" s="2" t="s">
        <v>854</v>
      </c>
      <c r="I277" s="2" t="s">
        <v>212</v>
      </c>
      <c r="J277" s="2" t="s">
        <v>298</v>
      </c>
      <c r="K277" s="4" t="s">
        <v>27</v>
      </c>
      <c r="L277" s="4" t="s">
        <v>27</v>
      </c>
      <c r="M277" s="4" t="s">
        <v>806</v>
      </c>
      <c r="N277" s="5">
        <v>255346969</v>
      </c>
      <c r="O277" s="2" t="s">
        <v>860</v>
      </c>
      <c r="P277" s="2" t="s">
        <v>808</v>
      </c>
      <c r="Q277" s="4" t="s">
        <v>861</v>
      </c>
    </row>
    <row r="278" spans="1:17" hidden="1" x14ac:dyDescent="0.2">
      <c r="A278" s="2" t="s">
        <v>862</v>
      </c>
      <c r="B278" s="2" t="s">
        <v>241</v>
      </c>
      <c r="C278" s="2" t="s">
        <v>863</v>
      </c>
      <c r="D278" s="2" t="s">
        <v>20</v>
      </c>
      <c r="E278" s="3">
        <v>99114</v>
      </c>
      <c r="F278" s="4" t="s">
        <v>21</v>
      </c>
      <c r="G278" s="2" t="s">
        <v>853</v>
      </c>
      <c r="H278" s="2" t="s">
        <v>854</v>
      </c>
      <c r="I278" s="2" t="s">
        <v>212</v>
      </c>
      <c r="J278" s="2" t="s">
        <v>298</v>
      </c>
      <c r="K278" s="4" t="s">
        <v>27</v>
      </c>
      <c r="L278" s="4" t="s">
        <v>27</v>
      </c>
      <c r="M278" s="4" t="s">
        <v>164</v>
      </c>
      <c r="N278" s="5">
        <v>238310593</v>
      </c>
      <c r="O278" s="2" t="s">
        <v>864</v>
      </c>
      <c r="P278" s="2" t="s">
        <v>244</v>
      </c>
      <c r="Q278" s="4" t="s">
        <v>865</v>
      </c>
    </row>
    <row r="279" spans="1:17" hidden="1" x14ac:dyDescent="0.2">
      <c r="A279" s="2" t="s">
        <v>866</v>
      </c>
      <c r="B279" s="2" t="s">
        <v>33</v>
      </c>
      <c r="C279" s="2" t="s">
        <v>83</v>
      </c>
      <c r="D279" s="2" t="s">
        <v>20</v>
      </c>
      <c r="E279" s="3">
        <v>98144</v>
      </c>
      <c r="F279" s="4" t="s">
        <v>21</v>
      </c>
      <c r="G279" s="2" t="s">
        <v>853</v>
      </c>
      <c r="H279" s="2" t="s">
        <v>854</v>
      </c>
      <c r="I279" s="2" t="s">
        <v>212</v>
      </c>
      <c r="J279" s="2" t="s">
        <v>298</v>
      </c>
      <c r="K279" s="4" t="s">
        <v>27</v>
      </c>
      <c r="L279" s="4" t="s">
        <v>27</v>
      </c>
      <c r="M279" s="4" t="s">
        <v>140</v>
      </c>
      <c r="N279" s="5">
        <v>227495257</v>
      </c>
      <c r="O279" s="2" t="s">
        <v>867</v>
      </c>
      <c r="P279" s="2" t="s">
        <v>86</v>
      </c>
      <c r="Q279" s="4" t="s">
        <v>868</v>
      </c>
    </row>
    <row r="280" spans="1:17" hidden="1" x14ac:dyDescent="0.2">
      <c r="A280" s="2" t="s">
        <v>866</v>
      </c>
      <c r="B280" s="2" t="s">
        <v>33</v>
      </c>
      <c r="C280" s="2" t="s">
        <v>83</v>
      </c>
      <c r="D280" s="2" t="s">
        <v>20</v>
      </c>
      <c r="E280" s="3">
        <v>98107</v>
      </c>
      <c r="F280" s="4" t="s">
        <v>21</v>
      </c>
      <c r="G280" s="2" t="s">
        <v>853</v>
      </c>
      <c r="H280" s="2" t="s">
        <v>854</v>
      </c>
      <c r="I280" s="2" t="s">
        <v>212</v>
      </c>
      <c r="J280" s="2" t="s">
        <v>298</v>
      </c>
      <c r="K280" s="4" t="s">
        <v>27</v>
      </c>
      <c r="L280" s="4" t="s">
        <v>27</v>
      </c>
      <c r="M280" s="4" t="s">
        <v>436</v>
      </c>
      <c r="N280" s="5">
        <v>229529002</v>
      </c>
      <c r="O280" s="2" t="s">
        <v>869</v>
      </c>
      <c r="P280" s="2" t="s">
        <v>86</v>
      </c>
      <c r="Q280" s="4" t="s">
        <v>628</v>
      </c>
    </row>
    <row r="281" spans="1:17" hidden="1" x14ac:dyDescent="0.2">
      <c r="A281" s="2" t="s">
        <v>870</v>
      </c>
      <c r="B281" s="2" t="s">
        <v>33</v>
      </c>
      <c r="C281" s="2" t="s">
        <v>83</v>
      </c>
      <c r="D281" s="2" t="s">
        <v>20</v>
      </c>
      <c r="E281" s="3">
        <v>98126</v>
      </c>
      <c r="F281" s="4" t="s">
        <v>130</v>
      </c>
      <c r="G281" s="2" t="s">
        <v>853</v>
      </c>
      <c r="H281" s="2" t="s">
        <v>854</v>
      </c>
      <c r="I281" s="2" t="s">
        <v>212</v>
      </c>
      <c r="J281" s="2" t="s">
        <v>298</v>
      </c>
      <c r="K281" s="4" t="s">
        <v>27</v>
      </c>
      <c r="L281" s="4" t="s">
        <v>27</v>
      </c>
      <c r="M281" s="4" t="s">
        <v>319</v>
      </c>
      <c r="N281" s="5">
        <v>282881868</v>
      </c>
      <c r="O281" s="2" t="s">
        <v>440</v>
      </c>
      <c r="P281" s="2" t="s">
        <v>86</v>
      </c>
      <c r="Q281" s="4" t="s">
        <v>871</v>
      </c>
    </row>
    <row r="282" spans="1:17" hidden="1" x14ac:dyDescent="0.2">
      <c r="A282" s="2" t="s">
        <v>872</v>
      </c>
      <c r="B282" s="2" t="s">
        <v>873</v>
      </c>
      <c r="C282" s="2" t="s">
        <v>874</v>
      </c>
      <c r="D282" s="2" t="s">
        <v>20</v>
      </c>
      <c r="E282" s="3">
        <v>98926</v>
      </c>
      <c r="F282" s="4" t="s">
        <v>21</v>
      </c>
      <c r="G282" s="2" t="s">
        <v>853</v>
      </c>
      <c r="H282" s="2" t="s">
        <v>854</v>
      </c>
      <c r="I282" s="2" t="s">
        <v>212</v>
      </c>
      <c r="J282" s="2" t="s">
        <v>298</v>
      </c>
      <c r="K282" s="4" t="s">
        <v>27</v>
      </c>
      <c r="L282" s="4" t="s">
        <v>27</v>
      </c>
      <c r="M282" s="4" t="s">
        <v>264</v>
      </c>
      <c r="N282" s="5">
        <v>227158753</v>
      </c>
      <c r="O282" s="2" t="s">
        <v>875</v>
      </c>
      <c r="P282" s="2" t="s">
        <v>30</v>
      </c>
      <c r="Q282" s="4" t="s">
        <v>876</v>
      </c>
    </row>
    <row r="283" spans="1:17" hidden="1" x14ac:dyDescent="0.2">
      <c r="A283" s="2" t="s">
        <v>877</v>
      </c>
      <c r="B283" s="2" t="s">
        <v>40</v>
      </c>
      <c r="C283" s="2" t="s">
        <v>40</v>
      </c>
      <c r="D283" s="2" t="s">
        <v>20</v>
      </c>
      <c r="E283" s="3">
        <v>98290</v>
      </c>
      <c r="F283" s="4" t="s">
        <v>21</v>
      </c>
      <c r="G283" s="2" t="s">
        <v>853</v>
      </c>
      <c r="H283" s="2" t="s">
        <v>854</v>
      </c>
      <c r="I283" s="2" t="s">
        <v>212</v>
      </c>
      <c r="J283" s="2" t="s">
        <v>298</v>
      </c>
      <c r="K283" s="4" t="s">
        <v>27</v>
      </c>
      <c r="L283" s="4" t="s">
        <v>27</v>
      </c>
      <c r="M283" s="4" t="s">
        <v>44</v>
      </c>
      <c r="N283" s="5">
        <v>227292726</v>
      </c>
      <c r="O283" s="2" t="s">
        <v>117</v>
      </c>
      <c r="P283" s="2" t="s">
        <v>30</v>
      </c>
      <c r="Q283" s="4" t="s">
        <v>878</v>
      </c>
    </row>
    <row r="284" spans="1:17" hidden="1" x14ac:dyDescent="0.2">
      <c r="A284" s="2" t="s">
        <v>879</v>
      </c>
      <c r="B284" s="2" t="s">
        <v>18</v>
      </c>
      <c r="C284" s="2" t="s">
        <v>19</v>
      </c>
      <c r="D284" s="2" t="s">
        <v>20</v>
      </c>
      <c r="E284" s="3">
        <v>98370</v>
      </c>
      <c r="F284" s="4" t="s">
        <v>21</v>
      </c>
      <c r="G284" s="2" t="s">
        <v>853</v>
      </c>
      <c r="H284" s="2" t="s">
        <v>854</v>
      </c>
      <c r="I284" s="2" t="s">
        <v>212</v>
      </c>
      <c r="J284" s="2" t="s">
        <v>298</v>
      </c>
      <c r="K284" s="4" t="s">
        <v>27</v>
      </c>
      <c r="L284" s="4" t="s">
        <v>27</v>
      </c>
      <c r="M284" s="4" t="s">
        <v>28</v>
      </c>
      <c r="N284" s="5">
        <v>278610685</v>
      </c>
      <c r="O284" s="2" t="s">
        <v>29</v>
      </c>
      <c r="P284" s="2" t="s">
        <v>30</v>
      </c>
      <c r="Q284" s="4" t="s">
        <v>31</v>
      </c>
    </row>
    <row r="285" spans="1:17" hidden="1" x14ac:dyDescent="0.2">
      <c r="A285" s="2" t="s">
        <v>880</v>
      </c>
      <c r="B285" s="2" t="s">
        <v>40</v>
      </c>
      <c r="C285" s="2" t="s">
        <v>40</v>
      </c>
      <c r="D285" s="2" t="s">
        <v>20</v>
      </c>
      <c r="E285" s="3">
        <v>98296</v>
      </c>
      <c r="F285" s="4" t="s">
        <v>21</v>
      </c>
      <c r="G285" s="2" t="s">
        <v>853</v>
      </c>
      <c r="H285" s="2" t="s">
        <v>854</v>
      </c>
      <c r="I285" s="2" t="s">
        <v>212</v>
      </c>
      <c r="J285" s="2" t="s">
        <v>298</v>
      </c>
      <c r="K285" s="4" t="s">
        <v>27</v>
      </c>
      <c r="L285" s="4" t="s">
        <v>27</v>
      </c>
      <c r="M285" s="4" t="s">
        <v>170</v>
      </c>
      <c r="N285" s="5">
        <v>227306278</v>
      </c>
      <c r="O285" s="2" t="s">
        <v>294</v>
      </c>
      <c r="P285" s="2" t="s">
        <v>30</v>
      </c>
      <c r="Q285" s="4" t="s">
        <v>881</v>
      </c>
    </row>
    <row r="286" spans="1:17" hidden="1" x14ac:dyDescent="0.2">
      <c r="A286" s="2" t="s">
        <v>882</v>
      </c>
      <c r="B286" s="2" t="s">
        <v>151</v>
      </c>
      <c r="C286" s="2" t="s">
        <v>883</v>
      </c>
      <c r="D286" s="2" t="s">
        <v>20</v>
      </c>
      <c r="E286" s="3">
        <v>98576</v>
      </c>
      <c r="F286" s="4" t="s">
        <v>21</v>
      </c>
      <c r="G286" s="2" t="s">
        <v>853</v>
      </c>
      <c r="H286" s="2" t="s">
        <v>854</v>
      </c>
      <c r="I286" s="2" t="s">
        <v>212</v>
      </c>
      <c r="J286" s="2" t="s">
        <v>298</v>
      </c>
      <c r="K286" s="4" t="s">
        <v>27</v>
      </c>
      <c r="L286" s="4" t="s">
        <v>27</v>
      </c>
      <c r="M286" s="4" t="s">
        <v>357</v>
      </c>
      <c r="N286" s="5">
        <v>224613721</v>
      </c>
      <c r="O286" s="2" t="s">
        <v>884</v>
      </c>
      <c r="P286" s="2" t="s">
        <v>30</v>
      </c>
      <c r="Q286" s="4" t="s">
        <v>885</v>
      </c>
    </row>
    <row r="287" spans="1:17" hidden="1" x14ac:dyDescent="0.2">
      <c r="A287" s="2" t="s">
        <v>886</v>
      </c>
      <c r="B287" s="2" t="s">
        <v>33</v>
      </c>
      <c r="C287" s="2" t="s">
        <v>83</v>
      </c>
      <c r="D287" s="2" t="s">
        <v>20</v>
      </c>
      <c r="E287" s="3">
        <v>98199</v>
      </c>
      <c r="F287" s="4" t="s">
        <v>21</v>
      </c>
      <c r="G287" s="2" t="s">
        <v>853</v>
      </c>
      <c r="H287" s="2" t="s">
        <v>854</v>
      </c>
      <c r="I287" s="2" t="s">
        <v>212</v>
      </c>
      <c r="J287" s="2" t="s">
        <v>298</v>
      </c>
      <c r="K287" s="4" t="s">
        <v>27</v>
      </c>
      <c r="L287" s="4" t="s">
        <v>27</v>
      </c>
      <c r="M287" s="4" t="s">
        <v>84</v>
      </c>
      <c r="N287" s="5">
        <v>264697331</v>
      </c>
      <c r="O287" s="2" t="s">
        <v>380</v>
      </c>
      <c r="P287" s="2" t="s">
        <v>86</v>
      </c>
      <c r="Q287" s="4" t="s">
        <v>887</v>
      </c>
    </row>
    <row r="288" spans="1:17" hidden="1" x14ac:dyDescent="0.2">
      <c r="A288" s="2" t="s">
        <v>888</v>
      </c>
      <c r="B288" s="2" t="s">
        <v>33</v>
      </c>
      <c r="C288" s="2" t="s">
        <v>139</v>
      </c>
      <c r="D288" s="2" t="s">
        <v>20</v>
      </c>
      <c r="E288" s="3">
        <v>98055</v>
      </c>
      <c r="F288" s="4" t="s">
        <v>21</v>
      </c>
      <c r="G288" s="2" t="s">
        <v>853</v>
      </c>
      <c r="H288" s="2" t="s">
        <v>854</v>
      </c>
      <c r="I288" s="2" t="s">
        <v>212</v>
      </c>
      <c r="J288" s="2" t="s">
        <v>298</v>
      </c>
      <c r="K288" s="4" t="s">
        <v>27</v>
      </c>
      <c r="L288" s="4" t="s">
        <v>27</v>
      </c>
      <c r="M288" s="4" t="s">
        <v>140</v>
      </c>
      <c r="N288" s="5">
        <v>255107247</v>
      </c>
      <c r="O288" s="2" t="s">
        <v>889</v>
      </c>
      <c r="P288" s="2" t="s">
        <v>37</v>
      </c>
      <c r="Q288" s="4" t="s">
        <v>890</v>
      </c>
    </row>
    <row r="289" spans="1:17" hidden="1" x14ac:dyDescent="0.2">
      <c r="A289" s="2" t="s">
        <v>891</v>
      </c>
      <c r="B289" s="2" t="s">
        <v>33</v>
      </c>
      <c r="C289" s="2" t="s">
        <v>451</v>
      </c>
      <c r="D289" s="2" t="s">
        <v>20</v>
      </c>
      <c r="E289" s="3">
        <v>98075</v>
      </c>
      <c r="F289" s="4" t="s">
        <v>21</v>
      </c>
      <c r="G289" s="2" t="s">
        <v>853</v>
      </c>
      <c r="H289" s="2" t="s">
        <v>854</v>
      </c>
      <c r="I289" s="2" t="s">
        <v>212</v>
      </c>
      <c r="J289" s="2" t="s">
        <v>298</v>
      </c>
      <c r="K289" s="4" t="s">
        <v>27</v>
      </c>
      <c r="L289" s="4" t="s">
        <v>27</v>
      </c>
      <c r="M289" s="4" t="s">
        <v>403</v>
      </c>
      <c r="N289" s="5">
        <v>244211544</v>
      </c>
      <c r="O289" s="2" t="s">
        <v>452</v>
      </c>
      <c r="P289" s="2" t="s">
        <v>37</v>
      </c>
      <c r="Q289" s="4" t="s">
        <v>892</v>
      </c>
    </row>
    <row r="290" spans="1:17" hidden="1" x14ac:dyDescent="0.2">
      <c r="A290" s="2" t="s">
        <v>893</v>
      </c>
      <c r="B290" s="2" t="s">
        <v>33</v>
      </c>
      <c r="C290" s="2" t="s">
        <v>169</v>
      </c>
      <c r="D290" s="2" t="s">
        <v>20</v>
      </c>
      <c r="E290" s="3">
        <v>98033</v>
      </c>
      <c r="F290" s="4" t="s">
        <v>21</v>
      </c>
      <c r="G290" s="2" t="s">
        <v>853</v>
      </c>
      <c r="H290" s="2" t="s">
        <v>854</v>
      </c>
      <c r="I290" s="2" t="s">
        <v>212</v>
      </c>
      <c r="J290" s="2" t="s">
        <v>298</v>
      </c>
      <c r="K290" s="4" t="s">
        <v>27</v>
      </c>
      <c r="L290" s="4" t="s">
        <v>27</v>
      </c>
      <c r="M290" s="4" t="s">
        <v>147</v>
      </c>
      <c r="N290" s="5">
        <v>262801101</v>
      </c>
      <c r="O290" s="2" t="s">
        <v>204</v>
      </c>
      <c r="P290" s="2" t="s">
        <v>37</v>
      </c>
      <c r="Q290" s="4" t="s">
        <v>894</v>
      </c>
    </row>
    <row r="291" spans="1:17" hidden="1" x14ac:dyDescent="0.2">
      <c r="A291" s="2" t="s">
        <v>895</v>
      </c>
      <c r="B291" s="2" t="s">
        <v>33</v>
      </c>
      <c r="C291" s="2" t="s">
        <v>197</v>
      </c>
      <c r="D291" s="2" t="s">
        <v>20</v>
      </c>
      <c r="E291" s="3">
        <v>98072</v>
      </c>
      <c r="F291" s="4" t="s">
        <v>130</v>
      </c>
      <c r="G291" s="2" t="s">
        <v>853</v>
      </c>
      <c r="H291" s="2" t="s">
        <v>854</v>
      </c>
      <c r="I291" s="2" t="s">
        <v>212</v>
      </c>
      <c r="J291" s="2" t="s">
        <v>298</v>
      </c>
      <c r="K291" s="4" t="s">
        <v>27</v>
      </c>
      <c r="L291" s="4" t="s">
        <v>27</v>
      </c>
      <c r="M291" s="4" t="s">
        <v>198</v>
      </c>
      <c r="N291" s="5">
        <v>284787807</v>
      </c>
      <c r="O291" s="2" t="s">
        <v>199</v>
      </c>
      <c r="P291" s="2" t="s">
        <v>37</v>
      </c>
      <c r="Q291" s="4" t="s">
        <v>896</v>
      </c>
    </row>
    <row r="292" spans="1:17" hidden="1" x14ac:dyDescent="0.2">
      <c r="A292" s="2" t="s">
        <v>897</v>
      </c>
      <c r="B292" s="2" t="s">
        <v>33</v>
      </c>
      <c r="C292" s="2" t="s">
        <v>169</v>
      </c>
      <c r="D292" s="2" t="s">
        <v>20</v>
      </c>
      <c r="E292" s="3">
        <v>98034</v>
      </c>
      <c r="F292" s="4" t="s">
        <v>121</v>
      </c>
      <c r="G292" s="2" t="s">
        <v>853</v>
      </c>
      <c r="H292" s="2" t="s">
        <v>854</v>
      </c>
      <c r="I292" s="2" t="s">
        <v>212</v>
      </c>
      <c r="J292" s="2" t="s">
        <v>298</v>
      </c>
      <c r="K292" s="4" t="s">
        <v>27</v>
      </c>
      <c r="L292" s="4" t="s">
        <v>27</v>
      </c>
      <c r="M292" s="4" t="s">
        <v>170</v>
      </c>
      <c r="N292" s="5">
        <v>276206934</v>
      </c>
      <c r="O292" s="2" t="s">
        <v>171</v>
      </c>
      <c r="P292" s="2" t="s">
        <v>37</v>
      </c>
      <c r="Q292" s="4" t="s">
        <v>172</v>
      </c>
    </row>
    <row r="293" spans="1:17" hidden="1" x14ac:dyDescent="0.2">
      <c r="A293" s="2" t="s">
        <v>898</v>
      </c>
      <c r="B293" s="2" t="s">
        <v>33</v>
      </c>
      <c r="C293" s="2" t="s">
        <v>400</v>
      </c>
      <c r="D293" s="2" t="s">
        <v>20</v>
      </c>
      <c r="E293" s="3">
        <v>98040</v>
      </c>
      <c r="F293" s="4" t="s">
        <v>121</v>
      </c>
      <c r="G293" s="2" t="s">
        <v>853</v>
      </c>
      <c r="H293" s="2" t="s">
        <v>854</v>
      </c>
      <c r="I293" s="2" t="s">
        <v>212</v>
      </c>
      <c r="J293" s="2" t="s">
        <v>298</v>
      </c>
      <c r="K293" s="4" t="s">
        <v>27</v>
      </c>
      <c r="L293" s="4" t="s">
        <v>27</v>
      </c>
      <c r="M293" s="4" t="s">
        <v>403</v>
      </c>
      <c r="N293" s="5">
        <v>278341654</v>
      </c>
      <c r="O293" s="2" t="s">
        <v>404</v>
      </c>
      <c r="P293" s="2" t="s">
        <v>37</v>
      </c>
      <c r="Q293" s="4" t="s">
        <v>405</v>
      </c>
    </row>
    <row r="294" spans="1:17" hidden="1" x14ac:dyDescent="0.2">
      <c r="A294" s="2" t="s">
        <v>899</v>
      </c>
      <c r="B294" s="2" t="s">
        <v>33</v>
      </c>
      <c r="C294" s="2" t="s">
        <v>83</v>
      </c>
      <c r="D294" s="2" t="s">
        <v>20</v>
      </c>
      <c r="E294" s="3">
        <v>98107</v>
      </c>
      <c r="F294" s="4" t="s">
        <v>121</v>
      </c>
      <c r="G294" s="2" t="s">
        <v>853</v>
      </c>
      <c r="H294" s="2" t="s">
        <v>854</v>
      </c>
      <c r="I294" s="2" t="s">
        <v>212</v>
      </c>
      <c r="J294" s="2" t="s">
        <v>298</v>
      </c>
      <c r="K294" s="4" t="s">
        <v>27</v>
      </c>
      <c r="L294" s="4" t="s">
        <v>27</v>
      </c>
      <c r="M294" s="4" t="s">
        <v>84</v>
      </c>
      <c r="N294" s="5">
        <v>271869587</v>
      </c>
      <c r="O294" s="2" t="s">
        <v>869</v>
      </c>
      <c r="P294" s="2" t="s">
        <v>86</v>
      </c>
      <c r="Q294" s="4" t="s">
        <v>900</v>
      </c>
    </row>
    <row r="295" spans="1:17" hidden="1" x14ac:dyDescent="0.2">
      <c r="A295" s="2" t="s">
        <v>901</v>
      </c>
      <c r="B295" s="2" t="s">
        <v>110</v>
      </c>
      <c r="C295" s="2" t="s">
        <v>111</v>
      </c>
      <c r="D295" s="2" t="s">
        <v>20</v>
      </c>
      <c r="E295" s="3">
        <v>98391</v>
      </c>
      <c r="F295" s="4" t="s">
        <v>121</v>
      </c>
      <c r="G295" s="2" t="s">
        <v>902</v>
      </c>
      <c r="H295" s="2" t="s">
        <v>903</v>
      </c>
      <c r="I295" s="2" t="s">
        <v>212</v>
      </c>
      <c r="J295" s="2" t="s">
        <v>298</v>
      </c>
      <c r="K295" s="4" t="s">
        <v>27</v>
      </c>
      <c r="L295" s="4" t="s">
        <v>27</v>
      </c>
      <c r="M295" s="4" t="s">
        <v>112</v>
      </c>
      <c r="N295" s="5">
        <v>279092586</v>
      </c>
      <c r="O295" s="2" t="s">
        <v>113</v>
      </c>
      <c r="P295" s="2" t="s">
        <v>37</v>
      </c>
      <c r="Q295" s="4" t="s">
        <v>904</v>
      </c>
    </row>
    <row r="296" spans="1:17" x14ac:dyDescent="0.2">
      <c r="A296" s="2" t="s">
        <v>905</v>
      </c>
      <c r="B296" s="2" t="s">
        <v>156</v>
      </c>
      <c r="C296" s="2" t="s">
        <v>157</v>
      </c>
      <c r="D296" s="2" t="s">
        <v>20</v>
      </c>
      <c r="E296" s="3">
        <v>98531</v>
      </c>
      <c r="F296" s="4" t="s">
        <v>21</v>
      </c>
      <c r="G296" s="2" t="s">
        <v>906</v>
      </c>
      <c r="H296" s="2" t="s">
        <v>907</v>
      </c>
      <c r="I296" s="2" t="s">
        <v>24</v>
      </c>
      <c r="J296" s="2" t="s">
        <v>213</v>
      </c>
      <c r="K296" s="4" t="s">
        <v>74</v>
      </c>
      <c r="L296" s="4" t="s">
        <v>27</v>
      </c>
      <c r="M296" s="4" t="s">
        <v>79</v>
      </c>
      <c r="N296" s="5">
        <v>252342170</v>
      </c>
      <c r="O296" s="2" t="s">
        <v>158</v>
      </c>
      <c r="P296" s="2" t="s">
        <v>159</v>
      </c>
      <c r="Q296" s="4" t="s">
        <v>160</v>
      </c>
    </row>
    <row r="297" spans="1:17" x14ac:dyDescent="0.2">
      <c r="A297" s="2" t="s">
        <v>908</v>
      </c>
      <c r="B297" s="2" t="s">
        <v>33</v>
      </c>
      <c r="C297" s="2" t="s">
        <v>169</v>
      </c>
      <c r="D297" s="2" t="s">
        <v>20</v>
      </c>
      <c r="E297" s="3">
        <v>98034</v>
      </c>
      <c r="F297" s="4" t="s">
        <v>371</v>
      </c>
      <c r="G297" s="2" t="s">
        <v>906</v>
      </c>
      <c r="H297" s="2" t="s">
        <v>907</v>
      </c>
      <c r="I297" s="2" t="s">
        <v>24</v>
      </c>
      <c r="J297" s="2" t="s">
        <v>213</v>
      </c>
      <c r="K297" s="4" t="s">
        <v>909</v>
      </c>
      <c r="L297" s="4" t="s">
        <v>27</v>
      </c>
      <c r="M297" s="4" t="s">
        <v>170</v>
      </c>
      <c r="N297" s="5">
        <v>348313948</v>
      </c>
      <c r="O297" s="2" t="s">
        <v>171</v>
      </c>
      <c r="P297" s="2" t="s">
        <v>37</v>
      </c>
      <c r="Q297" s="4" t="s">
        <v>739</v>
      </c>
    </row>
    <row r="298" spans="1:17" x14ac:dyDescent="0.2">
      <c r="A298" s="2" t="s">
        <v>910</v>
      </c>
      <c r="B298" s="2" t="s">
        <v>33</v>
      </c>
      <c r="C298" s="2" t="s">
        <v>708</v>
      </c>
      <c r="D298" s="2" t="s">
        <v>20</v>
      </c>
      <c r="E298" s="3">
        <v>98038</v>
      </c>
      <c r="F298" s="4" t="s">
        <v>42</v>
      </c>
      <c r="G298" s="2" t="s">
        <v>906</v>
      </c>
      <c r="H298" s="2" t="s">
        <v>907</v>
      </c>
      <c r="I298" s="2" t="s">
        <v>24</v>
      </c>
      <c r="J298" s="2" t="s">
        <v>213</v>
      </c>
      <c r="K298" s="4" t="s">
        <v>74</v>
      </c>
      <c r="L298" s="4" t="s">
        <v>27</v>
      </c>
      <c r="M298" s="4" t="s">
        <v>35</v>
      </c>
      <c r="N298" s="5">
        <v>258068261</v>
      </c>
      <c r="O298" s="2" t="s">
        <v>709</v>
      </c>
      <c r="P298" s="2" t="s">
        <v>37</v>
      </c>
      <c r="Q298" s="4" t="s">
        <v>710</v>
      </c>
    </row>
    <row r="299" spans="1:17" x14ac:dyDescent="0.2">
      <c r="A299" s="2" t="s">
        <v>911</v>
      </c>
      <c r="B299" s="2" t="s">
        <v>156</v>
      </c>
      <c r="C299" s="2" t="s">
        <v>157</v>
      </c>
      <c r="D299" s="2" t="s">
        <v>20</v>
      </c>
      <c r="E299" s="3">
        <v>98531</v>
      </c>
      <c r="F299" s="4" t="s">
        <v>21</v>
      </c>
      <c r="G299" s="2" t="s">
        <v>906</v>
      </c>
      <c r="H299" s="2" t="s">
        <v>907</v>
      </c>
      <c r="I299" s="2" t="s">
        <v>24</v>
      </c>
      <c r="J299" s="2" t="s">
        <v>213</v>
      </c>
      <c r="K299" s="4" t="s">
        <v>74</v>
      </c>
      <c r="L299" s="4" t="s">
        <v>27</v>
      </c>
      <c r="M299" s="4" t="s">
        <v>79</v>
      </c>
      <c r="N299" s="5">
        <v>252438007</v>
      </c>
      <c r="O299" s="2" t="s">
        <v>158</v>
      </c>
      <c r="P299" s="2" t="s">
        <v>159</v>
      </c>
      <c r="Q299" s="4" t="s">
        <v>160</v>
      </c>
    </row>
    <row r="300" spans="1:17" x14ac:dyDescent="0.2">
      <c r="A300" s="2" t="s">
        <v>912</v>
      </c>
      <c r="B300" s="2" t="s">
        <v>151</v>
      </c>
      <c r="C300" s="2" t="s">
        <v>152</v>
      </c>
      <c r="D300" s="2" t="s">
        <v>20</v>
      </c>
      <c r="E300" s="3">
        <v>98506</v>
      </c>
      <c r="F300" s="4" t="s">
        <v>371</v>
      </c>
      <c r="G300" s="2" t="s">
        <v>906</v>
      </c>
      <c r="H300" s="2" t="s">
        <v>907</v>
      </c>
      <c r="I300" s="2" t="s">
        <v>24</v>
      </c>
      <c r="J300" s="2" t="s">
        <v>213</v>
      </c>
      <c r="K300" s="4" t="s">
        <v>909</v>
      </c>
      <c r="L300" s="4" t="s">
        <v>27</v>
      </c>
      <c r="M300" s="4" t="s">
        <v>90</v>
      </c>
      <c r="N300" s="5">
        <v>120816958</v>
      </c>
      <c r="O300" s="2" t="s">
        <v>487</v>
      </c>
      <c r="P300" s="2" t="s">
        <v>30</v>
      </c>
      <c r="Q300" s="4" t="s">
        <v>913</v>
      </c>
    </row>
    <row r="301" spans="1:17" x14ac:dyDescent="0.2">
      <c r="A301" s="2" t="s">
        <v>914</v>
      </c>
      <c r="B301" s="2" t="s">
        <v>33</v>
      </c>
      <c r="C301" s="2" t="s">
        <v>915</v>
      </c>
      <c r="D301" s="2" t="s">
        <v>20</v>
      </c>
      <c r="E301" s="3">
        <v>98155</v>
      </c>
      <c r="F301" s="4" t="s">
        <v>21</v>
      </c>
      <c r="G301" s="2" t="s">
        <v>906</v>
      </c>
      <c r="H301" s="2" t="s">
        <v>907</v>
      </c>
      <c r="I301" s="2" t="s">
        <v>24</v>
      </c>
      <c r="J301" s="2" t="s">
        <v>213</v>
      </c>
      <c r="K301" s="4" t="s">
        <v>74</v>
      </c>
      <c r="L301" s="4" t="s">
        <v>27</v>
      </c>
      <c r="M301" s="4" t="s">
        <v>278</v>
      </c>
      <c r="N301" s="5">
        <v>276557592</v>
      </c>
      <c r="O301" s="2" t="s">
        <v>616</v>
      </c>
      <c r="P301" s="2" t="s">
        <v>86</v>
      </c>
      <c r="Q301" s="4" t="s">
        <v>916</v>
      </c>
    </row>
    <row r="302" spans="1:17" x14ac:dyDescent="0.2">
      <c r="A302" s="2" t="s">
        <v>917</v>
      </c>
      <c r="B302" s="2" t="s">
        <v>55</v>
      </c>
      <c r="C302" s="2" t="s">
        <v>63</v>
      </c>
      <c r="D302" s="2" t="s">
        <v>20</v>
      </c>
      <c r="E302" s="3">
        <v>98662</v>
      </c>
      <c r="F302" s="4" t="s">
        <v>42</v>
      </c>
      <c r="G302" s="2" t="s">
        <v>906</v>
      </c>
      <c r="H302" s="2" t="s">
        <v>907</v>
      </c>
      <c r="I302" s="2" t="s">
        <v>24</v>
      </c>
      <c r="J302" s="2" t="s">
        <v>213</v>
      </c>
      <c r="K302" s="4" t="s">
        <v>74</v>
      </c>
      <c r="L302" s="4" t="s">
        <v>27</v>
      </c>
      <c r="M302" s="4" t="s">
        <v>64</v>
      </c>
      <c r="N302" s="5">
        <v>145848034</v>
      </c>
      <c r="O302" s="2" t="s">
        <v>192</v>
      </c>
      <c r="P302" s="2" t="s">
        <v>60</v>
      </c>
      <c r="Q302" s="4" t="s">
        <v>918</v>
      </c>
    </row>
    <row r="303" spans="1:17" x14ac:dyDescent="0.2">
      <c r="A303" s="2" t="s">
        <v>919</v>
      </c>
      <c r="B303" s="2" t="s">
        <v>156</v>
      </c>
      <c r="C303" s="2" t="s">
        <v>157</v>
      </c>
      <c r="D303" s="2" t="s">
        <v>20</v>
      </c>
      <c r="E303" s="3">
        <v>98531</v>
      </c>
      <c r="F303" s="4" t="s">
        <v>121</v>
      </c>
      <c r="G303" s="2" t="s">
        <v>906</v>
      </c>
      <c r="H303" s="2" t="s">
        <v>907</v>
      </c>
      <c r="I303" s="2" t="s">
        <v>24</v>
      </c>
      <c r="J303" s="2" t="s">
        <v>213</v>
      </c>
      <c r="K303" s="4" t="s">
        <v>74</v>
      </c>
      <c r="L303" s="4" t="s">
        <v>27</v>
      </c>
      <c r="M303" s="4" t="s">
        <v>79</v>
      </c>
      <c r="N303" s="5">
        <v>260196303</v>
      </c>
      <c r="O303" s="2" t="s">
        <v>158</v>
      </c>
      <c r="P303" s="2" t="s">
        <v>159</v>
      </c>
      <c r="Q303" s="4" t="s">
        <v>160</v>
      </c>
    </row>
    <row r="304" spans="1:17" x14ac:dyDescent="0.2">
      <c r="A304" s="2" t="s">
        <v>920</v>
      </c>
      <c r="B304" s="2" t="s">
        <v>156</v>
      </c>
      <c r="C304" s="2" t="s">
        <v>157</v>
      </c>
      <c r="D304" s="2" t="s">
        <v>20</v>
      </c>
      <c r="E304" s="3">
        <v>98531</v>
      </c>
      <c r="F304" s="4" t="s">
        <v>21</v>
      </c>
      <c r="G304" s="2" t="s">
        <v>906</v>
      </c>
      <c r="H304" s="2" t="s">
        <v>907</v>
      </c>
      <c r="I304" s="2" t="s">
        <v>24</v>
      </c>
      <c r="J304" s="2" t="s">
        <v>213</v>
      </c>
      <c r="K304" s="4" t="s">
        <v>74</v>
      </c>
      <c r="L304" s="4" t="s">
        <v>27</v>
      </c>
      <c r="M304" s="4" t="s">
        <v>79</v>
      </c>
      <c r="N304" s="5">
        <v>255154259</v>
      </c>
      <c r="O304" s="2" t="s">
        <v>158</v>
      </c>
      <c r="P304" s="2" t="s">
        <v>159</v>
      </c>
      <c r="Q304" s="4" t="s">
        <v>160</v>
      </c>
    </row>
    <row r="305" spans="1:17" x14ac:dyDescent="0.2">
      <c r="A305" s="2" t="s">
        <v>921</v>
      </c>
      <c r="B305" s="2" t="s">
        <v>156</v>
      </c>
      <c r="C305" s="2" t="s">
        <v>157</v>
      </c>
      <c r="D305" s="2" t="s">
        <v>20</v>
      </c>
      <c r="E305" s="3">
        <v>98531</v>
      </c>
      <c r="F305" s="4" t="s">
        <v>121</v>
      </c>
      <c r="G305" s="2" t="s">
        <v>906</v>
      </c>
      <c r="H305" s="2" t="s">
        <v>907</v>
      </c>
      <c r="I305" s="2" t="s">
        <v>24</v>
      </c>
      <c r="J305" s="2" t="s">
        <v>213</v>
      </c>
      <c r="K305" s="4" t="s">
        <v>74</v>
      </c>
      <c r="L305" s="4" t="s">
        <v>27</v>
      </c>
      <c r="M305" s="4" t="s">
        <v>79</v>
      </c>
      <c r="N305" s="5">
        <v>260565791</v>
      </c>
      <c r="O305" s="2" t="s">
        <v>158</v>
      </c>
      <c r="P305" s="2" t="s">
        <v>159</v>
      </c>
      <c r="Q305" s="4" t="s">
        <v>160</v>
      </c>
    </row>
    <row r="306" spans="1:17" x14ac:dyDescent="0.2">
      <c r="A306" s="2" t="s">
        <v>922</v>
      </c>
      <c r="B306" s="2" t="s">
        <v>33</v>
      </c>
      <c r="C306" s="2" t="s">
        <v>89</v>
      </c>
      <c r="D306" s="2" t="s">
        <v>20</v>
      </c>
      <c r="E306" s="3">
        <v>98011</v>
      </c>
      <c r="F306" s="4" t="s">
        <v>21</v>
      </c>
      <c r="G306" s="2" t="s">
        <v>906</v>
      </c>
      <c r="H306" s="2" t="s">
        <v>907</v>
      </c>
      <c r="I306" s="2" t="s">
        <v>24</v>
      </c>
      <c r="J306" s="2" t="s">
        <v>213</v>
      </c>
      <c r="K306" s="4" t="s">
        <v>74</v>
      </c>
      <c r="L306" s="4" t="s">
        <v>27</v>
      </c>
      <c r="M306" s="4" t="s">
        <v>170</v>
      </c>
      <c r="N306" s="5">
        <v>267335785</v>
      </c>
      <c r="O306" s="2" t="s">
        <v>503</v>
      </c>
      <c r="P306" s="2" t="s">
        <v>37</v>
      </c>
      <c r="Q306" s="4" t="s">
        <v>923</v>
      </c>
    </row>
    <row r="307" spans="1:17" x14ac:dyDescent="0.2">
      <c r="A307" s="2" t="s">
        <v>924</v>
      </c>
      <c r="B307" s="2" t="s">
        <v>156</v>
      </c>
      <c r="C307" s="2" t="s">
        <v>157</v>
      </c>
      <c r="D307" s="2" t="s">
        <v>20</v>
      </c>
      <c r="E307" s="3">
        <v>98531</v>
      </c>
      <c r="F307" s="4" t="s">
        <v>121</v>
      </c>
      <c r="G307" s="2" t="s">
        <v>906</v>
      </c>
      <c r="H307" s="2" t="s">
        <v>907</v>
      </c>
      <c r="I307" s="2" t="s">
        <v>24</v>
      </c>
      <c r="J307" s="2" t="s">
        <v>213</v>
      </c>
      <c r="K307" s="4" t="s">
        <v>74</v>
      </c>
      <c r="L307" s="4" t="s">
        <v>27</v>
      </c>
      <c r="M307" s="4" t="s">
        <v>79</v>
      </c>
      <c r="N307" s="5">
        <v>264498825</v>
      </c>
      <c r="O307" s="2" t="s">
        <v>158</v>
      </c>
      <c r="P307" s="2" t="s">
        <v>159</v>
      </c>
      <c r="Q307" s="4" t="s">
        <v>160</v>
      </c>
    </row>
    <row r="308" spans="1:17" x14ac:dyDescent="0.2">
      <c r="A308" s="2" t="s">
        <v>925</v>
      </c>
      <c r="B308" s="2" t="s">
        <v>55</v>
      </c>
      <c r="C308" s="2" t="s">
        <v>63</v>
      </c>
      <c r="D308" s="2" t="s">
        <v>20</v>
      </c>
      <c r="E308" s="3">
        <v>98662</v>
      </c>
      <c r="F308" s="4" t="s">
        <v>130</v>
      </c>
      <c r="G308" s="2" t="s">
        <v>906</v>
      </c>
      <c r="H308" s="2" t="s">
        <v>907</v>
      </c>
      <c r="I308" s="2" t="s">
        <v>24</v>
      </c>
      <c r="J308" s="2" t="s">
        <v>213</v>
      </c>
      <c r="K308" s="4" t="s">
        <v>74</v>
      </c>
      <c r="L308" s="4" t="s">
        <v>27</v>
      </c>
      <c r="M308" s="4" t="s">
        <v>191</v>
      </c>
      <c r="N308" s="5">
        <v>281415102</v>
      </c>
      <c r="O308" s="2" t="s">
        <v>192</v>
      </c>
      <c r="P308" s="2" t="s">
        <v>60</v>
      </c>
      <c r="Q308" s="4" t="s">
        <v>193</v>
      </c>
    </row>
    <row r="309" spans="1:17" x14ac:dyDescent="0.2">
      <c r="A309" s="2" t="s">
        <v>926</v>
      </c>
      <c r="B309" s="2" t="s">
        <v>156</v>
      </c>
      <c r="C309" s="2" t="s">
        <v>157</v>
      </c>
      <c r="D309" s="2" t="s">
        <v>20</v>
      </c>
      <c r="E309" s="3">
        <v>98531</v>
      </c>
      <c r="F309" s="4" t="s">
        <v>121</v>
      </c>
      <c r="G309" s="2" t="s">
        <v>906</v>
      </c>
      <c r="H309" s="2" t="s">
        <v>907</v>
      </c>
      <c r="I309" s="2" t="s">
        <v>24</v>
      </c>
      <c r="J309" s="2" t="s">
        <v>213</v>
      </c>
      <c r="K309" s="4" t="s">
        <v>74</v>
      </c>
      <c r="L309" s="4" t="s">
        <v>27</v>
      </c>
      <c r="M309" s="4" t="s">
        <v>79</v>
      </c>
      <c r="N309" s="5">
        <v>282370658</v>
      </c>
      <c r="O309" s="2" t="s">
        <v>158</v>
      </c>
      <c r="P309" s="2" t="s">
        <v>159</v>
      </c>
      <c r="Q309" s="4" t="s">
        <v>160</v>
      </c>
    </row>
    <row r="310" spans="1:17" hidden="1" x14ac:dyDescent="0.2">
      <c r="A310" s="2" t="s">
        <v>927</v>
      </c>
      <c r="B310" s="2" t="s">
        <v>18</v>
      </c>
      <c r="C310" s="2" t="s">
        <v>19</v>
      </c>
      <c r="D310" s="2" t="s">
        <v>20</v>
      </c>
      <c r="E310" s="3">
        <v>98370</v>
      </c>
      <c r="F310" s="4" t="s">
        <v>219</v>
      </c>
      <c r="G310" s="2" t="s">
        <v>928</v>
      </c>
      <c r="H310" s="2" t="s">
        <v>929</v>
      </c>
      <c r="I310" s="2" t="s">
        <v>212</v>
      </c>
      <c r="J310" s="2" t="s">
        <v>213</v>
      </c>
      <c r="K310" s="4" t="s">
        <v>930</v>
      </c>
      <c r="L310" s="4" t="s">
        <v>27</v>
      </c>
      <c r="M310" s="4" t="s">
        <v>28</v>
      </c>
      <c r="N310" s="5">
        <v>238110743</v>
      </c>
      <c r="O310" s="2" t="s">
        <v>29</v>
      </c>
      <c r="P310" s="2" t="s">
        <v>30</v>
      </c>
      <c r="Q310" s="4" t="s">
        <v>729</v>
      </c>
    </row>
    <row r="311" spans="1:17" hidden="1" x14ac:dyDescent="0.2">
      <c r="A311" s="2" t="s">
        <v>931</v>
      </c>
      <c r="B311" s="2" t="s">
        <v>18</v>
      </c>
      <c r="C311" s="2" t="s">
        <v>19</v>
      </c>
      <c r="D311" s="2" t="s">
        <v>20</v>
      </c>
      <c r="E311" s="3">
        <v>98370</v>
      </c>
      <c r="F311" s="4" t="s">
        <v>227</v>
      </c>
      <c r="G311" s="2" t="s">
        <v>932</v>
      </c>
      <c r="H311" s="4" t="s">
        <v>933</v>
      </c>
      <c r="I311" s="2" t="s">
        <v>212</v>
      </c>
      <c r="J311" s="2" t="s">
        <v>213</v>
      </c>
      <c r="K311" s="4" t="s">
        <v>934</v>
      </c>
      <c r="L311" s="4" t="s">
        <v>27</v>
      </c>
      <c r="M311" s="4" t="s">
        <v>28</v>
      </c>
      <c r="N311" s="5">
        <v>152129295</v>
      </c>
      <c r="O311" s="2" t="s">
        <v>29</v>
      </c>
      <c r="P311" s="2" t="s">
        <v>30</v>
      </c>
      <c r="Q311" s="4" t="s">
        <v>31</v>
      </c>
    </row>
    <row r="312" spans="1:17" hidden="1" x14ac:dyDescent="0.2">
      <c r="A312" s="2" t="s">
        <v>931</v>
      </c>
      <c r="B312" s="2" t="s">
        <v>40</v>
      </c>
      <c r="C312" s="2" t="s">
        <v>272</v>
      </c>
      <c r="D312" s="2" t="s">
        <v>20</v>
      </c>
      <c r="E312" s="3">
        <v>98270</v>
      </c>
      <c r="F312" s="4" t="s">
        <v>227</v>
      </c>
      <c r="G312" s="2" t="s">
        <v>932</v>
      </c>
      <c r="H312" s="4" t="s">
        <v>933</v>
      </c>
      <c r="I312" s="2" t="s">
        <v>212</v>
      </c>
      <c r="J312" s="2" t="s">
        <v>213</v>
      </c>
      <c r="K312" s="4" t="s">
        <v>934</v>
      </c>
      <c r="L312" s="4" t="s">
        <v>27</v>
      </c>
      <c r="M312" s="4" t="s">
        <v>116</v>
      </c>
      <c r="N312" s="5">
        <v>202116554</v>
      </c>
      <c r="O312" s="2" t="s">
        <v>275</v>
      </c>
      <c r="P312" s="2" t="s">
        <v>30</v>
      </c>
      <c r="Q312" s="4" t="s">
        <v>935</v>
      </c>
    </row>
    <row r="313" spans="1:17" hidden="1" x14ac:dyDescent="0.2">
      <c r="A313" s="2" t="s">
        <v>936</v>
      </c>
      <c r="B313" s="2" t="s">
        <v>688</v>
      </c>
      <c r="C313" s="2" t="s">
        <v>689</v>
      </c>
      <c r="D313" s="2" t="s">
        <v>20</v>
      </c>
      <c r="E313" s="3">
        <v>98226</v>
      </c>
      <c r="F313" s="4" t="s">
        <v>219</v>
      </c>
      <c r="G313" s="2" t="s">
        <v>932</v>
      </c>
      <c r="H313" s="4" t="s">
        <v>933</v>
      </c>
      <c r="I313" s="2" t="s">
        <v>212</v>
      </c>
      <c r="J313" s="2" t="s">
        <v>213</v>
      </c>
      <c r="K313" s="4" t="s">
        <v>934</v>
      </c>
      <c r="L313" s="4" t="s">
        <v>27</v>
      </c>
      <c r="M313" s="4" t="s">
        <v>690</v>
      </c>
      <c r="N313" s="5">
        <v>321901429</v>
      </c>
      <c r="O313" s="2" t="s">
        <v>691</v>
      </c>
      <c r="P313" s="2" t="s">
        <v>692</v>
      </c>
      <c r="Q313" s="4" t="s">
        <v>833</v>
      </c>
    </row>
    <row r="314" spans="1:17" hidden="1" x14ac:dyDescent="0.2">
      <c r="A314" s="2" t="s">
        <v>937</v>
      </c>
      <c r="B314" s="2" t="s">
        <v>33</v>
      </c>
      <c r="C314" s="2" t="s">
        <v>83</v>
      </c>
      <c r="D314" s="2" t="s">
        <v>20</v>
      </c>
      <c r="E314" s="3">
        <v>98126</v>
      </c>
      <c r="F314" s="4" t="s">
        <v>230</v>
      </c>
      <c r="G314" s="2" t="s">
        <v>932</v>
      </c>
      <c r="H314" s="4" t="s">
        <v>933</v>
      </c>
      <c r="I314" s="2" t="s">
        <v>212</v>
      </c>
      <c r="J314" s="2" t="s">
        <v>213</v>
      </c>
      <c r="K314" s="4" t="s">
        <v>934</v>
      </c>
      <c r="L314" s="4" t="s">
        <v>27</v>
      </c>
      <c r="M314" s="4" t="s">
        <v>319</v>
      </c>
      <c r="N314" s="5">
        <v>193038667</v>
      </c>
      <c r="O314" s="2" t="s">
        <v>440</v>
      </c>
      <c r="P314" s="2" t="s">
        <v>86</v>
      </c>
      <c r="Q314" s="4" t="s">
        <v>938</v>
      </c>
    </row>
    <row r="315" spans="1:17" hidden="1" x14ac:dyDescent="0.2">
      <c r="A315" s="2" t="s">
        <v>939</v>
      </c>
      <c r="B315" s="2" t="s">
        <v>33</v>
      </c>
      <c r="C315" s="2" t="s">
        <v>83</v>
      </c>
      <c r="D315" s="2" t="s">
        <v>20</v>
      </c>
      <c r="E315" s="3">
        <v>98121</v>
      </c>
      <c r="F315" s="4" t="s">
        <v>209</v>
      </c>
      <c r="G315" s="2" t="s">
        <v>932</v>
      </c>
      <c r="H315" s="4" t="s">
        <v>933</v>
      </c>
      <c r="I315" s="2" t="s">
        <v>212</v>
      </c>
      <c r="J315" s="2" t="s">
        <v>213</v>
      </c>
      <c r="K315" s="4" t="s">
        <v>612</v>
      </c>
      <c r="L315" s="4" t="s">
        <v>27</v>
      </c>
      <c r="M315" s="4" t="s">
        <v>84</v>
      </c>
      <c r="N315" s="5">
        <v>3397474</v>
      </c>
      <c r="O315" s="2" t="s">
        <v>238</v>
      </c>
      <c r="P315" s="2" t="s">
        <v>86</v>
      </c>
      <c r="Q315" s="4" t="s">
        <v>239</v>
      </c>
    </row>
    <row r="316" spans="1:17" hidden="1" x14ac:dyDescent="0.2">
      <c r="A316" s="2" t="s">
        <v>940</v>
      </c>
      <c r="B316" s="2" t="s">
        <v>33</v>
      </c>
      <c r="C316" s="2" t="s">
        <v>83</v>
      </c>
      <c r="D316" s="2" t="s">
        <v>20</v>
      </c>
      <c r="E316" s="3">
        <v>98117</v>
      </c>
      <c r="F316" s="4" t="s">
        <v>227</v>
      </c>
      <c r="G316" s="2" t="s">
        <v>932</v>
      </c>
      <c r="H316" s="4" t="s">
        <v>933</v>
      </c>
      <c r="I316" s="2" t="s">
        <v>212</v>
      </c>
      <c r="J316" s="2" t="s">
        <v>213</v>
      </c>
      <c r="K316" s="4" t="s">
        <v>934</v>
      </c>
      <c r="L316" s="4" t="s">
        <v>27</v>
      </c>
      <c r="M316" s="4" t="s">
        <v>84</v>
      </c>
      <c r="N316" s="5">
        <v>118764411</v>
      </c>
      <c r="O316" s="2" t="s">
        <v>622</v>
      </c>
      <c r="P316" s="2" t="s">
        <v>86</v>
      </c>
      <c r="Q316" s="4" t="s">
        <v>941</v>
      </c>
    </row>
    <row r="317" spans="1:17" hidden="1" x14ac:dyDescent="0.2">
      <c r="A317" s="2" t="s">
        <v>942</v>
      </c>
      <c r="B317" s="2" t="s">
        <v>33</v>
      </c>
      <c r="C317" s="2" t="s">
        <v>83</v>
      </c>
      <c r="D317" s="2" t="s">
        <v>20</v>
      </c>
      <c r="E317" s="3">
        <v>98112</v>
      </c>
      <c r="F317" s="4" t="s">
        <v>230</v>
      </c>
      <c r="G317" s="2" t="s">
        <v>932</v>
      </c>
      <c r="H317" s="4" t="s">
        <v>933</v>
      </c>
      <c r="I317" s="2" t="s">
        <v>212</v>
      </c>
      <c r="J317" s="2" t="s">
        <v>213</v>
      </c>
      <c r="K317" s="4" t="s">
        <v>934</v>
      </c>
      <c r="L317" s="4" t="s">
        <v>27</v>
      </c>
      <c r="M317" s="4" t="s">
        <v>284</v>
      </c>
      <c r="N317" s="5">
        <v>233893656</v>
      </c>
      <c r="O317" s="2" t="s">
        <v>736</v>
      </c>
      <c r="P317" s="2" t="s">
        <v>86</v>
      </c>
      <c r="Q317" s="4" t="s">
        <v>559</v>
      </c>
    </row>
    <row r="318" spans="1:17" hidden="1" x14ac:dyDescent="0.2">
      <c r="A318" s="2" t="s">
        <v>943</v>
      </c>
      <c r="B318" s="2" t="s">
        <v>40</v>
      </c>
      <c r="C318" s="2" t="s">
        <v>89</v>
      </c>
      <c r="D318" s="2" t="s">
        <v>20</v>
      </c>
      <c r="E318" s="3">
        <v>98021</v>
      </c>
      <c r="F318" s="4" t="s">
        <v>371</v>
      </c>
      <c r="G318" s="2" t="s">
        <v>932</v>
      </c>
      <c r="H318" s="4" t="s">
        <v>933</v>
      </c>
      <c r="I318" s="2" t="s">
        <v>212</v>
      </c>
      <c r="J318" s="2" t="s">
        <v>213</v>
      </c>
      <c r="K318" s="4" t="s">
        <v>612</v>
      </c>
      <c r="L318" s="4" t="s">
        <v>27</v>
      </c>
      <c r="M318" s="4" t="s">
        <v>170</v>
      </c>
      <c r="N318" s="5">
        <v>181354484</v>
      </c>
      <c r="O318" s="2" t="s">
        <v>247</v>
      </c>
      <c r="P318" s="2" t="s">
        <v>30</v>
      </c>
      <c r="Q318" s="4" t="s">
        <v>944</v>
      </c>
    </row>
    <row r="319" spans="1:17" hidden="1" x14ac:dyDescent="0.2">
      <c r="A319" s="2" t="s">
        <v>945</v>
      </c>
      <c r="B319" s="2" t="s">
        <v>331</v>
      </c>
      <c r="C319" s="2" t="s">
        <v>331</v>
      </c>
      <c r="D319" s="2" t="s">
        <v>20</v>
      </c>
      <c r="E319" s="3">
        <v>99202</v>
      </c>
      <c r="F319" s="4" t="s">
        <v>227</v>
      </c>
      <c r="G319" s="2" t="s">
        <v>932</v>
      </c>
      <c r="H319" s="4" t="s">
        <v>933</v>
      </c>
      <c r="I319" s="2" t="s">
        <v>212</v>
      </c>
      <c r="J319" s="2" t="s">
        <v>213</v>
      </c>
      <c r="K319" s="4" t="s">
        <v>934</v>
      </c>
      <c r="L319" s="4" t="s">
        <v>27</v>
      </c>
      <c r="M319" s="4" t="s">
        <v>391</v>
      </c>
      <c r="N319" s="5">
        <v>258248371</v>
      </c>
      <c r="O319" s="2" t="s">
        <v>946</v>
      </c>
      <c r="P319" s="2" t="s">
        <v>393</v>
      </c>
      <c r="Q319" s="4" t="s">
        <v>947</v>
      </c>
    </row>
    <row r="320" spans="1:17" hidden="1" x14ac:dyDescent="0.2">
      <c r="A320" s="2" t="s">
        <v>948</v>
      </c>
      <c r="B320" s="2" t="s">
        <v>33</v>
      </c>
      <c r="C320" s="2" t="s">
        <v>169</v>
      </c>
      <c r="D320" s="2" t="s">
        <v>20</v>
      </c>
      <c r="E320" s="3">
        <v>98033</v>
      </c>
      <c r="F320" s="4" t="s">
        <v>230</v>
      </c>
      <c r="G320" s="2" t="s">
        <v>932</v>
      </c>
      <c r="H320" s="4" t="s">
        <v>933</v>
      </c>
      <c r="I320" s="2" t="s">
        <v>212</v>
      </c>
      <c r="J320" s="2" t="s">
        <v>213</v>
      </c>
      <c r="K320" s="4" t="s">
        <v>934</v>
      </c>
      <c r="L320" s="4" t="s">
        <v>27</v>
      </c>
      <c r="M320" s="4" t="s">
        <v>147</v>
      </c>
      <c r="N320" s="5">
        <v>4574055</v>
      </c>
      <c r="O320" s="2" t="s">
        <v>204</v>
      </c>
      <c r="P320" s="2" t="s">
        <v>37</v>
      </c>
      <c r="Q320" s="4" t="s">
        <v>894</v>
      </c>
    </row>
    <row r="321" spans="1:17" hidden="1" x14ac:dyDescent="0.2">
      <c r="A321" s="2" t="s">
        <v>949</v>
      </c>
      <c r="B321" s="2" t="s">
        <v>33</v>
      </c>
      <c r="C321" s="2" t="s">
        <v>68</v>
      </c>
      <c r="D321" s="2" t="s">
        <v>20</v>
      </c>
      <c r="E321" s="3">
        <v>98001</v>
      </c>
      <c r="F321" s="4" t="s">
        <v>130</v>
      </c>
      <c r="G321" s="2" t="s">
        <v>22</v>
      </c>
      <c r="H321" s="2" t="s">
        <v>950</v>
      </c>
      <c r="I321" s="2" t="s">
        <v>212</v>
      </c>
      <c r="J321" s="2" t="s">
        <v>298</v>
      </c>
      <c r="K321" s="4" t="s">
        <v>27</v>
      </c>
      <c r="L321" s="4" t="s">
        <v>27</v>
      </c>
      <c r="M321" s="4" t="s">
        <v>187</v>
      </c>
      <c r="N321" s="5">
        <v>280717993</v>
      </c>
      <c r="O321" s="2" t="s">
        <v>474</v>
      </c>
      <c r="P321" s="2" t="s">
        <v>37</v>
      </c>
      <c r="Q321" s="4" t="s">
        <v>475</v>
      </c>
    </row>
    <row r="322" spans="1:17" hidden="1" x14ac:dyDescent="0.2">
      <c r="A322" s="2" t="s">
        <v>951</v>
      </c>
      <c r="B322" s="2" t="s">
        <v>33</v>
      </c>
      <c r="C322" s="2" t="s">
        <v>83</v>
      </c>
      <c r="D322" s="2" t="s">
        <v>20</v>
      </c>
      <c r="E322" s="3">
        <v>98108</v>
      </c>
      <c r="F322" s="4" t="s">
        <v>121</v>
      </c>
      <c r="G322" s="2" t="s">
        <v>952</v>
      </c>
      <c r="H322" s="2" t="s">
        <v>953</v>
      </c>
      <c r="I322" s="2" t="s">
        <v>212</v>
      </c>
      <c r="J322" s="2" t="s">
        <v>298</v>
      </c>
      <c r="K322" s="4" t="s">
        <v>27</v>
      </c>
      <c r="L322" s="4" t="s">
        <v>27</v>
      </c>
      <c r="M322" s="4" t="s">
        <v>140</v>
      </c>
      <c r="N322" s="5">
        <v>277058127</v>
      </c>
      <c r="O322" s="2" t="s">
        <v>954</v>
      </c>
      <c r="P322" s="2" t="s">
        <v>86</v>
      </c>
      <c r="Q322" s="4" t="s">
        <v>955</v>
      </c>
    </row>
    <row r="323" spans="1:17" x14ac:dyDescent="0.2">
      <c r="A323" s="2" t="s">
        <v>956</v>
      </c>
      <c r="B323" s="2" t="s">
        <v>151</v>
      </c>
      <c r="C323" s="2" t="s">
        <v>957</v>
      </c>
      <c r="D323" s="2" t="s">
        <v>20</v>
      </c>
      <c r="E323" s="3">
        <v>98589</v>
      </c>
      <c r="F323" s="4" t="s">
        <v>209</v>
      </c>
      <c r="G323" s="2" t="s">
        <v>210</v>
      </c>
      <c r="H323" s="2" t="s">
        <v>958</v>
      </c>
      <c r="I323" s="2" t="s">
        <v>24</v>
      </c>
      <c r="J323" s="2" t="s">
        <v>25</v>
      </c>
      <c r="K323" s="4" t="s">
        <v>221</v>
      </c>
      <c r="L323" s="4" t="s">
        <v>27</v>
      </c>
      <c r="M323" s="4" t="s">
        <v>79</v>
      </c>
      <c r="N323" s="5">
        <v>113085374</v>
      </c>
      <c r="O323" s="2" t="s">
        <v>959</v>
      </c>
      <c r="P323" s="2" t="s">
        <v>30</v>
      </c>
      <c r="Q323" s="4" t="s">
        <v>960</v>
      </c>
    </row>
    <row r="324" spans="1:17" x14ac:dyDescent="0.2">
      <c r="A324" s="2" t="s">
        <v>961</v>
      </c>
      <c r="B324" s="2" t="s">
        <v>40</v>
      </c>
      <c r="C324" s="2" t="s">
        <v>383</v>
      </c>
      <c r="D324" s="2" t="s">
        <v>20</v>
      </c>
      <c r="E324" s="3">
        <v>98208</v>
      </c>
      <c r="F324" s="4" t="s">
        <v>227</v>
      </c>
      <c r="G324" s="2" t="s">
        <v>210</v>
      </c>
      <c r="H324" s="2" t="s">
        <v>958</v>
      </c>
      <c r="I324" s="2" t="s">
        <v>24</v>
      </c>
      <c r="J324" s="2" t="s">
        <v>25</v>
      </c>
      <c r="K324" s="4" t="s">
        <v>221</v>
      </c>
      <c r="L324" s="4" t="s">
        <v>27</v>
      </c>
      <c r="M324" s="4" t="s">
        <v>26</v>
      </c>
      <c r="N324" s="5">
        <v>198503518</v>
      </c>
      <c r="O324" s="2" t="s">
        <v>384</v>
      </c>
      <c r="P324" s="2" t="s">
        <v>30</v>
      </c>
      <c r="Q324" s="4" t="s">
        <v>962</v>
      </c>
    </row>
    <row r="325" spans="1:17" x14ac:dyDescent="0.2">
      <c r="A325" s="2" t="s">
        <v>963</v>
      </c>
      <c r="B325" s="2" t="s">
        <v>151</v>
      </c>
      <c r="C325" s="2" t="s">
        <v>152</v>
      </c>
      <c r="D325" s="2" t="s">
        <v>20</v>
      </c>
      <c r="E325" s="3">
        <v>98513</v>
      </c>
      <c r="F325" s="4" t="s">
        <v>219</v>
      </c>
      <c r="G325" s="2" t="s">
        <v>210</v>
      </c>
      <c r="H325" s="2" t="s">
        <v>958</v>
      </c>
      <c r="I325" s="2" t="s">
        <v>24</v>
      </c>
      <c r="J325" s="2" t="s">
        <v>25</v>
      </c>
      <c r="K325" s="4" t="s">
        <v>221</v>
      </c>
      <c r="L325" s="4" t="s">
        <v>27</v>
      </c>
      <c r="M325" s="4" t="s">
        <v>357</v>
      </c>
      <c r="N325" s="5">
        <v>292104270</v>
      </c>
      <c r="O325" s="2" t="s">
        <v>657</v>
      </c>
      <c r="P325" s="2" t="s">
        <v>30</v>
      </c>
      <c r="Q325" s="4" t="s">
        <v>661</v>
      </c>
    </row>
    <row r="326" spans="1:17" x14ac:dyDescent="0.2">
      <c r="A326" s="2" t="s">
        <v>964</v>
      </c>
      <c r="B326" s="2" t="s">
        <v>241</v>
      </c>
      <c r="C326" s="2" t="s">
        <v>965</v>
      </c>
      <c r="D326" s="2" t="s">
        <v>20</v>
      </c>
      <c r="E326" s="3">
        <v>99026</v>
      </c>
      <c r="F326" s="4" t="s">
        <v>273</v>
      </c>
      <c r="G326" s="2" t="s">
        <v>210</v>
      </c>
      <c r="H326" s="2" t="s">
        <v>958</v>
      </c>
      <c r="I326" s="2" t="s">
        <v>24</v>
      </c>
      <c r="J326" s="2" t="s">
        <v>25</v>
      </c>
      <c r="K326" s="4" t="s">
        <v>26</v>
      </c>
      <c r="L326" s="4" t="s">
        <v>27</v>
      </c>
      <c r="M326" s="4" t="s">
        <v>164</v>
      </c>
      <c r="N326" s="5">
        <v>198316303</v>
      </c>
      <c r="O326" s="2" t="s">
        <v>966</v>
      </c>
      <c r="P326" s="2" t="s">
        <v>967</v>
      </c>
      <c r="Q326" s="4" t="s">
        <v>968</v>
      </c>
    </row>
    <row r="327" spans="1:17" x14ac:dyDescent="0.2">
      <c r="A327" s="2" t="s">
        <v>969</v>
      </c>
      <c r="B327" s="2" t="s">
        <v>33</v>
      </c>
      <c r="C327" s="2" t="s">
        <v>146</v>
      </c>
      <c r="D327" s="2" t="s">
        <v>20</v>
      </c>
      <c r="E327" s="3">
        <v>98007</v>
      </c>
      <c r="F327" s="4" t="s">
        <v>209</v>
      </c>
      <c r="G327" s="2" t="s">
        <v>210</v>
      </c>
      <c r="H327" s="2" t="s">
        <v>958</v>
      </c>
      <c r="I327" s="2" t="s">
        <v>24</v>
      </c>
      <c r="J327" s="2" t="s">
        <v>25</v>
      </c>
      <c r="K327" s="4" t="s">
        <v>221</v>
      </c>
      <c r="L327" s="4" t="s">
        <v>27</v>
      </c>
      <c r="M327" s="4" t="s">
        <v>147</v>
      </c>
      <c r="N327" s="5">
        <v>266918942</v>
      </c>
      <c r="O327" s="2" t="s">
        <v>753</v>
      </c>
      <c r="P327" s="2" t="s">
        <v>37</v>
      </c>
      <c r="Q327" s="4" t="s">
        <v>970</v>
      </c>
    </row>
    <row r="328" spans="1:17" x14ac:dyDescent="0.2">
      <c r="A328" s="2" t="s">
        <v>971</v>
      </c>
      <c r="B328" s="2" t="s">
        <v>40</v>
      </c>
      <c r="C328" s="2" t="s">
        <v>73</v>
      </c>
      <c r="D328" s="2" t="s">
        <v>20</v>
      </c>
      <c r="E328" s="3">
        <v>98087</v>
      </c>
      <c r="F328" s="4" t="s">
        <v>408</v>
      </c>
      <c r="G328" s="2" t="s">
        <v>210</v>
      </c>
      <c r="H328" s="2" t="s">
        <v>958</v>
      </c>
      <c r="I328" s="2" t="s">
        <v>24</v>
      </c>
      <c r="J328" s="2" t="s">
        <v>25</v>
      </c>
      <c r="K328" s="4" t="s">
        <v>101</v>
      </c>
      <c r="L328" s="4" t="s">
        <v>27</v>
      </c>
      <c r="M328" s="4" t="s">
        <v>26</v>
      </c>
      <c r="N328" s="5">
        <v>190171243</v>
      </c>
      <c r="O328" s="2" t="s">
        <v>496</v>
      </c>
      <c r="P328" s="2" t="s">
        <v>30</v>
      </c>
      <c r="Q328" s="4" t="s">
        <v>972</v>
      </c>
    </row>
    <row r="329" spans="1:17" x14ac:dyDescent="0.2">
      <c r="A329" s="2" t="s">
        <v>973</v>
      </c>
      <c r="B329" s="2" t="s">
        <v>688</v>
      </c>
      <c r="C329" s="2" t="s">
        <v>689</v>
      </c>
      <c r="D329" s="2" t="s">
        <v>20</v>
      </c>
      <c r="E329" s="3">
        <v>98229</v>
      </c>
      <c r="F329" s="4" t="s">
        <v>230</v>
      </c>
      <c r="G329" s="2" t="s">
        <v>210</v>
      </c>
      <c r="H329" s="2" t="s">
        <v>958</v>
      </c>
      <c r="I329" s="2" t="s">
        <v>24</v>
      </c>
      <c r="J329" s="2" t="s">
        <v>25</v>
      </c>
      <c r="K329" s="4" t="s">
        <v>221</v>
      </c>
      <c r="L329" s="4" t="s">
        <v>27</v>
      </c>
      <c r="M329" s="4" t="s">
        <v>409</v>
      </c>
      <c r="N329" s="5">
        <v>476608940</v>
      </c>
      <c r="O329" s="2" t="s">
        <v>850</v>
      </c>
      <c r="P329" s="2" t="s">
        <v>692</v>
      </c>
      <c r="Q329" s="4" t="s">
        <v>974</v>
      </c>
    </row>
    <row r="330" spans="1:17" x14ac:dyDescent="0.2">
      <c r="A330" s="2" t="s">
        <v>975</v>
      </c>
      <c r="B330" s="2" t="s">
        <v>151</v>
      </c>
      <c r="C330" s="2" t="s">
        <v>566</v>
      </c>
      <c r="D330" s="2" t="s">
        <v>20</v>
      </c>
      <c r="E330" s="3">
        <v>98503</v>
      </c>
      <c r="F330" s="4" t="s">
        <v>219</v>
      </c>
      <c r="G330" s="2" t="s">
        <v>210</v>
      </c>
      <c r="H330" s="2" t="s">
        <v>958</v>
      </c>
      <c r="I330" s="2" t="s">
        <v>24</v>
      </c>
      <c r="J330" s="2" t="s">
        <v>25</v>
      </c>
      <c r="K330" s="4" t="s">
        <v>221</v>
      </c>
      <c r="L330" s="4" t="s">
        <v>27</v>
      </c>
      <c r="M330" s="4" t="s">
        <v>90</v>
      </c>
      <c r="N330" s="5">
        <v>6566206</v>
      </c>
      <c r="O330" s="2" t="s">
        <v>567</v>
      </c>
      <c r="P330" s="2" t="s">
        <v>30</v>
      </c>
      <c r="Q330" s="4" t="s">
        <v>976</v>
      </c>
    </row>
    <row r="331" spans="1:17" x14ac:dyDescent="0.2">
      <c r="A331" s="2" t="s">
        <v>977</v>
      </c>
      <c r="B331" s="2" t="s">
        <v>33</v>
      </c>
      <c r="C331" s="2" t="s">
        <v>978</v>
      </c>
      <c r="D331" s="2" t="s">
        <v>20</v>
      </c>
      <c r="E331" s="3">
        <v>98019</v>
      </c>
      <c r="F331" s="4" t="s">
        <v>230</v>
      </c>
      <c r="G331" s="2" t="s">
        <v>210</v>
      </c>
      <c r="H331" s="2" t="s">
        <v>958</v>
      </c>
      <c r="I331" s="2" t="s">
        <v>24</v>
      </c>
      <c r="J331" s="2" t="s">
        <v>25</v>
      </c>
      <c r="K331" s="4" t="s">
        <v>221</v>
      </c>
      <c r="L331" s="4" t="s">
        <v>27</v>
      </c>
      <c r="M331" s="4" t="s">
        <v>198</v>
      </c>
      <c r="N331" s="5">
        <v>274576074</v>
      </c>
      <c r="O331" s="2" t="s">
        <v>979</v>
      </c>
      <c r="P331" s="2" t="s">
        <v>37</v>
      </c>
      <c r="Q331" s="4" t="s">
        <v>980</v>
      </c>
    </row>
    <row r="332" spans="1:17" hidden="1" x14ac:dyDescent="0.2">
      <c r="A332" s="2" t="s">
        <v>981</v>
      </c>
      <c r="B332" s="2" t="s">
        <v>18</v>
      </c>
      <c r="C332" s="2" t="s">
        <v>234</v>
      </c>
      <c r="D332" s="2" t="s">
        <v>20</v>
      </c>
      <c r="E332" s="3">
        <v>98110</v>
      </c>
      <c r="F332" s="4" t="s">
        <v>42</v>
      </c>
      <c r="G332" s="2" t="s">
        <v>210</v>
      </c>
      <c r="H332" s="2" t="s">
        <v>982</v>
      </c>
      <c r="I332" s="2" t="s">
        <v>212</v>
      </c>
      <c r="J332" s="2" t="s">
        <v>298</v>
      </c>
      <c r="K332" s="4" t="s">
        <v>27</v>
      </c>
      <c r="L332" s="4" t="s">
        <v>27</v>
      </c>
      <c r="M332" s="4" t="s">
        <v>28</v>
      </c>
      <c r="N332" s="5">
        <v>238768162</v>
      </c>
      <c r="O332" s="2" t="s">
        <v>235</v>
      </c>
      <c r="P332" s="2" t="s">
        <v>30</v>
      </c>
      <c r="Q332" s="4" t="s">
        <v>236</v>
      </c>
    </row>
    <row r="333" spans="1:17" hidden="1" x14ac:dyDescent="0.2">
      <c r="A333" s="2" t="s">
        <v>983</v>
      </c>
      <c r="B333" s="2" t="s">
        <v>48</v>
      </c>
      <c r="C333" s="2" t="s">
        <v>48</v>
      </c>
      <c r="D333" s="2" t="s">
        <v>20</v>
      </c>
      <c r="E333" s="3">
        <v>98902</v>
      </c>
      <c r="F333" s="4" t="s">
        <v>121</v>
      </c>
      <c r="G333" s="2" t="s">
        <v>210</v>
      </c>
      <c r="H333" s="2" t="s">
        <v>982</v>
      </c>
      <c r="I333" s="2" t="s">
        <v>212</v>
      </c>
      <c r="J333" s="2" t="s">
        <v>298</v>
      </c>
      <c r="K333" s="4" t="s">
        <v>27</v>
      </c>
      <c r="L333" s="4" t="s">
        <v>27</v>
      </c>
      <c r="M333" s="4" t="s">
        <v>323</v>
      </c>
      <c r="N333" s="5">
        <v>279947797</v>
      </c>
      <c r="O333" s="2" t="s">
        <v>421</v>
      </c>
      <c r="P333" s="2" t="s">
        <v>52</v>
      </c>
      <c r="Q333" s="4" t="s">
        <v>984</v>
      </c>
    </row>
    <row r="334" spans="1:17" hidden="1" x14ac:dyDescent="0.2">
      <c r="A334" s="2" t="s">
        <v>985</v>
      </c>
      <c r="B334" s="2" t="s">
        <v>804</v>
      </c>
      <c r="C334" s="2" t="s">
        <v>805</v>
      </c>
      <c r="D334" s="2" t="s">
        <v>20</v>
      </c>
      <c r="E334" s="3">
        <v>99354</v>
      </c>
      <c r="F334" s="4" t="s">
        <v>57</v>
      </c>
      <c r="G334" s="2" t="s">
        <v>210</v>
      </c>
      <c r="H334" s="2" t="s">
        <v>982</v>
      </c>
      <c r="I334" s="2" t="s">
        <v>212</v>
      </c>
      <c r="J334" s="2" t="s">
        <v>298</v>
      </c>
      <c r="K334" s="4" t="s">
        <v>27</v>
      </c>
      <c r="L334" s="4" t="s">
        <v>27</v>
      </c>
      <c r="M334" s="4" t="s">
        <v>806</v>
      </c>
      <c r="N334" s="5">
        <v>216596103</v>
      </c>
      <c r="O334" s="2" t="s">
        <v>807</v>
      </c>
      <c r="P334" s="2" t="s">
        <v>808</v>
      </c>
      <c r="Q334" s="4" t="s">
        <v>986</v>
      </c>
    </row>
    <row r="335" spans="1:17" hidden="1" x14ac:dyDescent="0.2">
      <c r="A335" s="2" t="s">
        <v>987</v>
      </c>
      <c r="B335" s="2" t="s">
        <v>110</v>
      </c>
      <c r="C335" s="2" t="s">
        <v>307</v>
      </c>
      <c r="D335" s="2" t="s">
        <v>20</v>
      </c>
      <c r="E335" s="3">
        <v>98406</v>
      </c>
      <c r="F335" s="4" t="s">
        <v>21</v>
      </c>
      <c r="G335" s="2" t="s">
        <v>210</v>
      </c>
      <c r="H335" s="2" t="s">
        <v>982</v>
      </c>
      <c r="I335" s="2" t="s">
        <v>212</v>
      </c>
      <c r="J335" s="2" t="s">
        <v>298</v>
      </c>
      <c r="K335" s="4" t="s">
        <v>27</v>
      </c>
      <c r="L335" s="4" t="s">
        <v>27</v>
      </c>
      <c r="M335" s="4" t="s">
        <v>478</v>
      </c>
      <c r="N335" s="5">
        <v>228367450</v>
      </c>
      <c r="O335" s="2" t="s">
        <v>988</v>
      </c>
      <c r="P335" s="2" t="s">
        <v>310</v>
      </c>
      <c r="Q335" s="4" t="s">
        <v>989</v>
      </c>
    </row>
    <row r="336" spans="1:17" hidden="1" x14ac:dyDescent="0.2">
      <c r="A336" s="2" t="s">
        <v>990</v>
      </c>
      <c r="B336" s="2" t="s">
        <v>33</v>
      </c>
      <c r="C336" s="2" t="s">
        <v>34</v>
      </c>
      <c r="D336" s="2" t="s">
        <v>20</v>
      </c>
      <c r="E336" s="3">
        <v>98029</v>
      </c>
      <c r="F336" s="4" t="s">
        <v>21</v>
      </c>
      <c r="G336" s="2" t="s">
        <v>210</v>
      </c>
      <c r="H336" s="2" t="s">
        <v>982</v>
      </c>
      <c r="I336" s="2" t="s">
        <v>212</v>
      </c>
      <c r="J336" s="2" t="s">
        <v>298</v>
      </c>
      <c r="K336" s="4" t="s">
        <v>27</v>
      </c>
      <c r="L336" s="4" t="s">
        <v>27</v>
      </c>
      <c r="M336" s="4" t="s">
        <v>35</v>
      </c>
      <c r="N336" s="5">
        <v>251102456</v>
      </c>
      <c r="O336" s="2" t="s">
        <v>795</v>
      </c>
      <c r="P336" s="2" t="s">
        <v>37</v>
      </c>
      <c r="Q336" s="4" t="s">
        <v>796</v>
      </c>
    </row>
    <row r="337" spans="1:17" hidden="1" x14ac:dyDescent="0.2">
      <c r="A337" s="2" t="s">
        <v>990</v>
      </c>
      <c r="B337" s="2" t="s">
        <v>33</v>
      </c>
      <c r="C337" s="2" t="s">
        <v>83</v>
      </c>
      <c r="D337" s="2" t="s">
        <v>20</v>
      </c>
      <c r="E337" s="3">
        <v>98109</v>
      </c>
      <c r="F337" s="4" t="s">
        <v>21</v>
      </c>
      <c r="G337" s="2" t="s">
        <v>210</v>
      </c>
      <c r="H337" s="2" t="s">
        <v>982</v>
      </c>
      <c r="I337" s="2" t="s">
        <v>212</v>
      </c>
      <c r="J337" s="2" t="s">
        <v>298</v>
      </c>
      <c r="K337" s="4" t="s">
        <v>27</v>
      </c>
      <c r="L337" s="4" t="s">
        <v>27</v>
      </c>
      <c r="M337" s="4" t="s">
        <v>84</v>
      </c>
      <c r="N337" s="5">
        <v>269930951</v>
      </c>
      <c r="O337" s="2" t="s">
        <v>437</v>
      </c>
      <c r="P337" s="2" t="s">
        <v>86</v>
      </c>
      <c r="Q337" s="4" t="s">
        <v>991</v>
      </c>
    </row>
    <row r="338" spans="1:17" hidden="1" x14ac:dyDescent="0.2">
      <c r="A338" s="2" t="s">
        <v>990</v>
      </c>
      <c r="B338" s="2" t="s">
        <v>33</v>
      </c>
      <c r="C338" s="2" t="s">
        <v>186</v>
      </c>
      <c r="D338" s="2" t="s">
        <v>20</v>
      </c>
      <c r="E338" s="3">
        <v>98023</v>
      </c>
      <c r="F338" s="4" t="s">
        <v>21</v>
      </c>
      <c r="G338" s="2" t="s">
        <v>210</v>
      </c>
      <c r="H338" s="2" t="s">
        <v>982</v>
      </c>
      <c r="I338" s="2" t="s">
        <v>212</v>
      </c>
      <c r="J338" s="2" t="s">
        <v>298</v>
      </c>
      <c r="K338" s="4" t="s">
        <v>27</v>
      </c>
      <c r="L338" s="4" t="s">
        <v>27</v>
      </c>
      <c r="M338" s="4" t="s">
        <v>187</v>
      </c>
      <c r="N338" s="5">
        <v>281987863</v>
      </c>
      <c r="O338" s="2" t="s">
        <v>188</v>
      </c>
      <c r="P338" s="2" t="s">
        <v>37</v>
      </c>
      <c r="Q338" s="4" t="s">
        <v>992</v>
      </c>
    </row>
    <row r="339" spans="1:17" hidden="1" x14ac:dyDescent="0.2">
      <c r="A339" s="2" t="s">
        <v>993</v>
      </c>
      <c r="B339" s="2" t="s">
        <v>40</v>
      </c>
      <c r="C339" s="2" t="s">
        <v>89</v>
      </c>
      <c r="D339" s="2" t="s">
        <v>20</v>
      </c>
      <c r="E339" s="3">
        <v>98021</v>
      </c>
      <c r="F339" s="4" t="s">
        <v>57</v>
      </c>
      <c r="G339" s="2" t="s">
        <v>210</v>
      </c>
      <c r="H339" s="2" t="s">
        <v>982</v>
      </c>
      <c r="I339" s="2" t="s">
        <v>212</v>
      </c>
      <c r="J339" s="2" t="s">
        <v>298</v>
      </c>
      <c r="K339" s="4" t="s">
        <v>27</v>
      </c>
      <c r="L339" s="4" t="s">
        <v>27</v>
      </c>
      <c r="M339" s="4" t="s">
        <v>170</v>
      </c>
      <c r="N339" s="5">
        <v>224333567</v>
      </c>
      <c r="O339" s="2" t="s">
        <v>247</v>
      </c>
      <c r="P339" s="2" t="s">
        <v>30</v>
      </c>
      <c r="Q339" s="4" t="s">
        <v>994</v>
      </c>
    </row>
    <row r="340" spans="1:17" hidden="1" x14ac:dyDescent="0.2">
      <c r="A340" s="2" t="s">
        <v>995</v>
      </c>
      <c r="B340" s="2" t="s">
        <v>33</v>
      </c>
      <c r="C340" s="2" t="s">
        <v>83</v>
      </c>
      <c r="D340" s="2" t="s">
        <v>20</v>
      </c>
      <c r="E340" s="3">
        <v>98144</v>
      </c>
      <c r="F340" s="4" t="s">
        <v>21</v>
      </c>
      <c r="G340" s="2" t="s">
        <v>210</v>
      </c>
      <c r="H340" s="2" t="s">
        <v>982</v>
      </c>
      <c r="I340" s="2" t="s">
        <v>212</v>
      </c>
      <c r="J340" s="2" t="s">
        <v>298</v>
      </c>
      <c r="K340" s="4" t="s">
        <v>27</v>
      </c>
      <c r="L340" s="4" t="s">
        <v>27</v>
      </c>
      <c r="M340" s="4" t="s">
        <v>284</v>
      </c>
      <c r="N340" s="5">
        <v>260382090</v>
      </c>
      <c r="O340" s="2" t="s">
        <v>867</v>
      </c>
      <c r="P340" s="2" t="s">
        <v>86</v>
      </c>
      <c r="Q340" s="4" t="s">
        <v>996</v>
      </c>
    </row>
    <row r="341" spans="1:17" hidden="1" x14ac:dyDescent="0.2">
      <c r="A341" s="2" t="s">
        <v>997</v>
      </c>
      <c r="B341" s="2" t="s">
        <v>151</v>
      </c>
      <c r="C341" s="2" t="s">
        <v>566</v>
      </c>
      <c r="D341" s="2" t="s">
        <v>20</v>
      </c>
      <c r="E341" s="3">
        <v>98516</v>
      </c>
      <c r="F341" s="4" t="s">
        <v>21</v>
      </c>
      <c r="G341" s="2" t="s">
        <v>210</v>
      </c>
      <c r="H341" s="2" t="s">
        <v>982</v>
      </c>
      <c r="I341" s="2" t="s">
        <v>212</v>
      </c>
      <c r="J341" s="2" t="s">
        <v>298</v>
      </c>
      <c r="K341" s="4" t="s">
        <v>27</v>
      </c>
      <c r="L341" s="4" t="s">
        <v>27</v>
      </c>
      <c r="M341" s="4" t="s">
        <v>90</v>
      </c>
      <c r="N341" s="5">
        <v>270760227</v>
      </c>
      <c r="O341" s="2" t="s">
        <v>746</v>
      </c>
      <c r="P341" s="2" t="s">
        <v>30</v>
      </c>
      <c r="Q341" s="4" t="s">
        <v>998</v>
      </c>
    </row>
    <row r="342" spans="1:17" hidden="1" x14ac:dyDescent="0.2">
      <c r="A342" s="2" t="s">
        <v>999</v>
      </c>
      <c r="B342" s="2" t="s">
        <v>33</v>
      </c>
      <c r="C342" s="2" t="s">
        <v>492</v>
      </c>
      <c r="D342" s="2" t="s">
        <v>20</v>
      </c>
      <c r="E342" s="3">
        <v>98065</v>
      </c>
      <c r="F342" s="4" t="s">
        <v>130</v>
      </c>
      <c r="G342" s="2" t="s">
        <v>210</v>
      </c>
      <c r="H342" s="2" t="s">
        <v>982</v>
      </c>
      <c r="I342" s="2" t="s">
        <v>212</v>
      </c>
      <c r="J342" s="2" t="s">
        <v>298</v>
      </c>
      <c r="K342" s="4" t="s">
        <v>27</v>
      </c>
      <c r="L342" s="4" t="s">
        <v>27</v>
      </c>
      <c r="M342" s="4" t="s">
        <v>35</v>
      </c>
      <c r="N342" s="5">
        <v>282417929</v>
      </c>
      <c r="O342" s="2" t="s">
        <v>493</v>
      </c>
      <c r="P342" s="2" t="s">
        <v>37</v>
      </c>
      <c r="Q342" s="4" t="s">
        <v>1000</v>
      </c>
    </row>
    <row r="343" spans="1:17" hidden="1" x14ac:dyDescent="0.2">
      <c r="A343" s="2" t="s">
        <v>1001</v>
      </c>
      <c r="B343" s="2" t="s">
        <v>33</v>
      </c>
      <c r="C343" s="2" t="s">
        <v>669</v>
      </c>
      <c r="D343" s="2" t="s">
        <v>20</v>
      </c>
      <c r="E343" s="3">
        <v>98053</v>
      </c>
      <c r="F343" s="4" t="s">
        <v>21</v>
      </c>
      <c r="G343" s="2" t="s">
        <v>210</v>
      </c>
      <c r="H343" s="2" t="s">
        <v>982</v>
      </c>
      <c r="I343" s="2" t="s">
        <v>212</v>
      </c>
      <c r="J343" s="2" t="s">
        <v>298</v>
      </c>
      <c r="K343" s="4" t="s">
        <v>27</v>
      </c>
      <c r="L343" s="4" t="s">
        <v>27</v>
      </c>
      <c r="M343" s="4" t="s">
        <v>198</v>
      </c>
      <c r="N343" s="5">
        <v>271259201</v>
      </c>
      <c r="O343" s="2" t="s">
        <v>1002</v>
      </c>
      <c r="P343" s="2" t="s">
        <v>37</v>
      </c>
      <c r="Q343" s="4" t="s">
        <v>1003</v>
      </c>
    </row>
    <row r="344" spans="1:17" hidden="1" x14ac:dyDescent="0.2">
      <c r="A344" s="2" t="s">
        <v>1004</v>
      </c>
      <c r="B344" s="2" t="s">
        <v>110</v>
      </c>
      <c r="C344" s="2" t="s">
        <v>307</v>
      </c>
      <c r="D344" s="2" t="s">
        <v>20</v>
      </c>
      <c r="E344" s="3">
        <v>98407</v>
      </c>
      <c r="F344" s="4" t="s">
        <v>121</v>
      </c>
      <c r="G344" s="2" t="s">
        <v>210</v>
      </c>
      <c r="H344" s="2" t="s">
        <v>982</v>
      </c>
      <c r="I344" s="2" t="s">
        <v>212</v>
      </c>
      <c r="J344" s="2" t="s">
        <v>298</v>
      </c>
      <c r="K344" s="4" t="s">
        <v>27</v>
      </c>
      <c r="L344" s="4" t="s">
        <v>27</v>
      </c>
      <c r="M344" s="4" t="s">
        <v>308</v>
      </c>
      <c r="N344" s="5">
        <v>278465015</v>
      </c>
      <c r="O344" s="2" t="s">
        <v>1005</v>
      </c>
      <c r="P344" s="2" t="s">
        <v>310</v>
      </c>
      <c r="Q344" s="4" t="s">
        <v>1006</v>
      </c>
    </row>
    <row r="345" spans="1:17" hidden="1" x14ac:dyDescent="0.2">
      <c r="A345" s="2" t="s">
        <v>1007</v>
      </c>
      <c r="B345" s="2" t="s">
        <v>55</v>
      </c>
      <c r="C345" s="2" t="s">
        <v>1008</v>
      </c>
      <c r="D345" s="2" t="s">
        <v>20</v>
      </c>
      <c r="E345" s="3">
        <v>98675</v>
      </c>
      <c r="F345" s="4" t="s">
        <v>42</v>
      </c>
      <c r="G345" s="2" t="s">
        <v>210</v>
      </c>
      <c r="H345" s="2" t="s">
        <v>982</v>
      </c>
      <c r="I345" s="2" t="s">
        <v>212</v>
      </c>
      <c r="J345" s="2" t="s">
        <v>298</v>
      </c>
      <c r="K345" s="4" t="s">
        <v>27</v>
      </c>
      <c r="L345" s="4" t="s">
        <v>27</v>
      </c>
      <c r="M345" s="4" t="s">
        <v>58</v>
      </c>
      <c r="N345" s="5">
        <v>141763079</v>
      </c>
      <c r="O345" s="2" t="s">
        <v>1009</v>
      </c>
      <c r="P345" s="2" t="s">
        <v>60</v>
      </c>
      <c r="Q345" s="4" t="s">
        <v>1010</v>
      </c>
    </row>
    <row r="346" spans="1:17" hidden="1" x14ac:dyDescent="0.2">
      <c r="A346" s="2" t="s">
        <v>1011</v>
      </c>
      <c r="B346" s="2" t="s">
        <v>33</v>
      </c>
      <c r="C346" s="2" t="s">
        <v>139</v>
      </c>
      <c r="D346" s="2" t="s">
        <v>20</v>
      </c>
      <c r="E346" s="3">
        <v>98058</v>
      </c>
      <c r="F346" s="4" t="s">
        <v>130</v>
      </c>
      <c r="G346" s="2" t="s">
        <v>210</v>
      </c>
      <c r="H346" s="2" t="s">
        <v>982</v>
      </c>
      <c r="I346" s="2" t="s">
        <v>212</v>
      </c>
      <c r="J346" s="2" t="s">
        <v>298</v>
      </c>
      <c r="K346" s="4" t="s">
        <v>27</v>
      </c>
      <c r="L346" s="4" t="s">
        <v>27</v>
      </c>
      <c r="M346" s="4" t="s">
        <v>140</v>
      </c>
      <c r="N346" s="5">
        <v>283164773</v>
      </c>
      <c r="O346" s="2" t="s">
        <v>141</v>
      </c>
      <c r="P346" s="2" t="s">
        <v>37</v>
      </c>
      <c r="Q346" s="4" t="s">
        <v>588</v>
      </c>
    </row>
    <row r="347" spans="1:17" hidden="1" x14ac:dyDescent="0.2">
      <c r="A347" s="2" t="s">
        <v>1012</v>
      </c>
      <c r="B347" s="2" t="s">
        <v>110</v>
      </c>
      <c r="C347" s="2" t="s">
        <v>307</v>
      </c>
      <c r="D347" s="2" t="s">
        <v>20</v>
      </c>
      <c r="E347" s="3">
        <v>98408</v>
      </c>
      <c r="F347" s="4" t="s">
        <v>21</v>
      </c>
      <c r="G347" s="2" t="s">
        <v>210</v>
      </c>
      <c r="H347" s="2" t="s">
        <v>982</v>
      </c>
      <c r="I347" s="2" t="s">
        <v>212</v>
      </c>
      <c r="J347" s="2" t="s">
        <v>298</v>
      </c>
      <c r="K347" s="4" t="s">
        <v>27</v>
      </c>
      <c r="L347" s="4" t="s">
        <v>27</v>
      </c>
      <c r="M347" s="4" t="s">
        <v>308</v>
      </c>
      <c r="N347" s="5">
        <v>269566741</v>
      </c>
      <c r="O347" s="2" t="s">
        <v>1013</v>
      </c>
      <c r="P347" s="2" t="s">
        <v>310</v>
      </c>
      <c r="Q347" s="4" t="s">
        <v>1014</v>
      </c>
    </row>
    <row r="348" spans="1:17" hidden="1" x14ac:dyDescent="0.2">
      <c r="A348" s="2" t="s">
        <v>1015</v>
      </c>
      <c r="B348" s="2" t="s">
        <v>33</v>
      </c>
      <c r="C348" s="2" t="s">
        <v>186</v>
      </c>
      <c r="D348" s="2" t="s">
        <v>20</v>
      </c>
      <c r="E348" s="3">
        <v>98023</v>
      </c>
      <c r="F348" s="4" t="s">
        <v>42</v>
      </c>
      <c r="G348" s="2" t="s">
        <v>210</v>
      </c>
      <c r="H348" s="2" t="s">
        <v>982</v>
      </c>
      <c r="I348" s="2" t="s">
        <v>212</v>
      </c>
      <c r="J348" s="2" t="s">
        <v>298</v>
      </c>
      <c r="K348" s="4" t="s">
        <v>27</v>
      </c>
      <c r="L348" s="4" t="s">
        <v>27</v>
      </c>
      <c r="M348" s="4" t="s">
        <v>187</v>
      </c>
      <c r="N348" s="5">
        <v>144250802</v>
      </c>
      <c r="O348" s="2" t="s">
        <v>188</v>
      </c>
      <c r="P348" s="2" t="s">
        <v>37</v>
      </c>
      <c r="Q348" s="4" t="s">
        <v>740</v>
      </c>
    </row>
    <row r="349" spans="1:17" hidden="1" x14ac:dyDescent="0.2">
      <c r="A349" s="2" t="s">
        <v>1016</v>
      </c>
      <c r="B349" s="2" t="s">
        <v>33</v>
      </c>
      <c r="C349" s="2" t="s">
        <v>492</v>
      </c>
      <c r="D349" s="2" t="s">
        <v>20</v>
      </c>
      <c r="E349" s="3">
        <v>98065</v>
      </c>
      <c r="F349" s="4" t="s">
        <v>121</v>
      </c>
      <c r="G349" s="2" t="s">
        <v>210</v>
      </c>
      <c r="H349" s="2" t="s">
        <v>982</v>
      </c>
      <c r="I349" s="2" t="s">
        <v>212</v>
      </c>
      <c r="J349" s="2" t="s">
        <v>298</v>
      </c>
      <c r="K349" s="4" t="s">
        <v>27</v>
      </c>
      <c r="L349" s="4" t="s">
        <v>27</v>
      </c>
      <c r="M349" s="4" t="s">
        <v>35</v>
      </c>
      <c r="N349" s="5">
        <v>277021496</v>
      </c>
      <c r="O349" s="2" t="s">
        <v>493</v>
      </c>
      <c r="P349" s="2" t="s">
        <v>37</v>
      </c>
      <c r="Q349" s="4" t="s">
        <v>663</v>
      </c>
    </row>
    <row r="350" spans="1:17" hidden="1" x14ac:dyDescent="0.2">
      <c r="A350" s="2" t="s">
        <v>1017</v>
      </c>
      <c r="B350" s="2" t="s">
        <v>18</v>
      </c>
      <c r="C350" s="2" t="s">
        <v>665</v>
      </c>
      <c r="D350" s="2" t="s">
        <v>20</v>
      </c>
      <c r="E350" s="3">
        <v>98380</v>
      </c>
      <c r="F350" s="4" t="s">
        <v>42</v>
      </c>
      <c r="G350" s="2" t="s">
        <v>210</v>
      </c>
      <c r="H350" s="2" t="s">
        <v>982</v>
      </c>
      <c r="I350" s="2" t="s">
        <v>212</v>
      </c>
      <c r="J350" s="2" t="s">
        <v>298</v>
      </c>
      <c r="K350" s="4" t="s">
        <v>27</v>
      </c>
      <c r="L350" s="4" t="s">
        <v>27</v>
      </c>
      <c r="M350" s="4" t="s">
        <v>255</v>
      </c>
      <c r="N350" s="5">
        <v>145492714</v>
      </c>
      <c r="O350" s="2" t="s">
        <v>666</v>
      </c>
      <c r="P350" s="2" t="s">
        <v>30</v>
      </c>
      <c r="Q350" s="4" t="s">
        <v>1018</v>
      </c>
    </row>
    <row r="351" spans="1:17" hidden="1" x14ac:dyDescent="0.2">
      <c r="A351" s="2" t="s">
        <v>1019</v>
      </c>
      <c r="B351" s="2" t="s">
        <v>33</v>
      </c>
      <c r="C351" s="2" t="s">
        <v>318</v>
      </c>
      <c r="D351" s="2" t="s">
        <v>20</v>
      </c>
      <c r="E351" s="3">
        <v>98146</v>
      </c>
      <c r="F351" s="4" t="s">
        <v>57</v>
      </c>
      <c r="G351" s="2" t="s">
        <v>210</v>
      </c>
      <c r="H351" s="2" t="s">
        <v>982</v>
      </c>
      <c r="I351" s="2" t="s">
        <v>212</v>
      </c>
      <c r="J351" s="2" t="s">
        <v>298</v>
      </c>
      <c r="K351" s="4" t="s">
        <v>27</v>
      </c>
      <c r="L351" s="4" t="s">
        <v>27</v>
      </c>
      <c r="M351" s="4" t="s">
        <v>319</v>
      </c>
      <c r="N351" s="5">
        <v>208673979</v>
      </c>
      <c r="O351" s="2" t="s">
        <v>543</v>
      </c>
      <c r="P351" s="2" t="s">
        <v>86</v>
      </c>
      <c r="Q351" s="4" t="s">
        <v>544</v>
      </c>
    </row>
    <row r="352" spans="1:17" hidden="1" x14ac:dyDescent="0.2">
      <c r="A352" s="2" t="s">
        <v>1020</v>
      </c>
      <c r="B352" s="2" t="s">
        <v>40</v>
      </c>
      <c r="C352" s="2" t="s">
        <v>120</v>
      </c>
      <c r="D352" s="2" t="s">
        <v>20</v>
      </c>
      <c r="E352" s="3">
        <v>98292</v>
      </c>
      <c r="F352" s="4" t="s">
        <v>121</v>
      </c>
      <c r="G352" s="2" t="s">
        <v>210</v>
      </c>
      <c r="H352" s="2" t="s">
        <v>982</v>
      </c>
      <c r="I352" s="2" t="s">
        <v>212</v>
      </c>
      <c r="J352" s="2" t="s">
        <v>298</v>
      </c>
      <c r="K352" s="4" t="s">
        <v>27</v>
      </c>
      <c r="L352" s="4" t="s">
        <v>27</v>
      </c>
      <c r="M352" s="4" t="s">
        <v>96</v>
      </c>
      <c r="N352" s="5">
        <v>272841439</v>
      </c>
      <c r="O352" s="2" t="s">
        <v>122</v>
      </c>
      <c r="P352" s="2" t="s">
        <v>107</v>
      </c>
      <c r="Q352" s="4" t="s">
        <v>123</v>
      </c>
    </row>
    <row r="353" spans="1:17" hidden="1" x14ac:dyDescent="0.2">
      <c r="A353" s="2" t="s">
        <v>1021</v>
      </c>
      <c r="B353" s="2" t="s">
        <v>33</v>
      </c>
      <c r="C353" s="2" t="s">
        <v>83</v>
      </c>
      <c r="D353" s="2" t="s">
        <v>20</v>
      </c>
      <c r="E353" s="3">
        <v>98109</v>
      </c>
      <c r="F353" s="4" t="s">
        <v>130</v>
      </c>
      <c r="G353" s="2" t="s">
        <v>210</v>
      </c>
      <c r="H353" s="2" t="s">
        <v>982</v>
      </c>
      <c r="I353" s="2" t="s">
        <v>212</v>
      </c>
      <c r="J353" s="2" t="s">
        <v>298</v>
      </c>
      <c r="K353" s="4" t="s">
        <v>27</v>
      </c>
      <c r="L353" s="4" t="s">
        <v>27</v>
      </c>
      <c r="M353" s="4" t="s">
        <v>84</v>
      </c>
      <c r="N353" s="5">
        <v>282276263</v>
      </c>
      <c r="O353" s="2" t="s">
        <v>437</v>
      </c>
      <c r="P353" s="2" t="s">
        <v>86</v>
      </c>
      <c r="Q353" s="4" t="s">
        <v>991</v>
      </c>
    </row>
    <row r="354" spans="1:17" hidden="1" x14ac:dyDescent="0.2">
      <c r="A354" s="2" t="s">
        <v>1022</v>
      </c>
      <c r="B354" s="2" t="s">
        <v>33</v>
      </c>
      <c r="C354" s="2" t="s">
        <v>139</v>
      </c>
      <c r="D354" s="2" t="s">
        <v>20</v>
      </c>
      <c r="E354" s="3">
        <v>98059</v>
      </c>
      <c r="F354" s="4" t="s">
        <v>21</v>
      </c>
      <c r="G354" s="2" t="s">
        <v>210</v>
      </c>
      <c r="H354" s="2" t="s">
        <v>982</v>
      </c>
      <c r="I354" s="2" t="s">
        <v>212</v>
      </c>
      <c r="J354" s="2" t="s">
        <v>298</v>
      </c>
      <c r="K354" s="4" t="s">
        <v>27</v>
      </c>
      <c r="L354" s="4" t="s">
        <v>27</v>
      </c>
      <c r="M354" s="4" t="s">
        <v>140</v>
      </c>
      <c r="N354" s="5">
        <v>230773056</v>
      </c>
      <c r="O354" s="2" t="s">
        <v>587</v>
      </c>
      <c r="P354" s="2" t="s">
        <v>37</v>
      </c>
      <c r="Q354" s="4" t="s">
        <v>588</v>
      </c>
    </row>
    <row r="355" spans="1:17" hidden="1" x14ac:dyDescent="0.2">
      <c r="A355" s="2" t="s">
        <v>1023</v>
      </c>
      <c r="B355" s="2" t="s">
        <v>94</v>
      </c>
      <c r="C355" s="2" t="s">
        <v>105</v>
      </c>
      <c r="D355" s="2" t="s">
        <v>20</v>
      </c>
      <c r="E355" s="3">
        <v>98282</v>
      </c>
      <c r="F355" s="4" t="s">
        <v>21</v>
      </c>
      <c r="G355" s="2" t="s">
        <v>210</v>
      </c>
      <c r="H355" s="2" t="s">
        <v>982</v>
      </c>
      <c r="I355" s="2" t="s">
        <v>212</v>
      </c>
      <c r="J355" s="2" t="s">
        <v>298</v>
      </c>
      <c r="K355" s="4" t="s">
        <v>27</v>
      </c>
      <c r="L355" s="4" t="s">
        <v>27</v>
      </c>
      <c r="M355" s="4" t="s">
        <v>96</v>
      </c>
      <c r="N355" s="5">
        <v>260123132</v>
      </c>
      <c r="O355" s="2" t="s">
        <v>106</v>
      </c>
      <c r="P355" s="2" t="s">
        <v>107</v>
      </c>
      <c r="Q355" s="4" t="s">
        <v>108</v>
      </c>
    </row>
    <row r="356" spans="1:17" hidden="1" x14ac:dyDescent="0.2">
      <c r="A356" s="2" t="s">
        <v>1024</v>
      </c>
      <c r="B356" s="2" t="s">
        <v>33</v>
      </c>
      <c r="C356" s="2" t="s">
        <v>139</v>
      </c>
      <c r="D356" s="2" t="s">
        <v>20</v>
      </c>
      <c r="E356" s="3">
        <v>98057</v>
      </c>
      <c r="F356" s="4" t="s">
        <v>121</v>
      </c>
      <c r="G356" s="2" t="s">
        <v>210</v>
      </c>
      <c r="H356" s="2" t="s">
        <v>982</v>
      </c>
      <c r="I356" s="2" t="s">
        <v>212</v>
      </c>
      <c r="J356" s="2" t="s">
        <v>298</v>
      </c>
      <c r="K356" s="4" t="s">
        <v>27</v>
      </c>
      <c r="L356" s="4" t="s">
        <v>27</v>
      </c>
      <c r="M356" s="4" t="s">
        <v>140</v>
      </c>
      <c r="N356" s="5">
        <v>265967929</v>
      </c>
      <c r="O356" s="2" t="s">
        <v>1025</v>
      </c>
      <c r="P356" s="2" t="s">
        <v>37</v>
      </c>
      <c r="Q356" s="4" t="s">
        <v>1026</v>
      </c>
    </row>
    <row r="357" spans="1:17" hidden="1" x14ac:dyDescent="0.2">
      <c r="A357" s="2" t="s">
        <v>1027</v>
      </c>
      <c r="B357" s="2" t="s">
        <v>33</v>
      </c>
      <c r="C357" s="2" t="s">
        <v>669</v>
      </c>
      <c r="D357" s="2" t="s">
        <v>20</v>
      </c>
      <c r="E357" s="3">
        <v>98052</v>
      </c>
      <c r="F357" s="4" t="s">
        <v>21</v>
      </c>
      <c r="G357" s="2" t="s">
        <v>210</v>
      </c>
      <c r="H357" s="2" t="s">
        <v>982</v>
      </c>
      <c r="I357" s="2" t="s">
        <v>212</v>
      </c>
      <c r="J357" s="2" t="s">
        <v>298</v>
      </c>
      <c r="K357" s="4" t="s">
        <v>27</v>
      </c>
      <c r="L357" s="4" t="s">
        <v>27</v>
      </c>
      <c r="M357" s="4" t="s">
        <v>198</v>
      </c>
      <c r="N357" s="5">
        <v>260577047</v>
      </c>
      <c r="O357" s="2" t="s">
        <v>670</v>
      </c>
      <c r="P357" s="2" t="s">
        <v>37</v>
      </c>
      <c r="Q357" s="4" t="s">
        <v>1028</v>
      </c>
    </row>
    <row r="358" spans="1:17" hidden="1" x14ac:dyDescent="0.2">
      <c r="A358" s="2" t="s">
        <v>1029</v>
      </c>
      <c r="B358" s="2" t="s">
        <v>33</v>
      </c>
      <c r="C358" s="2" t="s">
        <v>68</v>
      </c>
      <c r="D358" s="2" t="s">
        <v>20</v>
      </c>
      <c r="E358" s="3">
        <v>98092</v>
      </c>
      <c r="F358" s="4" t="s">
        <v>21</v>
      </c>
      <c r="G358" s="2" t="s">
        <v>210</v>
      </c>
      <c r="H358" s="2" t="s">
        <v>982</v>
      </c>
      <c r="I358" s="2" t="s">
        <v>212</v>
      </c>
      <c r="J358" s="2" t="s">
        <v>298</v>
      </c>
      <c r="K358" s="4" t="s">
        <v>27</v>
      </c>
      <c r="L358" s="4" t="s">
        <v>27</v>
      </c>
      <c r="M358" s="4" t="s">
        <v>112</v>
      </c>
      <c r="N358" s="5">
        <v>267855745</v>
      </c>
      <c r="O358" s="2" t="s">
        <v>540</v>
      </c>
      <c r="P358" s="2" t="s">
        <v>37</v>
      </c>
      <c r="Q358" s="4" t="s">
        <v>541</v>
      </c>
    </row>
    <row r="359" spans="1:17" hidden="1" x14ac:dyDescent="0.2">
      <c r="A359" s="2" t="s">
        <v>1030</v>
      </c>
      <c r="B359" s="2" t="s">
        <v>33</v>
      </c>
      <c r="C359" s="2" t="s">
        <v>492</v>
      </c>
      <c r="D359" s="2" t="s">
        <v>20</v>
      </c>
      <c r="E359" s="3">
        <v>98065</v>
      </c>
      <c r="F359" s="4" t="s">
        <v>130</v>
      </c>
      <c r="G359" s="2" t="s">
        <v>210</v>
      </c>
      <c r="H359" s="2" t="s">
        <v>982</v>
      </c>
      <c r="I359" s="2" t="s">
        <v>212</v>
      </c>
      <c r="J359" s="2" t="s">
        <v>298</v>
      </c>
      <c r="K359" s="4" t="s">
        <v>27</v>
      </c>
      <c r="L359" s="4" t="s">
        <v>27</v>
      </c>
      <c r="M359" s="4" t="s">
        <v>35</v>
      </c>
      <c r="N359" s="5">
        <v>283332416</v>
      </c>
      <c r="O359" s="2" t="s">
        <v>493</v>
      </c>
      <c r="P359" s="2" t="s">
        <v>37</v>
      </c>
      <c r="Q359" s="4" t="s">
        <v>1000</v>
      </c>
    </row>
    <row r="360" spans="1:17" hidden="1" x14ac:dyDescent="0.2">
      <c r="A360" s="2" t="s">
        <v>1031</v>
      </c>
      <c r="B360" s="2" t="s">
        <v>18</v>
      </c>
      <c r="C360" s="2" t="s">
        <v>234</v>
      </c>
      <c r="D360" s="2" t="s">
        <v>20</v>
      </c>
      <c r="E360" s="3">
        <v>98110</v>
      </c>
      <c r="F360" s="4" t="s">
        <v>121</v>
      </c>
      <c r="G360" s="2" t="s">
        <v>210</v>
      </c>
      <c r="H360" s="2" t="s">
        <v>982</v>
      </c>
      <c r="I360" s="2" t="s">
        <v>212</v>
      </c>
      <c r="J360" s="2" t="s">
        <v>298</v>
      </c>
      <c r="K360" s="4" t="s">
        <v>27</v>
      </c>
      <c r="L360" s="4" t="s">
        <v>27</v>
      </c>
      <c r="M360" s="4" t="s">
        <v>28</v>
      </c>
      <c r="N360" s="5">
        <v>272737146</v>
      </c>
      <c r="O360" s="2" t="s">
        <v>235</v>
      </c>
      <c r="P360" s="2" t="s">
        <v>30</v>
      </c>
      <c r="Q360" s="4" t="s">
        <v>1032</v>
      </c>
    </row>
    <row r="361" spans="1:17" hidden="1" x14ac:dyDescent="0.2">
      <c r="A361" s="2" t="s">
        <v>1033</v>
      </c>
      <c r="B361" s="2" t="s">
        <v>33</v>
      </c>
      <c r="C361" s="2" t="s">
        <v>83</v>
      </c>
      <c r="D361" s="2" t="s">
        <v>20</v>
      </c>
      <c r="E361" s="3">
        <v>98116</v>
      </c>
      <c r="F361" s="4" t="s">
        <v>130</v>
      </c>
      <c r="G361" s="2" t="s">
        <v>210</v>
      </c>
      <c r="H361" s="2" t="s">
        <v>982</v>
      </c>
      <c r="I361" s="2" t="s">
        <v>212</v>
      </c>
      <c r="J361" s="2" t="s">
        <v>298</v>
      </c>
      <c r="K361" s="4" t="s">
        <v>27</v>
      </c>
      <c r="L361" s="4" t="s">
        <v>27</v>
      </c>
      <c r="M361" s="4" t="s">
        <v>319</v>
      </c>
      <c r="N361" s="5">
        <v>282394654</v>
      </c>
      <c r="O361" s="2" t="s">
        <v>1034</v>
      </c>
      <c r="P361" s="2" t="s">
        <v>86</v>
      </c>
      <c r="Q361" s="4" t="s">
        <v>1035</v>
      </c>
    </row>
    <row r="362" spans="1:17" hidden="1" x14ac:dyDescent="0.2">
      <c r="A362" s="2" t="s">
        <v>1036</v>
      </c>
      <c r="B362" s="2" t="s">
        <v>33</v>
      </c>
      <c r="C362" s="2" t="s">
        <v>169</v>
      </c>
      <c r="D362" s="2" t="s">
        <v>20</v>
      </c>
      <c r="E362" s="3">
        <v>98034</v>
      </c>
      <c r="F362" s="4" t="s">
        <v>130</v>
      </c>
      <c r="G362" s="2" t="s">
        <v>348</v>
      </c>
      <c r="H362" s="2" t="s">
        <v>1037</v>
      </c>
      <c r="I362" s="2" t="s">
        <v>212</v>
      </c>
      <c r="J362" s="2" t="s">
        <v>298</v>
      </c>
      <c r="K362" s="4" t="s">
        <v>27</v>
      </c>
      <c r="L362" s="4" t="s">
        <v>27</v>
      </c>
      <c r="M362" s="4" t="s">
        <v>198</v>
      </c>
      <c r="N362" s="5">
        <v>284767171</v>
      </c>
      <c r="O362" s="2" t="s">
        <v>171</v>
      </c>
      <c r="P362" s="2" t="s">
        <v>37</v>
      </c>
      <c r="Q362" s="4" t="s">
        <v>733</v>
      </c>
    </row>
    <row r="363" spans="1:17" hidden="1" x14ac:dyDescent="0.2">
      <c r="A363" s="2" t="s">
        <v>1038</v>
      </c>
      <c r="B363" s="2" t="s">
        <v>110</v>
      </c>
      <c r="C363" s="2" t="s">
        <v>581</v>
      </c>
      <c r="D363" s="2" t="s">
        <v>20</v>
      </c>
      <c r="E363" s="3">
        <v>98387</v>
      </c>
      <c r="F363" s="4" t="s">
        <v>130</v>
      </c>
      <c r="G363" s="2" t="s">
        <v>348</v>
      </c>
      <c r="H363" s="2" t="s">
        <v>1037</v>
      </c>
      <c r="I363" s="2" t="s">
        <v>212</v>
      </c>
      <c r="J363" s="2" t="s">
        <v>298</v>
      </c>
      <c r="K363" s="4" t="s">
        <v>27</v>
      </c>
      <c r="L363" s="4" t="s">
        <v>27</v>
      </c>
      <c r="M363" s="4" t="s">
        <v>582</v>
      </c>
      <c r="N363" s="5">
        <v>284722105</v>
      </c>
      <c r="O363" s="2" t="s">
        <v>583</v>
      </c>
      <c r="P363" s="2" t="s">
        <v>310</v>
      </c>
      <c r="Q363" s="4" t="s">
        <v>1039</v>
      </c>
    </row>
    <row r="364" spans="1:17" hidden="1" x14ac:dyDescent="0.2">
      <c r="A364" s="2" t="s">
        <v>1040</v>
      </c>
      <c r="B364" s="2" t="s">
        <v>40</v>
      </c>
      <c r="C364" s="2" t="s">
        <v>89</v>
      </c>
      <c r="D364" s="2" t="s">
        <v>20</v>
      </c>
      <c r="E364" s="3">
        <v>98012</v>
      </c>
      <c r="F364" s="4" t="s">
        <v>121</v>
      </c>
      <c r="G364" s="2" t="s">
        <v>348</v>
      </c>
      <c r="H364" s="2" t="s">
        <v>1037</v>
      </c>
      <c r="I364" s="2" t="s">
        <v>212</v>
      </c>
      <c r="J364" s="2" t="s">
        <v>298</v>
      </c>
      <c r="K364" s="4" t="s">
        <v>27</v>
      </c>
      <c r="L364" s="4" t="s">
        <v>27</v>
      </c>
      <c r="M364" s="4" t="s">
        <v>170</v>
      </c>
      <c r="N364" s="5">
        <v>273364829</v>
      </c>
      <c r="O364" s="2" t="s">
        <v>91</v>
      </c>
      <c r="P364" s="2" t="s">
        <v>30</v>
      </c>
      <c r="Q364" s="4" t="s">
        <v>811</v>
      </c>
    </row>
    <row r="365" spans="1:17" hidden="1" x14ac:dyDescent="0.2">
      <c r="A365" s="2" t="s">
        <v>1041</v>
      </c>
      <c r="B365" s="2" t="s">
        <v>33</v>
      </c>
      <c r="C365" s="2" t="s">
        <v>68</v>
      </c>
      <c r="D365" s="2" t="s">
        <v>20</v>
      </c>
      <c r="E365" s="3">
        <v>98001</v>
      </c>
      <c r="F365" s="4" t="s">
        <v>121</v>
      </c>
      <c r="G365" s="2" t="s">
        <v>348</v>
      </c>
      <c r="H365" s="2" t="s">
        <v>1042</v>
      </c>
      <c r="I365" s="2" t="s">
        <v>212</v>
      </c>
      <c r="J365" s="2" t="s">
        <v>298</v>
      </c>
      <c r="K365" s="4" t="s">
        <v>27</v>
      </c>
      <c r="L365" s="4" t="s">
        <v>27</v>
      </c>
      <c r="M365" s="4" t="s">
        <v>69</v>
      </c>
      <c r="N365" s="5">
        <v>262396543</v>
      </c>
      <c r="O365" s="2" t="s">
        <v>474</v>
      </c>
      <c r="P365" s="2" t="s">
        <v>37</v>
      </c>
      <c r="Q365" s="4" t="s">
        <v>758</v>
      </c>
    </row>
    <row r="366" spans="1:17" hidden="1" x14ac:dyDescent="0.2">
      <c r="A366" s="2" t="s">
        <v>1043</v>
      </c>
      <c r="B366" s="2" t="s">
        <v>33</v>
      </c>
      <c r="C366" s="2" t="s">
        <v>83</v>
      </c>
      <c r="D366" s="2" t="s">
        <v>20</v>
      </c>
      <c r="E366" s="3">
        <v>98136</v>
      </c>
      <c r="F366" s="4" t="s">
        <v>121</v>
      </c>
      <c r="G366" s="2" t="s">
        <v>348</v>
      </c>
      <c r="H366" s="2" t="s">
        <v>1042</v>
      </c>
      <c r="I366" s="2" t="s">
        <v>212</v>
      </c>
      <c r="J366" s="2" t="s">
        <v>298</v>
      </c>
      <c r="K366" s="4" t="s">
        <v>27</v>
      </c>
      <c r="L366" s="4" t="s">
        <v>27</v>
      </c>
      <c r="M366" s="4" t="s">
        <v>319</v>
      </c>
      <c r="N366" s="5">
        <v>275113534</v>
      </c>
      <c r="O366" s="2" t="s">
        <v>1044</v>
      </c>
      <c r="P366" s="2" t="s">
        <v>86</v>
      </c>
      <c r="Q366" s="4" t="s">
        <v>1045</v>
      </c>
    </row>
    <row r="367" spans="1:17" hidden="1" x14ac:dyDescent="0.2">
      <c r="A367" s="2" t="s">
        <v>1046</v>
      </c>
      <c r="B367" s="2" t="s">
        <v>33</v>
      </c>
      <c r="C367" s="2" t="s">
        <v>669</v>
      </c>
      <c r="D367" s="2" t="s">
        <v>20</v>
      </c>
      <c r="E367" s="3">
        <v>98052</v>
      </c>
      <c r="F367" s="4" t="s">
        <v>121</v>
      </c>
      <c r="G367" s="2" t="s">
        <v>348</v>
      </c>
      <c r="H367" s="2" t="s">
        <v>1042</v>
      </c>
      <c r="I367" s="2" t="s">
        <v>212</v>
      </c>
      <c r="J367" s="2" t="s">
        <v>298</v>
      </c>
      <c r="K367" s="4" t="s">
        <v>27</v>
      </c>
      <c r="L367" s="4" t="s">
        <v>27</v>
      </c>
      <c r="M367" s="4" t="s">
        <v>198</v>
      </c>
      <c r="N367" s="5">
        <v>280938591</v>
      </c>
      <c r="O367" s="2" t="s">
        <v>670</v>
      </c>
      <c r="P367" s="2" t="s">
        <v>37</v>
      </c>
      <c r="Q367" s="4" t="s">
        <v>1047</v>
      </c>
    </row>
    <row r="368" spans="1:17" hidden="1" x14ac:dyDescent="0.2">
      <c r="A368" s="2" t="s">
        <v>1048</v>
      </c>
      <c r="B368" s="2" t="s">
        <v>110</v>
      </c>
      <c r="C368" s="2" t="s">
        <v>1049</v>
      </c>
      <c r="D368" s="2" t="s">
        <v>20</v>
      </c>
      <c r="E368" s="3">
        <v>98433</v>
      </c>
      <c r="F368" s="4" t="s">
        <v>121</v>
      </c>
      <c r="G368" s="2" t="s">
        <v>1050</v>
      </c>
      <c r="H368" s="2" t="s">
        <v>1051</v>
      </c>
      <c r="I368" s="2" t="s">
        <v>212</v>
      </c>
      <c r="J368" s="2" t="s">
        <v>298</v>
      </c>
      <c r="K368" s="4" t="s">
        <v>27</v>
      </c>
      <c r="L368" s="4" t="s">
        <v>27</v>
      </c>
      <c r="M368" s="4" t="s">
        <v>478</v>
      </c>
      <c r="N368" s="5">
        <v>276909559</v>
      </c>
      <c r="O368" s="2" t="s">
        <v>1052</v>
      </c>
      <c r="P368" s="2" t="s">
        <v>37</v>
      </c>
      <c r="Q368" s="4" t="s">
        <v>1053</v>
      </c>
    </row>
    <row r="369" spans="1:17" hidden="1" x14ac:dyDescent="0.2">
      <c r="A369" s="2" t="s">
        <v>1054</v>
      </c>
      <c r="B369" s="2" t="s">
        <v>873</v>
      </c>
      <c r="C369" s="2" t="s">
        <v>874</v>
      </c>
      <c r="D369" s="2" t="s">
        <v>20</v>
      </c>
      <c r="E369" s="3">
        <v>98926</v>
      </c>
      <c r="F369" s="4" t="s">
        <v>130</v>
      </c>
      <c r="G369" s="2" t="s">
        <v>1050</v>
      </c>
      <c r="H369" s="2" t="s">
        <v>1051</v>
      </c>
      <c r="I369" s="2" t="s">
        <v>212</v>
      </c>
      <c r="J369" s="2" t="s">
        <v>298</v>
      </c>
      <c r="K369" s="4" t="s">
        <v>27</v>
      </c>
      <c r="L369" s="4" t="s">
        <v>27</v>
      </c>
      <c r="M369" s="4" t="s">
        <v>264</v>
      </c>
      <c r="N369" s="5">
        <v>283439915</v>
      </c>
      <c r="O369" s="2" t="s">
        <v>875</v>
      </c>
      <c r="P369" s="2" t="s">
        <v>30</v>
      </c>
      <c r="Q369" s="4" t="s">
        <v>876</v>
      </c>
    </row>
    <row r="370" spans="1:17" hidden="1" x14ac:dyDescent="0.2">
      <c r="A370" s="2" t="s">
        <v>1055</v>
      </c>
      <c r="B370" s="2" t="s">
        <v>33</v>
      </c>
      <c r="C370" s="2" t="s">
        <v>1056</v>
      </c>
      <c r="D370" s="2" t="s">
        <v>20</v>
      </c>
      <c r="E370" s="3">
        <v>98031</v>
      </c>
      <c r="F370" s="4" t="s">
        <v>121</v>
      </c>
      <c r="G370" s="2" t="s">
        <v>1050</v>
      </c>
      <c r="H370" s="2" t="s">
        <v>1051</v>
      </c>
      <c r="I370" s="2" t="s">
        <v>212</v>
      </c>
      <c r="J370" s="2" t="s">
        <v>298</v>
      </c>
      <c r="K370" s="4" t="s">
        <v>27</v>
      </c>
      <c r="L370" s="4" t="s">
        <v>27</v>
      </c>
      <c r="M370" s="4" t="s">
        <v>69</v>
      </c>
      <c r="N370" s="5">
        <v>272540852</v>
      </c>
      <c r="O370" s="2" t="s">
        <v>1057</v>
      </c>
      <c r="P370" s="2" t="s">
        <v>37</v>
      </c>
      <c r="Q370" s="4" t="s">
        <v>1058</v>
      </c>
    </row>
    <row r="371" spans="1:17" hidden="1" x14ac:dyDescent="0.2">
      <c r="A371" s="2" t="s">
        <v>1059</v>
      </c>
      <c r="B371" s="2" t="s">
        <v>33</v>
      </c>
      <c r="C371" s="2" t="s">
        <v>451</v>
      </c>
      <c r="D371" s="2" t="s">
        <v>20</v>
      </c>
      <c r="E371" s="3">
        <v>98074</v>
      </c>
      <c r="F371" s="4" t="s">
        <v>130</v>
      </c>
      <c r="G371" s="2" t="s">
        <v>1050</v>
      </c>
      <c r="H371" s="2" t="s">
        <v>1051</v>
      </c>
      <c r="I371" s="2" t="s">
        <v>212</v>
      </c>
      <c r="J371" s="2" t="s">
        <v>298</v>
      </c>
      <c r="K371" s="4" t="s">
        <v>27</v>
      </c>
      <c r="L371" s="4" t="s">
        <v>27</v>
      </c>
      <c r="M371" s="4" t="s">
        <v>198</v>
      </c>
      <c r="N371" s="5">
        <v>284444625</v>
      </c>
      <c r="O371" s="2" t="s">
        <v>781</v>
      </c>
      <c r="P371" s="2" t="s">
        <v>37</v>
      </c>
      <c r="Q371" s="4" t="s">
        <v>1060</v>
      </c>
    </row>
    <row r="372" spans="1:17" hidden="1" x14ac:dyDescent="0.2">
      <c r="A372" s="2" t="s">
        <v>1061</v>
      </c>
      <c r="B372" s="2" t="s">
        <v>48</v>
      </c>
      <c r="C372" s="2" t="s">
        <v>48</v>
      </c>
      <c r="D372" s="2" t="s">
        <v>20</v>
      </c>
      <c r="E372" s="3">
        <v>98902</v>
      </c>
      <c r="F372" s="4" t="s">
        <v>121</v>
      </c>
      <c r="G372" s="2" t="s">
        <v>1050</v>
      </c>
      <c r="H372" s="2" t="s">
        <v>1051</v>
      </c>
      <c r="I372" s="2" t="s">
        <v>212</v>
      </c>
      <c r="J372" s="2" t="s">
        <v>298</v>
      </c>
      <c r="K372" s="4" t="s">
        <v>27</v>
      </c>
      <c r="L372" s="4" t="s">
        <v>27</v>
      </c>
      <c r="M372" s="4" t="s">
        <v>323</v>
      </c>
      <c r="N372" s="5">
        <v>267936700</v>
      </c>
      <c r="O372" s="2" t="s">
        <v>421</v>
      </c>
      <c r="P372" s="2" t="s">
        <v>52</v>
      </c>
      <c r="Q372" s="4" t="s">
        <v>696</v>
      </c>
    </row>
    <row r="373" spans="1:17" hidden="1" x14ac:dyDescent="0.2">
      <c r="A373" s="2" t="s">
        <v>1062</v>
      </c>
      <c r="B373" s="2" t="s">
        <v>33</v>
      </c>
      <c r="C373" s="2" t="s">
        <v>146</v>
      </c>
      <c r="D373" s="2" t="s">
        <v>20</v>
      </c>
      <c r="E373" s="3">
        <v>98005</v>
      </c>
      <c r="F373" s="4" t="s">
        <v>130</v>
      </c>
      <c r="G373" s="2" t="s">
        <v>603</v>
      </c>
      <c r="H373" s="2" t="s">
        <v>1063</v>
      </c>
      <c r="I373" s="2" t="s">
        <v>212</v>
      </c>
      <c r="J373" s="2" t="s">
        <v>298</v>
      </c>
      <c r="K373" s="4" t="s">
        <v>27</v>
      </c>
      <c r="L373" s="4" t="s">
        <v>27</v>
      </c>
      <c r="M373" s="4" t="s">
        <v>147</v>
      </c>
      <c r="N373" s="5">
        <v>284554273</v>
      </c>
      <c r="O373" s="2" t="s">
        <v>448</v>
      </c>
      <c r="P373" s="2" t="s">
        <v>37</v>
      </c>
      <c r="Q373" s="4" t="s">
        <v>1064</v>
      </c>
    </row>
    <row r="374" spans="1:17" x14ac:dyDescent="0.2">
      <c r="A374" s="2" t="s">
        <v>1065</v>
      </c>
      <c r="B374" s="2" t="s">
        <v>33</v>
      </c>
      <c r="C374" s="2" t="s">
        <v>169</v>
      </c>
      <c r="D374" s="2" t="s">
        <v>20</v>
      </c>
      <c r="E374" s="3">
        <v>98033</v>
      </c>
      <c r="F374" s="4" t="s">
        <v>121</v>
      </c>
      <c r="G374" s="2" t="s">
        <v>1066</v>
      </c>
      <c r="H374" s="2" t="s">
        <v>1067</v>
      </c>
      <c r="I374" s="2" t="s">
        <v>24</v>
      </c>
      <c r="J374" s="2" t="s">
        <v>25</v>
      </c>
      <c r="K374" s="4" t="s">
        <v>79</v>
      </c>
      <c r="L374" s="4" t="s">
        <v>27</v>
      </c>
      <c r="M374" s="4" t="s">
        <v>147</v>
      </c>
      <c r="N374" s="5">
        <v>264853158</v>
      </c>
      <c r="O374" s="2" t="s">
        <v>204</v>
      </c>
      <c r="P374" s="2" t="s">
        <v>37</v>
      </c>
      <c r="Q374" s="4" t="s">
        <v>894</v>
      </c>
    </row>
    <row r="375" spans="1:17" x14ac:dyDescent="0.2">
      <c r="A375" s="2" t="s">
        <v>1068</v>
      </c>
      <c r="B375" s="2" t="s">
        <v>1069</v>
      </c>
      <c r="C375" s="2" t="s">
        <v>1070</v>
      </c>
      <c r="D375" s="2" t="s">
        <v>20</v>
      </c>
      <c r="E375" s="3">
        <v>99344</v>
      </c>
      <c r="F375" s="4" t="s">
        <v>57</v>
      </c>
      <c r="G375" s="2" t="s">
        <v>1066</v>
      </c>
      <c r="H375" s="2" t="s">
        <v>1067</v>
      </c>
      <c r="I375" s="2" t="s">
        <v>24</v>
      </c>
      <c r="J375" s="2" t="s">
        <v>25</v>
      </c>
      <c r="K375" s="4" t="s">
        <v>90</v>
      </c>
      <c r="L375" s="4" t="s">
        <v>27</v>
      </c>
      <c r="M375" s="4" t="s">
        <v>1071</v>
      </c>
      <c r="N375" s="5">
        <v>268880349</v>
      </c>
      <c r="O375" s="2" t="s">
        <v>1072</v>
      </c>
      <c r="P375" s="2" t="s">
        <v>1073</v>
      </c>
      <c r="Q375" s="4" t="s">
        <v>1074</v>
      </c>
    </row>
    <row r="376" spans="1:17" x14ac:dyDescent="0.2">
      <c r="A376" s="2" t="s">
        <v>1075</v>
      </c>
      <c r="B376" s="2" t="s">
        <v>151</v>
      </c>
      <c r="C376" s="2" t="s">
        <v>566</v>
      </c>
      <c r="D376" s="2" t="s">
        <v>20</v>
      </c>
      <c r="E376" s="3">
        <v>98516</v>
      </c>
      <c r="F376" s="4" t="s">
        <v>57</v>
      </c>
      <c r="G376" s="2" t="s">
        <v>1066</v>
      </c>
      <c r="H376" s="2" t="s">
        <v>1067</v>
      </c>
      <c r="I376" s="2" t="s">
        <v>24</v>
      </c>
      <c r="J376" s="2" t="s">
        <v>25</v>
      </c>
      <c r="K376" s="4" t="s">
        <v>90</v>
      </c>
      <c r="L376" s="4" t="s">
        <v>27</v>
      </c>
      <c r="M376" s="4" t="s">
        <v>90</v>
      </c>
      <c r="N376" s="5">
        <v>197346082</v>
      </c>
      <c r="O376" s="2" t="s">
        <v>746</v>
      </c>
      <c r="P376" s="2" t="s">
        <v>30</v>
      </c>
      <c r="Q376" s="4" t="s">
        <v>1076</v>
      </c>
    </row>
    <row r="377" spans="1:17" x14ac:dyDescent="0.2">
      <c r="A377" s="2" t="s">
        <v>1077</v>
      </c>
      <c r="B377" s="2" t="s">
        <v>33</v>
      </c>
      <c r="C377" s="2" t="s">
        <v>169</v>
      </c>
      <c r="D377" s="2" t="s">
        <v>20</v>
      </c>
      <c r="E377" s="3">
        <v>98034</v>
      </c>
      <c r="F377" s="4" t="s">
        <v>371</v>
      </c>
      <c r="G377" s="2" t="s">
        <v>1078</v>
      </c>
      <c r="H377" s="2" t="s">
        <v>1079</v>
      </c>
      <c r="I377" s="2" t="s">
        <v>24</v>
      </c>
      <c r="J377" s="2" t="s">
        <v>25</v>
      </c>
      <c r="K377" s="4" t="s">
        <v>806</v>
      </c>
      <c r="L377" s="4" t="s">
        <v>27</v>
      </c>
      <c r="M377" s="4" t="s">
        <v>170</v>
      </c>
      <c r="N377" s="5">
        <v>223904964</v>
      </c>
      <c r="O377" s="2" t="s">
        <v>171</v>
      </c>
      <c r="P377" s="2" t="s">
        <v>37</v>
      </c>
      <c r="Q377" s="4" t="s">
        <v>739</v>
      </c>
    </row>
    <row r="378" spans="1:17" hidden="1" x14ac:dyDescent="0.2">
      <c r="A378" s="2" t="s">
        <v>1080</v>
      </c>
      <c r="B378" s="2" t="s">
        <v>33</v>
      </c>
      <c r="C378" s="2" t="s">
        <v>169</v>
      </c>
      <c r="D378" s="2" t="s">
        <v>20</v>
      </c>
      <c r="E378" s="3">
        <v>98033</v>
      </c>
      <c r="F378" s="4" t="s">
        <v>121</v>
      </c>
      <c r="G378" s="2" t="s">
        <v>1078</v>
      </c>
      <c r="H378" s="2" t="s">
        <v>1081</v>
      </c>
      <c r="I378" s="2" t="s">
        <v>212</v>
      </c>
      <c r="J378" s="2" t="s">
        <v>298</v>
      </c>
      <c r="K378" s="4" t="s">
        <v>27</v>
      </c>
      <c r="L378" s="4" t="s">
        <v>27</v>
      </c>
      <c r="M378" s="4" t="s">
        <v>147</v>
      </c>
      <c r="N378" s="5">
        <v>273503184</v>
      </c>
      <c r="O378" s="2" t="s">
        <v>204</v>
      </c>
      <c r="P378" s="2" t="s">
        <v>37</v>
      </c>
      <c r="Q378" s="4" t="s">
        <v>894</v>
      </c>
    </row>
    <row r="379" spans="1:17" hidden="1" x14ac:dyDescent="0.2">
      <c r="A379" s="2" t="s">
        <v>1082</v>
      </c>
      <c r="B379" s="2" t="s">
        <v>33</v>
      </c>
      <c r="C379" s="2" t="s">
        <v>451</v>
      </c>
      <c r="D379" s="2" t="s">
        <v>20</v>
      </c>
      <c r="E379" s="3">
        <v>98075</v>
      </c>
      <c r="F379" s="4" t="s">
        <v>21</v>
      </c>
      <c r="G379" s="2" t="s">
        <v>1078</v>
      </c>
      <c r="H379" s="2" t="s">
        <v>1081</v>
      </c>
      <c r="I379" s="2" t="s">
        <v>212</v>
      </c>
      <c r="J379" s="2" t="s">
        <v>298</v>
      </c>
      <c r="K379" s="4" t="s">
        <v>27</v>
      </c>
      <c r="L379" s="4" t="s">
        <v>27</v>
      </c>
      <c r="M379" s="4" t="s">
        <v>403</v>
      </c>
      <c r="N379" s="5">
        <v>227120617</v>
      </c>
      <c r="O379" s="2" t="s">
        <v>452</v>
      </c>
      <c r="P379" s="2" t="s">
        <v>37</v>
      </c>
      <c r="Q379" s="4" t="s">
        <v>892</v>
      </c>
    </row>
    <row r="380" spans="1:17" x14ac:dyDescent="0.2">
      <c r="A380" s="2" t="s">
        <v>1083</v>
      </c>
      <c r="B380" s="2" t="s">
        <v>33</v>
      </c>
      <c r="C380" s="2" t="s">
        <v>83</v>
      </c>
      <c r="D380" s="2" t="s">
        <v>20</v>
      </c>
      <c r="E380" s="3">
        <v>98119</v>
      </c>
      <c r="F380" s="4" t="s">
        <v>130</v>
      </c>
      <c r="G380" s="2" t="s">
        <v>1078</v>
      </c>
      <c r="H380" s="2" t="s">
        <v>1079</v>
      </c>
      <c r="I380" s="2" t="s">
        <v>24</v>
      </c>
      <c r="J380" s="2" t="s">
        <v>213</v>
      </c>
      <c r="K380" s="4" t="s">
        <v>191</v>
      </c>
      <c r="L380" s="4" t="s">
        <v>27</v>
      </c>
      <c r="M380" s="4" t="s">
        <v>84</v>
      </c>
      <c r="N380" s="5">
        <v>273888534</v>
      </c>
      <c r="O380" s="2" t="s">
        <v>650</v>
      </c>
      <c r="P380" s="2" t="s">
        <v>86</v>
      </c>
      <c r="Q380" s="4" t="s">
        <v>651</v>
      </c>
    </row>
    <row r="381" spans="1:17" x14ac:dyDescent="0.2">
      <c r="A381" s="2" t="s">
        <v>1084</v>
      </c>
      <c r="B381" s="2" t="s">
        <v>40</v>
      </c>
      <c r="C381" s="2" t="s">
        <v>272</v>
      </c>
      <c r="D381" s="2" t="s">
        <v>20</v>
      </c>
      <c r="E381" s="3">
        <v>98270</v>
      </c>
      <c r="F381" s="4" t="s">
        <v>121</v>
      </c>
      <c r="G381" s="2" t="s">
        <v>1078</v>
      </c>
      <c r="H381" s="2" t="s">
        <v>1079</v>
      </c>
      <c r="I381" s="2" t="s">
        <v>24</v>
      </c>
      <c r="J381" s="2" t="s">
        <v>213</v>
      </c>
      <c r="K381" s="4" t="s">
        <v>147</v>
      </c>
      <c r="L381" s="4" t="s">
        <v>27</v>
      </c>
      <c r="M381" s="4" t="s">
        <v>116</v>
      </c>
      <c r="N381" s="5">
        <v>260656035</v>
      </c>
      <c r="O381" s="2" t="s">
        <v>275</v>
      </c>
      <c r="P381" s="2" t="s">
        <v>30</v>
      </c>
      <c r="Q381" s="4" t="s">
        <v>935</v>
      </c>
    </row>
    <row r="382" spans="1:17" hidden="1" x14ac:dyDescent="0.2">
      <c r="A382" s="2" t="s">
        <v>1085</v>
      </c>
      <c r="B382" s="2" t="s">
        <v>110</v>
      </c>
      <c r="C382" s="2" t="s">
        <v>634</v>
      </c>
      <c r="D382" s="2" t="s">
        <v>20</v>
      </c>
      <c r="E382" s="3">
        <v>98335</v>
      </c>
      <c r="F382" s="4" t="s">
        <v>21</v>
      </c>
      <c r="G382" s="2" t="s">
        <v>1078</v>
      </c>
      <c r="H382" s="2" t="s">
        <v>1086</v>
      </c>
      <c r="I382" s="2" t="s">
        <v>212</v>
      </c>
      <c r="J382" s="2" t="s">
        <v>298</v>
      </c>
      <c r="K382" s="4" t="s">
        <v>27</v>
      </c>
      <c r="L382" s="4" t="s">
        <v>27</v>
      </c>
      <c r="M382" s="4" t="s">
        <v>101</v>
      </c>
      <c r="N382" s="5">
        <v>264704765</v>
      </c>
      <c r="O382" s="2" t="s">
        <v>1087</v>
      </c>
      <c r="P382" s="2" t="s">
        <v>310</v>
      </c>
      <c r="Q382" s="4" t="s">
        <v>1088</v>
      </c>
    </row>
    <row r="383" spans="1:17" hidden="1" x14ac:dyDescent="0.2">
      <c r="A383" s="2" t="s">
        <v>1089</v>
      </c>
      <c r="B383" s="2" t="s">
        <v>33</v>
      </c>
      <c r="C383" s="2" t="s">
        <v>83</v>
      </c>
      <c r="D383" s="2" t="s">
        <v>20</v>
      </c>
      <c r="E383" s="3">
        <v>98109</v>
      </c>
      <c r="F383" s="4" t="s">
        <v>121</v>
      </c>
      <c r="G383" s="2" t="s">
        <v>1078</v>
      </c>
      <c r="H383" s="2" t="s">
        <v>1086</v>
      </c>
      <c r="I383" s="2" t="s">
        <v>212</v>
      </c>
      <c r="J383" s="2" t="s">
        <v>298</v>
      </c>
      <c r="K383" s="4" t="s">
        <v>27</v>
      </c>
      <c r="L383" s="4" t="s">
        <v>27</v>
      </c>
      <c r="M383" s="4" t="s">
        <v>436</v>
      </c>
      <c r="N383" s="5">
        <v>275405273</v>
      </c>
      <c r="O383" s="2" t="s">
        <v>437</v>
      </c>
      <c r="P383" s="2" t="s">
        <v>86</v>
      </c>
      <c r="Q383" s="4" t="s">
        <v>1090</v>
      </c>
    </row>
    <row r="384" spans="1:17" hidden="1" x14ac:dyDescent="0.2">
      <c r="A384" s="2" t="s">
        <v>1091</v>
      </c>
      <c r="B384" s="2" t="s">
        <v>33</v>
      </c>
      <c r="C384" s="2" t="s">
        <v>146</v>
      </c>
      <c r="D384" s="2" t="s">
        <v>20</v>
      </c>
      <c r="E384" s="3">
        <v>98008</v>
      </c>
      <c r="F384" s="4" t="s">
        <v>21</v>
      </c>
      <c r="G384" s="2" t="s">
        <v>1078</v>
      </c>
      <c r="H384" s="2" t="s">
        <v>1086</v>
      </c>
      <c r="I384" s="2" t="s">
        <v>212</v>
      </c>
      <c r="J384" s="2" t="s">
        <v>298</v>
      </c>
      <c r="K384" s="4" t="s">
        <v>27</v>
      </c>
      <c r="L384" s="4" t="s">
        <v>27</v>
      </c>
      <c r="M384" s="4" t="s">
        <v>147</v>
      </c>
      <c r="N384" s="5">
        <v>284387778</v>
      </c>
      <c r="O384" s="2" t="s">
        <v>537</v>
      </c>
      <c r="P384" s="2" t="s">
        <v>37</v>
      </c>
      <c r="Q384" s="4" t="s">
        <v>791</v>
      </c>
    </row>
    <row r="385" spans="1:17" hidden="1" x14ac:dyDescent="0.2">
      <c r="A385" s="2" t="s">
        <v>1092</v>
      </c>
      <c r="B385" s="2" t="s">
        <v>33</v>
      </c>
      <c r="C385" s="2" t="s">
        <v>83</v>
      </c>
      <c r="D385" s="2" t="s">
        <v>20</v>
      </c>
      <c r="E385" s="3">
        <v>98199</v>
      </c>
      <c r="F385" s="4" t="s">
        <v>121</v>
      </c>
      <c r="G385" s="2" t="s">
        <v>1093</v>
      </c>
      <c r="H385" s="2" t="s">
        <v>1094</v>
      </c>
      <c r="I385" s="2" t="s">
        <v>212</v>
      </c>
      <c r="J385" s="2" t="s">
        <v>298</v>
      </c>
      <c r="K385" s="4" t="s">
        <v>27</v>
      </c>
      <c r="L385" s="4" t="s">
        <v>27</v>
      </c>
      <c r="M385" s="4" t="s">
        <v>84</v>
      </c>
      <c r="N385" s="5">
        <v>278617881</v>
      </c>
      <c r="O385" s="2" t="s">
        <v>380</v>
      </c>
      <c r="P385" s="2" t="s">
        <v>86</v>
      </c>
      <c r="Q385" s="4" t="s">
        <v>887</v>
      </c>
    </row>
    <row r="386" spans="1:17" hidden="1" x14ac:dyDescent="0.2">
      <c r="A386" s="2" t="s">
        <v>1095</v>
      </c>
      <c r="B386" s="2" t="s">
        <v>151</v>
      </c>
      <c r="C386" s="2" t="s">
        <v>250</v>
      </c>
      <c r="D386" s="2" t="s">
        <v>20</v>
      </c>
      <c r="E386" s="3">
        <v>98501</v>
      </c>
      <c r="F386" s="4" t="s">
        <v>121</v>
      </c>
      <c r="G386" s="2" t="s">
        <v>1093</v>
      </c>
      <c r="H386" s="2" t="s">
        <v>1094</v>
      </c>
      <c r="I386" s="2" t="s">
        <v>212</v>
      </c>
      <c r="J386" s="2" t="s">
        <v>298</v>
      </c>
      <c r="K386" s="4" t="s">
        <v>27</v>
      </c>
      <c r="L386" s="4" t="s">
        <v>27</v>
      </c>
      <c r="M386" s="4" t="s">
        <v>90</v>
      </c>
      <c r="N386" s="5">
        <v>276605542</v>
      </c>
      <c r="O386" s="2" t="s">
        <v>153</v>
      </c>
      <c r="P386" s="2" t="s">
        <v>30</v>
      </c>
      <c r="Q386" s="4" t="s">
        <v>251</v>
      </c>
    </row>
    <row r="387" spans="1:17" hidden="1" x14ac:dyDescent="0.2">
      <c r="A387" s="2" t="s">
        <v>1096</v>
      </c>
      <c r="B387" s="2" t="s">
        <v>110</v>
      </c>
      <c r="C387" s="2" t="s">
        <v>307</v>
      </c>
      <c r="D387" s="2" t="s">
        <v>20</v>
      </c>
      <c r="E387" s="3">
        <v>98406</v>
      </c>
      <c r="F387" s="4" t="s">
        <v>121</v>
      </c>
      <c r="G387" s="2" t="s">
        <v>1093</v>
      </c>
      <c r="H387" s="2" t="s">
        <v>1094</v>
      </c>
      <c r="I387" s="2" t="s">
        <v>212</v>
      </c>
      <c r="J387" s="2" t="s">
        <v>298</v>
      </c>
      <c r="K387" s="4" t="s">
        <v>27</v>
      </c>
      <c r="L387" s="4" t="s">
        <v>27</v>
      </c>
      <c r="M387" s="4" t="s">
        <v>308</v>
      </c>
      <c r="N387" s="5">
        <v>286887709</v>
      </c>
      <c r="O387" s="2" t="s">
        <v>988</v>
      </c>
      <c r="P387" s="2" t="s">
        <v>310</v>
      </c>
      <c r="Q387" s="4" t="s">
        <v>989</v>
      </c>
    </row>
    <row r="388" spans="1:17" hidden="1" x14ac:dyDescent="0.2">
      <c r="A388" s="2" t="s">
        <v>1097</v>
      </c>
      <c r="B388" s="2" t="s">
        <v>33</v>
      </c>
      <c r="C388" s="2" t="s">
        <v>34</v>
      </c>
      <c r="D388" s="2" t="s">
        <v>20</v>
      </c>
      <c r="E388" s="3">
        <v>98029</v>
      </c>
      <c r="F388" s="4" t="s">
        <v>57</v>
      </c>
      <c r="G388" s="2" t="s">
        <v>1098</v>
      </c>
      <c r="H388" s="2" t="s">
        <v>1099</v>
      </c>
      <c r="I388" s="2" t="s">
        <v>212</v>
      </c>
      <c r="J388" s="2" t="s">
        <v>298</v>
      </c>
      <c r="K388" s="4" t="s">
        <v>27</v>
      </c>
      <c r="L388" s="4" t="s">
        <v>27</v>
      </c>
      <c r="M388" s="4" t="s">
        <v>35</v>
      </c>
      <c r="N388" s="5">
        <v>225793543</v>
      </c>
      <c r="O388" s="2" t="s">
        <v>795</v>
      </c>
      <c r="P388" s="2" t="s">
        <v>37</v>
      </c>
      <c r="Q388" s="4" t="s">
        <v>1100</v>
      </c>
    </row>
    <row r="389" spans="1:17" hidden="1" x14ac:dyDescent="0.2">
      <c r="A389" s="2" t="s">
        <v>1101</v>
      </c>
      <c r="B389" s="2" t="s">
        <v>33</v>
      </c>
      <c r="C389" s="2" t="s">
        <v>400</v>
      </c>
      <c r="D389" s="2" t="s">
        <v>20</v>
      </c>
      <c r="E389" s="3">
        <v>98040</v>
      </c>
      <c r="F389" s="4" t="s">
        <v>130</v>
      </c>
      <c r="G389" s="2" t="s">
        <v>1098</v>
      </c>
      <c r="H389" s="2" t="s">
        <v>1099</v>
      </c>
      <c r="I389" s="2" t="s">
        <v>212</v>
      </c>
      <c r="J389" s="2" t="s">
        <v>298</v>
      </c>
      <c r="K389" s="4" t="s">
        <v>27</v>
      </c>
      <c r="L389" s="4" t="s">
        <v>27</v>
      </c>
      <c r="M389" s="4" t="s">
        <v>403</v>
      </c>
      <c r="N389" s="5">
        <v>278414566</v>
      </c>
      <c r="O389" s="2" t="s">
        <v>404</v>
      </c>
      <c r="P389" s="2" t="s">
        <v>37</v>
      </c>
      <c r="Q389" s="4" t="s">
        <v>1102</v>
      </c>
    </row>
    <row r="390" spans="1:17" hidden="1" x14ac:dyDescent="0.2">
      <c r="A390" s="2" t="s">
        <v>1103</v>
      </c>
      <c r="B390" s="2" t="s">
        <v>33</v>
      </c>
      <c r="C390" s="2" t="s">
        <v>83</v>
      </c>
      <c r="D390" s="2" t="s">
        <v>20</v>
      </c>
      <c r="E390" s="3">
        <v>98134</v>
      </c>
      <c r="F390" s="4" t="s">
        <v>130</v>
      </c>
      <c r="G390" s="2" t="s">
        <v>1098</v>
      </c>
      <c r="H390" s="2" t="s">
        <v>1099</v>
      </c>
      <c r="I390" s="2" t="s">
        <v>212</v>
      </c>
      <c r="J390" s="2" t="s">
        <v>298</v>
      </c>
      <c r="K390" s="4" t="s">
        <v>27</v>
      </c>
      <c r="L390" s="4" t="s">
        <v>27</v>
      </c>
      <c r="M390" s="4" t="s">
        <v>140</v>
      </c>
      <c r="N390" s="5">
        <v>283337281</v>
      </c>
      <c r="O390" s="2" t="s">
        <v>1104</v>
      </c>
      <c r="P390" s="2" t="s">
        <v>86</v>
      </c>
      <c r="Q390" s="4" t="s">
        <v>1105</v>
      </c>
    </row>
    <row r="391" spans="1:17" x14ac:dyDescent="0.2">
      <c r="A391" s="2" t="s">
        <v>1106</v>
      </c>
      <c r="B391" s="2" t="s">
        <v>331</v>
      </c>
      <c r="C391" s="2" t="s">
        <v>331</v>
      </c>
      <c r="D391" s="2" t="s">
        <v>20</v>
      </c>
      <c r="E391" s="3">
        <v>99207</v>
      </c>
      <c r="F391" s="4" t="s">
        <v>130</v>
      </c>
      <c r="G391" s="2" t="s">
        <v>1107</v>
      </c>
      <c r="H391" s="2" t="s">
        <v>1108</v>
      </c>
      <c r="I391" s="2" t="s">
        <v>24</v>
      </c>
      <c r="J391" s="2" t="s">
        <v>25</v>
      </c>
      <c r="K391" s="4" t="s">
        <v>308</v>
      </c>
      <c r="L391" s="4" t="s">
        <v>27</v>
      </c>
      <c r="M391" s="4" t="s">
        <v>391</v>
      </c>
      <c r="N391" s="5">
        <v>283209195</v>
      </c>
      <c r="O391" s="2" t="s">
        <v>526</v>
      </c>
      <c r="P391" s="2" t="s">
        <v>393</v>
      </c>
      <c r="Q391" s="4" t="s">
        <v>527</v>
      </c>
    </row>
    <row r="392" spans="1:17" x14ac:dyDescent="0.2">
      <c r="A392" s="2" t="s">
        <v>1109</v>
      </c>
      <c r="B392" s="2" t="s">
        <v>18</v>
      </c>
      <c r="C392" s="2" t="s">
        <v>100</v>
      </c>
      <c r="D392" s="2" t="s">
        <v>20</v>
      </c>
      <c r="E392" s="3">
        <v>98366</v>
      </c>
      <c r="F392" s="4" t="s">
        <v>401</v>
      </c>
      <c r="G392" s="2" t="s">
        <v>1107</v>
      </c>
      <c r="H392" s="2" t="s">
        <v>1110</v>
      </c>
      <c r="I392" s="2" t="s">
        <v>24</v>
      </c>
      <c r="J392" s="2" t="s">
        <v>25</v>
      </c>
      <c r="K392" s="4" t="s">
        <v>26</v>
      </c>
      <c r="L392" s="4" t="s">
        <v>27</v>
      </c>
      <c r="M392" s="4" t="s">
        <v>101</v>
      </c>
      <c r="N392" s="5">
        <v>259776653</v>
      </c>
      <c r="O392" s="2" t="s">
        <v>102</v>
      </c>
      <c r="P392" s="2" t="s">
        <v>30</v>
      </c>
      <c r="Q392" s="4" t="s">
        <v>1111</v>
      </c>
    </row>
    <row r="393" spans="1:17" hidden="1" x14ac:dyDescent="0.2">
      <c r="A393" s="2" t="s">
        <v>1112</v>
      </c>
      <c r="B393" s="2" t="s">
        <v>33</v>
      </c>
      <c r="C393" s="2" t="s">
        <v>186</v>
      </c>
      <c r="D393" s="2" t="s">
        <v>20</v>
      </c>
      <c r="E393" s="3">
        <v>98023</v>
      </c>
      <c r="F393" s="4" t="s">
        <v>1113</v>
      </c>
      <c r="G393" s="2" t="s">
        <v>1114</v>
      </c>
      <c r="H393" s="2" t="s">
        <v>1115</v>
      </c>
      <c r="I393" s="2" t="s">
        <v>212</v>
      </c>
      <c r="J393" s="2" t="s">
        <v>298</v>
      </c>
      <c r="K393" s="4" t="s">
        <v>27</v>
      </c>
      <c r="L393" s="4" t="s">
        <v>27</v>
      </c>
      <c r="M393" s="4" t="s">
        <v>187</v>
      </c>
      <c r="N393" s="5">
        <v>281431006</v>
      </c>
      <c r="O393" s="2" t="s">
        <v>188</v>
      </c>
      <c r="P393" s="2" t="s">
        <v>37</v>
      </c>
      <c r="Q393" s="4" t="s">
        <v>1116</v>
      </c>
    </row>
    <row r="394" spans="1:17" x14ac:dyDescent="0.2">
      <c r="A394" s="2" t="s">
        <v>1117</v>
      </c>
      <c r="B394" s="2" t="s">
        <v>18</v>
      </c>
      <c r="C394" s="2" t="s">
        <v>234</v>
      </c>
      <c r="D394" s="2" t="s">
        <v>20</v>
      </c>
      <c r="E394" s="3">
        <v>98110</v>
      </c>
      <c r="F394" s="4" t="s">
        <v>121</v>
      </c>
      <c r="G394" s="2" t="s">
        <v>1066</v>
      </c>
      <c r="H394" s="2" t="s">
        <v>1118</v>
      </c>
      <c r="I394" s="2" t="s">
        <v>24</v>
      </c>
      <c r="J394" s="2" t="s">
        <v>213</v>
      </c>
      <c r="K394" s="4" t="s">
        <v>44</v>
      </c>
      <c r="L394" s="4" t="s">
        <v>27</v>
      </c>
      <c r="M394" s="4" t="s">
        <v>28</v>
      </c>
      <c r="N394" s="5">
        <v>261319726</v>
      </c>
      <c r="O394" s="2" t="s">
        <v>235</v>
      </c>
      <c r="P394" s="2" t="s">
        <v>30</v>
      </c>
      <c r="Q394" s="4" t="s">
        <v>788</v>
      </c>
    </row>
    <row r="395" spans="1:17" x14ac:dyDescent="0.2">
      <c r="A395" s="2" t="s">
        <v>1119</v>
      </c>
      <c r="B395" s="2" t="s">
        <v>1120</v>
      </c>
      <c r="C395" s="2" t="s">
        <v>1121</v>
      </c>
      <c r="D395" s="2" t="s">
        <v>20</v>
      </c>
      <c r="E395" s="3">
        <v>98843</v>
      </c>
      <c r="F395" s="4" t="s">
        <v>130</v>
      </c>
      <c r="G395" s="2" t="s">
        <v>1066</v>
      </c>
      <c r="H395" s="2" t="s">
        <v>1118</v>
      </c>
      <c r="I395" s="2" t="s">
        <v>24</v>
      </c>
      <c r="J395" s="2" t="s">
        <v>213</v>
      </c>
      <c r="K395" s="4" t="s">
        <v>409</v>
      </c>
      <c r="L395" s="4" t="s">
        <v>27</v>
      </c>
      <c r="M395" s="4" t="s">
        <v>177</v>
      </c>
      <c r="N395" s="5">
        <v>274125911</v>
      </c>
      <c r="O395" s="2" t="s">
        <v>1122</v>
      </c>
      <c r="P395" s="2" t="s">
        <v>1123</v>
      </c>
      <c r="Q395" s="4" t="s">
        <v>1124</v>
      </c>
    </row>
    <row r="396" spans="1:17" x14ac:dyDescent="0.2">
      <c r="A396" s="2" t="s">
        <v>1125</v>
      </c>
      <c r="B396" s="2" t="s">
        <v>33</v>
      </c>
      <c r="C396" s="2" t="s">
        <v>83</v>
      </c>
      <c r="D396" s="2" t="s">
        <v>20</v>
      </c>
      <c r="E396" s="3">
        <v>98109</v>
      </c>
      <c r="F396" s="4" t="s">
        <v>130</v>
      </c>
      <c r="G396" s="2" t="s">
        <v>1066</v>
      </c>
      <c r="H396" s="2" t="s">
        <v>1118</v>
      </c>
      <c r="I396" s="2" t="s">
        <v>24</v>
      </c>
      <c r="J396" s="2" t="s">
        <v>213</v>
      </c>
      <c r="K396" s="4" t="s">
        <v>409</v>
      </c>
      <c r="L396" s="4" t="s">
        <v>27</v>
      </c>
      <c r="M396" s="4" t="s">
        <v>436</v>
      </c>
      <c r="N396" s="5">
        <v>276417172</v>
      </c>
      <c r="O396" s="2" t="s">
        <v>437</v>
      </c>
      <c r="P396" s="2" t="s">
        <v>86</v>
      </c>
      <c r="Q396" s="4" t="s">
        <v>1090</v>
      </c>
    </row>
    <row r="397" spans="1:17" x14ac:dyDescent="0.2">
      <c r="A397" s="2" t="s">
        <v>1126</v>
      </c>
      <c r="B397" s="2" t="s">
        <v>55</v>
      </c>
      <c r="C397" s="2" t="s">
        <v>282</v>
      </c>
      <c r="D397" s="2" t="s">
        <v>20</v>
      </c>
      <c r="E397" s="3">
        <v>98671</v>
      </c>
      <c r="F397" s="4" t="s">
        <v>121</v>
      </c>
      <c r="G397" s="2" t="s">
        <v>1066</v>
      </c>
      <c r="H397" s="2" t="s">
        <v>1118</v>
      </c>
      <c r="I397" s="2" t="s">
        <v>24</v>
      </c>
      <c r="J397" s="2" t="s">
        <v>213</v>
      </c>
      <c r="K397" s="4" t="s">
        <v>44</v>
      </c>
      <c r="L397" s="4" t="s">
        <v>27</v>
      </c>
      <c r="M397" s="4" t="s">
        <v>58</v>
      </c>
      <c r="N397" s="5">
        <v>257424940</v>
      </c>
      <c r="O397" s="2" t="s">
        <v>285</v>
      </c>
      <c r="P397" s="2" t="s">
        <v>60</v>
      </c>
      <c r="Q397" s="4" t="s">
        <v>1127</v>
      </c>
    </row>
    <row r="398" spans="1:17" x14ac:dyDescent="0.2">
      <c r="A398" s="2" t="s">
        <v>1128</v>
      </c>
      <c r="B398" s="2" t="s">
        <v>156</v>
      </c>
      <c r="C398" s="2" t="s">
        <v>157</v>
      </c>
      <c r="D398" s="2" t="s">
        <v>20</v>
      </c>
      <c r="E398" s="3">
        <v>98531</v>
      </c>
      <c r="F398" s="4" t="s">
        <v>130</v>
      </c>
      <c r="G398" s="2" t="s">
        <v>1066</v>
      </c>
      <c r="H398" s="2" t="s">
        <v>1118</v>
      </c>
      <c r="I398" s="2" t="s">
        <v>24</v>
      </c>
      <c r="J398" s="2" t="s">
        <v>213</v>
      </c>
      <c r="K398" s="4" t="s">
        <v>409</v>
      </c>
      <c r="L398" s="4" t="s">
        <v>27</v>
      </c>
      <c r="M398" s="4" t="s">
        <v>79</v>
      </c>
      <c r="N398" s="5">
        <v>272180310</v>
      </c>
      <c r="O398" s="2" t="s">
        <v>158</v>
      </c>
      <c r="P398" s="2" t="s">
        <v>159</v>
      </c>
      <c r="Q398" s="4" t="s">
        <v>160</v>
      </c>
    </row>
    <row r="399" spans="1:17" x14ac:dyDescent="0.2">
      <c r="A399" s="2" t="s">
        <v>1129</v>
      </c>
      <c r="B399" s="2" t="s">
        <v>40</v>
      </c>
      <c r="C399" s="2" t="s">
        <v>784</v>
      </c>
      <c r="D399" s="2" t="s">
        <v>20</v>
      </c>
      <c r="E399" s="3">
        <v>98275</v>
      </c>
      <c r="F399" s="4" t="s">
        <v>121</v>
      </c>
      <c r="G399" s="2" t="s">
        <v>1066</v>
      </c>
      <c r="H399" s="2" t="s">
        <v>1118</v>
      </c>
      <c r="I399" s="2" t="s">
        <v>24</v>
      </c>
      <c r="J399" s="2" t="s">
        <v>213</v>
      </c>
      <c r="K399" s="4" t="s">
        <v>44</v>
      </c>
      <c r="L399" s="4" t="s">
        <v>27</v>
      </c>
      <c r="M399" s="4" t="s">
        <v>26</v>
      </c>
      <c r="N399" s="5">
        <v>249829681</v>
      </c>
      <c r="O399" s="2" t="s">
        <v>785</v>
      </c>
      <c r="P399" s="2" t="s">
        <v>30</v>
      </c>
      <c r="Q399" s="4" t="s">
        <v>1130</v>
      </c>
    </row>
    <row r="400" spans="1:17" x14ac:dyDescent="0.2">
      <c r="A400" s="2" t="s">
        <v>1131</v>
      </c>
      <c r="B400" s="2" t="s">
        <v>33</v>
      </c>
      <c r="C400" s="2" t="s">
        <v>1132</v>
      </c>
      <c r="D400" s="2" t="s">
        <v>20</v>
      </c>
      <c r="E400" s="3">
        <v>98004</v>
      </c>
      <c r="F400" s="4" t="s">
        <v>1113</v>
      </c>
      <c r="G400" s="2" t="s">
        <v>1066</v>
      </c>
      <c r="H400" s="2" t="s">
        <v>1118</v>
      </c>
      <c r="I400" s="2" t="s">
        <v>24</v>
      </c>
      <c r="J400" s="2" t="s">
        <v>213</v>
      </c>
      <c r="K400" s="4" t="s">
        <v>274</v>
      </c>
      <c r="L400" s="4" t="s">
        <v>27</v>
      </c>
      <c r="M400" s="4" t="s">
        <v>147</v>
      </c>
      <c r="N400" s="5">
        <v>281811330</v>
      </c>
      <c r="O400" s="2" t="s">
        <v>148</v>
      </c>
      <c r="P400" s="2" t="s">
        <v>37</v>
      </c>
      <c r="Q400" s="4" t="s">
        <v>1133</v>
      </c>
    </row>
    <row r="401" spans="1:17" x14ac:dyDescent="0.2">
      <c r="A401" s="2" t="s">
        <v>1134</v>
      </c>
      <c r="B401" s="2" t="s">
        <v>33</v>
      </c>
      <c r="C401" s="2" t="s">
        <v>83</v>
      </c>
      <c r="D401" s="2" t="s">
        <v>20</v>
      </c>
      <c r="E401" s="3">
        <v>98199</v>
      </c>
      <c r="F401" s="4" t="s">
        <v>121</v>
      </c>
      <c r="G401" s="2" t="s">
        <v>1066</v>
      </c>
      <c r="H401" s="2" t="s">
        <v>1118</v>
      </c>
      <c r="I401" s="2" t="s">
        <v>24</v>
      </c>
      <c r="J401" s="2" t="s">
        <v>213</v>
      </c>
      <c r="K401" s="4" t="s">
        <v>44</v>
      </c>
      <c r="L401" s="4" t="s">
        <v>27</v>
      </c>
      <c r="M401" s="4" t="s">
        <v>84</v>
      </c>
      <c r="N401" s="5">
        <v>251570973</v>
      </c>
      <c r="O401" s="2" t="s">
        <v>380</v>
      </c>
      <c r="P401" s="2" t="s">
        <v>86</v>
      </c>
      <c r="Q401" s="4" t="s">
        <v>381</v>
      </c>
    </row>
    <row r="402" spans="1:17" x14ac:dyDescent="0.2">
      <c r="A402" s="2" t="s">
        <v>1135</v>
      </c>
      <c r="B402" s="2" t="s">
        <v>33</v>
      </c>
      <c r="C402" s="2" t="s">
        <v>83</v>
      </c>
      <c r="D402" s="2" t="s">
        <v>20</v>
      </c>
      <c r="E402" s="3">
        <v>98112</v>
      </c>
      <c r="F402" s="4" t="s">
        <v>130</v>
      </c>
      <c r="G402" s="2" t="s">
        <v>1066</v>
      </c>
      <c r="H402" s="2" t="s">
        <v>1118</v>
      </c>
      <c r="I402" s="2" t="s">
        <v>24</v>
      </c>
      <c r="J402" s="2" t="s">
        <v>213</v>
      </c>
      <c r="K402" s="4" t="s">
        <v>409</v>
      </c>
      <c r="L402" s="4" t="s">
        <v>27</v>
      </c>
      <c r="M402" s="4" t="s">
        <v>436</v>
      </c>
      <c r="N402" s="5">
        <v>276734258</v>
      </c>
      <c r="O402" s="2" t="s">
        <v>736</v>
      </c>
      <c r="P402" s="2" t="s">
        <v>86</v>
      </c>
      <c r="Q402" s="4" t="s">
        <v>1136</v>
      </c>
    </row>
    <row r="403" spans="1:17" x14ac:dyDescent="0.2">
      <c r="A403" s="2" t="s">
        <v>1137</v>
      </c>
      <c r="B403" s="2" t="s">
        <v>40</v>
      </c>
      <c r="C403" s="2" t="s">
        <v>89</v>
      </c>
      <c r="D403" s="2" t="s">
        <v>20</v>
      </c>
      <c r="E403" s="3">
        <v>98021</v>
      </c>
      <c r="F403" s="4" t="s">
        <v>273</v>
      </c>
      <c r="G403" s="2" t="s">
        <v>1066</v>
      </c>
      <c r="H403" s="2" t="s">
        <v>1118</v>
      </c>
      <c r="I403" s="2" t="s">
        <v>24</v>
      </c>
      <c r="J403" s="2" t="s">
        <v>25</v>
      </c>
      <c r="K403" s="4" t="s">
        <v>323</v>
      </c>
      <c r="L403" s="4" t="s">
        <v>27</v>
      </c>
      <c r="M403" s="4" t="s">
        <v>170</v>
      </c>
      <c r="N403" s="5">
        <v>117851954</v>
      </c>
      <c r="O403" s="2" t="s">
        <v>247</v>
      </c>
      <c r="P403" s="2" t="s">
        <v>30</v>
      </c>
      <c r="Q403" s="4" t="s">
        <v>994</v>
      </c>
    </row>
    <row r="404" spans="1:17" x14ac:dyDescent="0.2">
      <c r="A404" s="2" t="s">
        <v>1138</v>
      </c>
      <c r="B404" s="2" t="s">
        <v>313</v>
      </c>
      <c r="C404" s="2" t="s">
        <v>548</v>
      </c>
      <c r="D404" s="2" t="s">
        <v>20</v>
      </c>
      <c r="E404" s="3">
        <v>99324</v>
      </c>
      <c r="F404" s="4" t="s">
        <v>209</v>
      </c>
      <c r="G404" s="2" t="s">
        <v>1066</v>
      </c>
      <c r="H404" s="2" t="s">
        <v>1118</v>
      </c>
      <c r="I404" s="2" t="s">
        <v>24</v>
      </c>
      <c r="J404" s="2" t="s">
        <v>25</v>
      </c>
      <c r="K404" s="4" t="s">
        <v>323</v>
      </c>
      <c r="L404" s="4" t="s">
        <v>27</v>
      </c>
      <c r="M404" s="4" t="s">
        <v>314</v>
      </c>
      <c r="N404" s="5">
        <v>156022338</v>
      </c>
      <c r="O404" s="2" t="s">
        <v>549</v>
      </c>
      <c r="P404" s="2" t="s">
        <v>52</v>
      </c>
      <c r="Q404" s="4" t="s">
        <v>550</v>
      </c>
    </row>
    <row r="405" spans="1:17" x14ac:dyDescent="0.2">
      <c r="A405" s="2" t="s">
        <v>1139</v>
      </c>
      <c r="B405" s="2" t="s">
        <v>48</v>
      </c>
      <c r="C405" s="2" t="s">
        <v>1140</v>
      </c>
      <c r="D405" s="2" t="s">
        <v>20</v>
      </c>
      <c r="E405" s="3">
        <v>98942</v>
      </c>
      <c r="F405" s="4" t="s">
        <v>371</v>
      </c>
      <c r="G405" s="2" t="s">
        <v>1066</v>
      </c>
      <c r="H405" s="2" t="s">
        <v>1118</v>
      </c>
      <c r="I405" s="2" t="s">
        <v>24</v>
      </c>
      <c r="J405" s="2" t="s">
        <v>25</v>
      </c>
      <c r="K405" s="4" t="s">
        <v>264</v>
      </c>
      <c r="L405" s="4" t="s">
        <v>27</v>
      </c>
      <c r="M405" s="4" t="s">
        <v>50</v>
      </c>
      <c r="N405" s="5">
        <v>227869477</v>
      </c>
      <c r="O405" s="2" t="s">
        <v>1141</v>
      </c>
      <c r="P405" s="2" t="s">
        <v>52</v>
      </c>
      <c r="Q405" s="4" t="s">
        <v>1142</v>
      </c>
    </row>
    <row r="406" spans="1:17" x14ac:dyDescent="0.2">
      <c r="A406" s="2" t="s">
        <v>1143</v>
      </c>
      <c r="B406" s="2" t="s">
        <v>33</v>
      </c>
      <c r="C406" s="2" t="s">
        <v>169</v>
      </c>
      <c r="D406" s="2" t="s">
        <v>20</v>
      </c>
      <c r="E406" s="3">
        <v>98034</v>
      </c>
      <c r="F406" s="4" t="s">
        <v>42</v>
      </c>
      <c r="G406" s="2" t="s">
        <v>1066</v>
      </c>
      <c r="H406" s="2" t="s">
        <v>1118</v>
      </c>
      <c r="I406" s="2" t="s">
        <v>24</v>
      </c>
      <c r="J406" s="2" t="s">
        <v>213</v>
      </c>
      <c r="K406" s="4" t="s">
        <v>187</v>
      </c>
      <c r="L406" s="4" t="s">
        <v>27</v>
      </c>
      <c r="M406" s="4" t="s">
        <v>170</v>
      </c>
      <c r="N406" s="5">
        <v>127075910</v>
      </c>
      <c r="O406" s="2" t="s">
        <v>171</v>
      </c>
      <c r="P406" s="2" t="s">
        <v>37</v>
      </c>
      <c r="Q406" s="4" t="s">
        <v>739</v>
      </c>
    </row>
    <row r="407" spans="1:17" x14ac:dyDescent="0.2">
      <c r="A407" s="2" t="s">
        <v>1144</v>
      </c>
      <c r="B407" s="2" t="s">
        <v>55</v>
      </c>
      <c r="C407" s="2" t="s">
        <v>63</v>
      </c>
      <c r="D407" s="2" t="s">
        <v>20</v>
      </c>
      <c r="E407" s="3">
        <v>98686</v>
      </c>
      <c r="F407" s="4" t="s">
        <v>21</v>
      </c>
      <c r="G407" s="2" t="s">
        <v>1066</v>
      </c>
      <c r="H407" s="2" t="s">
        <v>1118</v>
      </c>
      <c r="I407" s="2" t="s">
        <v>24</v>
      </c>
      <c r="J407" s="2" t="s">
        <v>213</v>
      </c>
      <c r="K407" s="4" t="s">
        <v>187</v>
      </c>
      <c r="L407" s="4" t="s">
        <v>27</v>
      </c>
      <c r="M407" s="4" t="s">
        <v>64</v>
      </c>
      <c r="N407" s="5">
        <v>228021804</v>
      </c>
      <c r="O407" s="2" t="s">
        <v>1145</v>
      </c>
      <c r="P407" s="2" t="s">
        <v>60</v>
      </c>
      <c r="Q407" s="4" t="s">
        <v>1146</v>
      </c>
    </row>
    <row r="408" spans="1:17" x14ac:dyDescent="0.2">
      <c r="A408" s="2" t="s">
        <v>1144</v>
      </c>
      <c r="B408" s="2" t="s">
        <v>1147</v>
      </c>
      <c r="C408" s="2" t="s">
        <v>1148</v>
      </c>
      <c r="D408" s="2" t="s">
        <v>20</v>
      </c>
      <c r="E408" s="3">
        <v>99163</v>
      </c>
      <c r="F408" s="4" t="s">
        <v>21</v>
      </c>
      <c r="G408" s="2" t="s">
        <v>1066</v>
      </c>
      <c r="H408" s="2" t="s">
        <v>1118</v>
      </c>
      <c r="I408" s="2" t="s">
        <v>24</v>
      </c>
      <c r="J408" s="2" t="s">
        <v>213</v>
      </c>
      <c r="K408" s="4" t="s">
        <v>187</v>
      </c>
      <c r="L408" s="4" t="s">
        <v>27</v>
      </c>
      <c r="M408" s="4" t="s">
        <v>1071</v>
      </c>
      <c r="N408" s="5">
        <v>227284543</v>
      </c>
      <c r="O408" s="2" t="s">
        <v>1149</v>
      </c>
      <c r="P408" s="2" t="s">
        <v>244</v>
      </c>
      <c r="Q408" s="4" t="s">
        <v>1150</v>
      </c>
    </row>
    <row r="409" spans="1:17" x14ac:dyDescent="0.2">
      <c r="A409" s="2" t="s">
        <v>1151</v>
      </c>
      <c r="B409" s="2" t="s">
        <v>33</v>
      </c>
      <c r="C409" s="2" t="s">
        <v>146</v>
      </c>
      <c r="D409" s="2" t="s">
        <v>20</v>
      </c>
      <c r="E409" s="3">
        <v>98004</v>
      </c>
      <c r="F409" s="4" t="s">
        <v>57</v>
      </c>
      <c r="G409" s="2" t="s">
        <v>1066</v>
      </c>
      <c r="H409" s="2" t="s">
        <v>1118</v>
      </c>
      <c r="I409" s="2" t="s">
        <v>24</v>
      </c>
      <c r="J409" s="2" t="s">
        <v>213</v>
      </c>
      <c r="K409" s="4" t="s">
        <v>187</v>
      </c>
      <c r="L409" s="4" t="s">
        <v>27</v>
      </c>
      <c r="M409" s="4" t="s">
        <v>147</v>
      </c>
      <c r="N409" s="5">
        <v>193821155</v>
      </c>
      <c r="O409" s="2" t="s">
        <v>148</v>
      </c>
      <c r="P409" s="2" t="s">
        <v>37</v>
      </c>
      <c r="Q409" s="4" t="s">
        <v>149</v>
      </c>
    </row>
    <row r="410" spans="1:17" x14ac:dyDescent="0.2">
      <c r="A410" s="2" t="s">
        <v>1152</v>
      </c>
      <c r="B410" s="2" t="s">
        <v>110</v>
      </c>
      <c r="C410" s="2" t="s">
        <v>673</v>
      </c>
      <c r="D410" s="2" t="s">
        <v>20</v>
      </c>
      <c r="E410" s="3">
        <v>98374</v>
      </c>
      <c r="F410" s="4" t="s">
        <v>21</v>
      </c>
      <c r="G410" s="2" t="s">
        <v>1066</v>
      </c>
      <c r="H410" s="2" t="s">
        <v>1118</v>
      </c>
      <c r="I410" s="2" t="s">
        <v>24</v>
      </c>
      <c r="J410" s="2" t="s">
        <v>213</v>
      </c>
      <c r="K410" s="4" t="s">
        <v>187</v>
      </c>
      <c r="L410" s="4" t="s">
        <v>27</v>
      </c>
      <c r="M410" s="4" t="s">
        <v>43</v>
      </c>
      <c r="N410" s="5">
        <v>218336527</v>
      </c>
      <c r="O410" s="2" t="s">
        <v>1153</v>
      </c>
      <c r="P410" s="2" t="s">
        <v>37</v>
      </c>
      <c r="Q410" s="4" t="s">
        <v>1154</v>
      </c>
    </row>
    <row r="411" spans="1:17" x14ac:dyDescent="0.2">
      <c r="A411" s="2" t="s">
        <v>1155</v>
      </c>
      <c r="B411" s="2" t="s">
        <v>40</v>
      </c>
      <c r="C411" s="2" t="s">
        <v>129</v>
      </c>
      <c r="D411" s="2" t="s">
        <v>20</v>
      </c>
      <c r="E411" s="3">
        <v>98258</v>
      </c>
      <c r="F411" s="4" t="s">
        <v>42</v>
      </c>
      <c r="G411" s="2" t="s">
        <v>1066</v>
      </c>
      <c r="H411" s="2" t="s">
        <v>1118</v>
      </c>
      <c r="I411" s="2" t="s">
        <v>24</v>
      </c>
      <c r="J411" s="2" t="s">
        <v>213</v>
      </c>
      <c r="K411" s="4" t="s">
        <v>187</v>
      </c>
      <c r="L411" s="4" t="s">
        <v>27</v>
      </c>
      <c r="M411" s="4" t="s">
        <v>116</v>
      </c>
      <c r="N411" s="5">
        <v>256238755</v>
      </c>
      <c r="O411" s="2" t="s">
        <v>131</v>
      </c>
      <c r="P411" s="2" t="s">
        <v>30</v>
      </c>
      <c r="Q411" s="4" t="s">
        <v>132</v>
      </c>
    </row>
    <row r="412" spans="1:17" x14ac:dyDescent="0.2">
      <c r="A412" s="2" t="s">
        <v>1156</v>
      </c>
      <c r="B412" s="2" t="s">
        <v>40</v>
      </c>
      <c r="C412" s="2" t="s">
        <v>784</v>
      </c>
      <c r="D412" s="2" t="s">
        <v>20</v>
      </c>
      <c r="E412" s="3">
        <v>98275</v>
      </c>
      <c r="F412" s="4" t="s">
        <v>57</v>
      </c>
      <c r="G412" s="2" t="s">
        <v>1066</v>
      </c>
      <c r="H412" s="2" t="s">
        <v>1118</v>
      </c>
      <c r="I412" s="2" t="s">
        <v>24</v>
      </c>
      <c r="J412" s="2" t="s">
        <v>213</v>
      </c>
      <c r="K412" s="4" t="s">
        <v>187</v>
      </c>
      <c r="L412" s="4" t="s">
        <v>27</v>
      </c>
      <c r="M412" s="4" t="s">
        <v>26</v>
      </c>
      <c r="N412" s="5">
        <v>186128057</v>
      </c>
      <c r="O412" s="2" t="s">
        <v>785</v>
      </c>
      <c r="P412" s="2" t="s">
        <v>30</v>
      </c>
      <c r="Q412" s="4" t="s">
        <v>1130</v>
      </c>
    </row>
    <row r="413" spans="1:17" x14ac:dyDescent="0.2">
      <c r="A413" s="2" t="s">
        <v>1157</v>
      </c>
      <c r="B413" s="2" t="s">
        <v>33</v>
      </c>
      <c r="C413" s="2" t="s">
        <v>197</v>
      </c>
      <c r="D413" s="2" t="s">
        <v>20</v>
      </c>
      <c r="E413" s="3">
        <v>98072</v>
      </c>
      <c r="F413" s="4" t="s">
        <v>21</v>
      </c>
      <c r="G413" s="2" t="s">
        <v>1066</v>
      </c>
      <c r="H413" s="2" t="s">
        <v>1118</v>
      </c>
      <c r="I413" s="2" t="s">
        <v>24</v>
      </c>
      <c r="J413" s="2" t="s">
        <v>213</v>
      </c>
      <c r="K413" s="4" t="s">
        <v>187</v>
      </c>
      <c r="L413" s="4" t="s">
        <v>27</v>
      </c>
      <c r="M413" s="4" t="s">
        <v>198</v>
      </c>
      <c r="N413" s="5">
        <v>227106183</v>
      </c>
      <c r="O413" s="2" t="s">
        <v>199</v>
      </c>
      <c r="P413" s="2" t="s">
        <v>37</v>
      </c>
      <c r="Q413" s="4" t="s">
        <v>200</v>
      </c>
    </row>
    <row r="414" spans="1:17" x14ac:dyDescent="0.2">
      <c r="A414" s="2" t="s">
        <v>1158</v>
      </c>
      <c r="B414" s="2" t="s">
        <v>33</v>
      </c>
      <c r="C414" s="2" t="s">
        <v>169</v>
      </c>
      <c r="D414" s="2" t="s">
        <v>20</v>
      </c>
      <c r="E414" s="3">
        <v>98033</v>
      </c>
      <c r="F414" s="4" t="s">
        <v>42</v>
      </c>
      <c r="G414" s="2" t="s">
        <v>1066</v>
      </c>
      <c r="H414" s="2" t="s">
        <v>1118</v>
      </c>
      <c r="I414" s="2" t="s">
        <v>24</v>
      </c>
      <c r="J414" s="2" t="s">
        <v>213</v>
      </c>
      <c r="K414" s="4" t="s">
        <v>187</v>
      </c>
      <c r="L414" s="4" t="s">
        <v>27</v>
      </c>
      <c r="M414" s="4" t="s">
        <v>147</v>
      </c>
      <c r="N414" s="5">
        <v>148437838</v>
      </c>
      <c r="O414" s="2" t="s">
        <v>204</v>
      </c>
      <c r="P414" s="2" t="s">
        <v>37</v>
      </c>
      <c r="Q414" s="4" t="s">
        <v>205</v>
      </c>
    </row>
    <row r="415" spans="1:17" x14ac:dyDescent="0.2">
      <c r="A415" s="2" t="s">
        <v>1159</v>
      </c>
      <c r="B415" s="2" t="s">
        <v>804</v>
      </c>
      <c r="C415" s="2" t="s">
        <v>805</v>
      </c>
      <c r="D415" s="2" t="s">
        <v>20</v>
      </c>
      <c r="E415" s="3">
        <v>99352</v>
      </c>
      <c r="F415" s="4" t="s">
        <v>57</v>
      </c>
      <c r="G415" s="2" t="s">
        <v>1066</v>
      </c>
      <c r="H415" s="2" t="s">
        <v>1118</v>
      </c>
      <c r="I415" s="2" t="s">
        <v>24</v>
      </c>
      <c r="J415" s="2" t="s">
        <v>213</v>
      </c>
      <c r="K415" s="4" t="s">
        <v>187</v>
      </c>
      <c r="L415" s="4" t="s">
        <v>27</v>
      </c>
      <c r="M415" s="4" t="s">
        <v>806</v>
      </c>
      <c r="N415" s="5">
        <v>211328169</v>
      </c>
      <c r="O415" s="2" t="s">
        <v>860</v>
      </c>
      <c r="P415" s="2" t="s">
        <v>808</v>
      </c>
      <c r="Q415" s="4" t="s">
        <v>861</v>
      </c>
    </row>
    <row r="416" spans="1:17" x14ac:dyDescent="0.2">
      <c r="A416" s="2" t="s">
        <v>1160</v>
      </c>
      <c r="B416" s="2" t="s">
        <v>40</v>
      </c>
      <c r="C416" s="2" t="s">
        <v>383</v>
      </c>
      <c r="D416" s="2" t="s">
        <v>20</v>
      </c>
      <c r="E416" s="3">
        <v>98201</v>
      </c>
      <c r="F416" s="4" t="s">
        <v>57</v>
      </c>
      <c r="G416" s="2" t="s">
        <v>1066</v>
      </c>
      <c r="H416" s="2" t="s">
        <v>1118</v>
      </c>
      <c r="I416" s="2" t="s">
        <v>24</v>
      </c>
      <c r="J416" s="2" t="s">
        <v>213</v>
      </c>
      <c r="K416" s="4" t="s">
        <v>187</v>
      </c>
      <c r="L416" s="4" t="s">
        <v>27</v>
      </c>
      <c r="M416" s="4" t="s">
        <v>274</v>
      </c>
      <c r="N416" s="5">
        <v>203621799</v>
      </c>
      <c r="O416" s="2" t="s">
        <v>1161</v>
      </c>
      <c r="P416" s="2" t="s">
        <v>30</v>
      </c>
      <c r="Q416" s="4" t="s">
        <v>1162</v>
      </c>
    </row>
    <row r="417" spans="1:17" x14ac:dyDescent="0.2">
      <c r="A417" s="2" t="s">
        <v>1163</v>
      </c>
      <c r="B417" s="2" t="s">
        <v>33</v>
      </c>
      <c r="C417" s="2" t="s">
        <v>169</v>
      </c>
      <c r="D417" s="2" t="s">
        <v>20</v>
      </c>
      <c r="E417" s="3">
        <v>98034</v>
      </c>
      <c r="F417" s="4" t="s">
        <v>42</v>
      </c>
      <c r="G417" s="2" t="s">
        <v>1066</v>
      </c>
      <c r="H417" s="2" t="s">
        <v>1164</v>
      </c>
      <c r="I417" s="2" t="s">
        <v>24</v>
      </c>
      <c r="J417" s="2" t="s">
        <v>25</v>
      </c>
      <c r="K417" s="4" t="s">
        <v>64</v>
      </c>
      <c r="L417" s="4" t="s">
        <v>27</v>
      </c>
      <c r="M417" s="4" t="s">
        <v>170</v>
      </c>
      <c r="N417" s="5">
        <v>267168240</v>
      </c>
      <c r="O417" s="2" t="s">
        <v>171</v>
      </c>
      <c r="P417" s="2" t="s">
        <v>37</v>
      </c>
      <c r="Q417" s="4" t="s">
        <v>739</v>
      </c>
    </row>
    <row r="418" spans="1:17" hidden="1" x14ac:dyDescent="0.2">
      <c r="A418" s="2" t="s">
        <v>1165</v>
      </c>
      <c r="B418" s="2" t="s">
        <v>18</v>
      </c>
      <c r="C418" s="2" t="s">
        <v>234</v>
      </c>
      <c r="D418" s="2" t="s">
        <v>20</v>
      </c>
      <c r="E418" s="3">
        <v>98110</v>
      </c>
      <c r="F418" s="4" t="s">
        <v>130</v>
      </c>
      <c r="G418" s="2" t="s">
        <v>1166</v>
      </c>
      <c r="H418" s="2" t="s">
        <v>1167</v>
      </c>
      <c r="I418" s="2" t="s">
        <v>212</v>
      </c>
      <c r="J418" s="2" t="s">
        <v>298</v>
      </c>
      <c r="K418" s="4" t="s">
        <v>27</v>
      </c>
      <c r="L418" s="4" t="s">
        <v>27</v>
      </c>
      <c r="M418" s="4" t="s">
        <v>28</v>
      </c>
      <c r="N418" s="5">
        <v>274451068</v>
      </c>
      <c r="O418" s="2" t="s">
        <v>235</v>
      </c>
      <c r="P418" s="2" t="s">
        <v>30</v>
      </c>
      <c r="Q418" s="4" t="s">
        <v>1032</v>
      </c>
    </row>
    <row r="419" spans="1:17" hidden="1" x14ac:dyDescent="0.2">
      <c r="A419" s="2" t="s">
        <v>1168</v>
      </c>
      <c r="B419" s="2" t="s">
        <v>33</v>
      </c>
      <c r="C419" s="2" t="s">
        <v>1169</v>
      </c>
      <c r="D419" s="2" t="s">
        <v>20</v>
      </c>
      <c r="E419" s="3">
        <v>98028</v>
      </c>
      <c r="F419" s="4" t="s">
        <v>1113</v>
      </c>
      <c r="G419" s="2" t="s">
        <v>1166</v>
      </c>
      <c r="H419" s="2" t="s">
        <v>1167</v>
      </c>
      <c r="I419" s="2" t="s">
        <v>212</v>
      </c>
      <c r="J419" s="2" t="s">
        <v>298</v>
      </c>
      <c r="K419" s="4" t="s">
        <v>27</v>
      </c>
      <c r="L419" s="4" t="s">
        <v>27</v>
      </c>
      <c r="M419" s="4" t="s">
        <v>278</v>
      </c>
      <c r="N419" s="5">
        <v>282798638</v>
      </c>
      <c r="O419" s="2" t="s">
        <v>1170</v>
      </c>
      <c r="P419" s="2" t="s">
        <v>37</v>
      </c>
      <c r="Q419" s="4" t="s">
        <v>1171</v>
      </c>
    </row>
    <row r="420" spans="1:17" hidden="1" x14ac:dyDescent="0.2">
      <c r="A420" s="2" t="s">
        <v>1172</v>
      </c>
      <c r="B420" s="2" t="s">
        <v>33</v>
      </c>
      <c r="C420" s="2" t="s">
        <v>169</v>
      </c>
      <c r="D420" s="2" t="s">
        <v>20</v>
      </c>
      <c r="E420" s="3">
        <v>98034</v>
      </c>
      <c r="F420" s="4" t="s">
        <v>130</v>
      </c>
      <c r="G420" s="2" t="s">
        <v>1166</v>
      </c>
      <c r="H420" s="2" t="s">
        <v>1167</v>
      </c>
      <c r="I420" s="2" t="s">
        <v>212</v>
      </c>
      <c r="J420" s="2" t="s">
        <v>298</v>
      </c>
      <c r="K420" s="4" t="s">
        <v>27</v>
      </c>
      <c r="L420" s="4" t="s">
        <v>27</v>
      </c>
      <c r="M420" s="4" t="s">
        <v>198</v>
      </c>
      <c r="N420" s="5">
        <v>279358768</v>
      </c>
      <c r="O420" s="2" t="s">
        <v>171</v>
      </c>
      <c r="P420" s="2" t="s">
        <v>37</v>
      </c>
      <c r="Q420" s="4" t="s">
        <v>378</v>
      </c>
    </row>
    <row r="421" spans="1:17" hidden="1" x14ac:dyDescent="0.2">
      <c r="A421" s="2" t="s">
        <v>1173</v>
      </c>
      <c r="B421" s="2" t="s">
        <v>55</v>
      </c>
      <c r="C421" s="2" t="s">
        <v>800</v>
      </c>
      <c r="D421" s="2" t="s">
        <v>20</v>
      </c>
      <c r="E421" s="3">
        <v>98642</v>
      </c>
      <c r="F421" s="4" t="s">
        <v>130</v>
      </c>
      <c r="G421" s="2" t="s">
        <v>1166</v>
      </c>
      <c r="H421" s="2" t="s">
        <v>1174</v>
      </c>
      <c r="I421" s="2" t="s">
        <v>212</v>
      </c>
      <c r="J421" s="2" t="s">
        <v>298</v>
      </c>
      <c r="K421" s="4" t="s">
        <v>27</v>
      </c>
      <c r="L421" s="4" t="s">
        <v>27</v>
      </c>
      <c r="M421" s="4" t="s">
        <v>64</v>
      </c>
      <c r="N421" s="5">
        <v>282301617</v>
      </c>
      <c r="O421" s="2" t="s">
        <v>801</v>
      </c>
      <c r="P421" s="2" t="s">
        <v>60</v>
      </c>
      <c r="Q421" s="4" t="s">
        <v>1175</v>
      </c>
    </row>
    <row r="422" spans="1:17" hidden="1" x14ac:dyDescent="0.2">
      <c r="A422" s="2" t="s">
        <v>1176</v>
      </c>
      <c r="B422" s="2" t="s">
        <v>33</v>
      </c>
      <c r="C422" s="2" t="s">
        <v>83</v>
      </c>
      <c r="D422" s="2" t="s">
        <v>20</v>
      </c>
      <c r="E422" s="3">
        <v>98199</v>
      </c>
      <c r="F422" s="4" t="s">
        <v>371</v>
      </c>
      <c r="G422" s="2" t="s">
        <v>1177</v>
      </c>
      <c r="H422" s="2" t="s">
        <v>1178</v>
      </c>
      <c r="I422" s="2" t="s">
        <v>212</v>
      </c>
      <c r="J422" s="2" t="s">
        <v>213</v>
      </c>
      <c r="K422" s="4" t="s">
        <v>815</v>
      </c>
      <c r="L422" s="4" t="s">
        <v>27</v>
      </c>
      <c r="M422" s="4" t="s">
        <v>84</v>
      </c>
      <c r="N422" s="5">
        <v>198220151</v>
      </c>
      <c r="O422" s="2" t="s">
        <v>380</v>
      </c>
      <c r="P422" s="2" t="s">
        <v>86</v>
      </c>
      <c r="Q422" s="4" t="s">
        <v>887</v>
      </c>
    </row>
    <row r="423" spans="1:17" hidden="1" x14ac:dyDescent="0.2">
      <c r="A423" s="2" t="s">
        <v>1176</v>
      </c>
      <c r="B423" s="2" t="s">
        <v>40</v>
      </c>
      <c r="C423" s="2" t="s">
        <v>73</v>
      </c>
      <c r="D423" s="2" t="s">
        <v>20</v>
      </c>
      <c r="E423" s="3">
        <v>98087</v>
      </c>
      <c r="F423" s="4" t="s">
        <v>371</v>
      </c>
      <c r="G423" s="2" t="s">
        <v>1177</v>
      </c>
      <c r="H423" s="2" t="s">
        <v>1178</v>
      </c>
      <c r="I423" s="2" t="s">
        <v>212</v>
      </c>
      <c r="J423" s="2" t="s">
        <v>213</v>
      </c>
      <c r="K423" s="4" t="s">
        <v>815</v>
      </c>
      <c r="L423" s="4" t="s">
        <v>27</v>
      </c>
      <c r="M423" s="4" t="s">
        <v>26</v>
      </c>
      <c r="N423" s="5">
        <v>208627408</v>
      </c>
      <c r="O423" s="2" t="s">
        <v>496</v>
      </c>
      <c r="P423" s="2" t="s">
        <v>30</v>
      </c>
      <c r="Q423" s="4" t="s">
        <v>1179</v>
      </c>
    </row>
    <row r="424" spans="1:17" hidden="1" x14ac:dyDescent="0.2">
      <c r="A424" s="2" t="s">
        <v>1176</v>
      </c>
      <c r="B424" s="2" t="s">
        <v>18</v>
      </c>
      <c r="C424" s="2" t="s">
        <v>218</v>
      </c>
      <c r="D424" s="2" t="s">
        <v>20</v>
      </c>
      <c r="E424" s="3">
        <v>98312</v>
      </c>
      <c r="F424" s="4" t="s">
        <v>371</v>
      </c>
      <c r="G424" s="2" t="s">
        <v>1177</v>
      </c>
      <c r="H424" s="2" t="s">
        <v>1178</v>
      </c>
      <c r="I424" s="2" t="s">
        <v>212</v>
      </c>
      <c r="J424" s="2" t="s">
        <v>213</v>
      </c>
      <c r="K424" s="4" t="s">
        <v>815</v>
      </c>
      <c r="L424" s="4" t="s">
        <v>27</v>
      </c>
      <c r="M424" s="4" t="s">
        <v>255</v>
      </c>
      <c r="N424" s="5">
        <v>170372471</v>
      </c>
      <c r="O424" s="2" t="s">
        <v>1180</v>
      </c>
      <c r="P424" s="2" t="s">
        <v>30</v>
      </c>
      <c r="Q424" s="4" t="s">
        <v>1181</v>
      </c>
    </row>
    <row r="425" spans="1:17" hidden="1" x14ac:dyDescent="0.2">
      <c r="A425" s="2" t="s">
        <v>1176</v>
      </c>
      <c r="B425" s="2" t="s">
        <v>40</v>
      </c>
      <c r="C425" s="2" t="s">
        <v>383</v>
      </c>
      <c r="D425" s="2" t="s">
        <v>20</v>
      </c>
      <c r="E425" s="3">
        <v>98208</v>
      </c>
      <c r="F425" s="4" t="s">
        <v>371</v>
      </c>
      <c r="G425" s="2" t="s">
        <v>1177</v>
      </c>
      <c r="H425" s="2" t="s">
        <v>1178</v>
      </c>
      <c r="I425" s="2" t="s">
        <v>212</v>
      </c>
      <c r="J425" s="2" t="s">
        <v>213</v>
      </c>
      <c r="K425" s="4" t="s">
        <v>815</v>
      </c>
      <c r="L425" s="4" t="s">
        <v>27</v>
      </c>
      <c r="M425" s="4" t="s">
        <v>116</v>
      </c>
      <c r="N425" s="5">
        <v>201881410</v>
      </c>
      <c r="O425" s="2" t="s">
        <v>384</v>
      </c>
      <c r="P425" s="2" t="s">
        <v>30</v>
      </c>
      <c r="Q425" s="4" t="s">
        <v>1182</v>
      </c>
    </row>
    <row r="426" spans="1:17" hidden="1" x14ac:dyDescent="0.2">
      <c r="A426" s="2" t="s">
        <v>1183</v>
      </c>
      <c r="B426" s="2" t="s">
        <v>40</v>
      </c>
      <c r="C426" s="2" t="s">
        <v>89</v>
      </c>
      <c r="D426" s="2" t="s">
        <v>20</v>
      </c>
      <c r="E426" s="3">
        <v>98012</v>
      </c>
      <c r="F426" s="4" t="s">
        <v>408</v>
      </c>
      <c r="G426" s="2" t="s">
        <v>1177</v>
      </c>
      <c r="H426" s="2" t="s">
        <v>1178</v>
      </c>
      <c r="I426" s="2" t="s">
        <v>212</v>
      </c>
      <c r="J426" s="2" t="s">
        <v>213</v>
      </c>
      <c r="K426" s="4" t="s">
        <v>1184</v>
      </c>
      <c r="L426" s="4" t="s">
        <v>27</v>
      </c>
      <c r="M426" s="4" t="s">
        <v>170</v>
      </c>
      <c r="N426" s="5">
        <v>278656682</v>
      </c>
      <c r="O426" s="2" t="s">
        <v>91</v>
      </c>
      <c r="P426" s="2" t="s">
        <v>30</v>
      </c>
      <c r="Q426" s="4" t="s">
        <v>1185</v>
      </c>
    </row>
    <row r="427" spans="1:17" hidden="1" x14ac:dyDescent="0.2">
      <c r="A427" s="2" t="s">
        <v>1186</v>
      </c>
      <c r="B427" s="2" t="s">
        <v>33</v>
      </c>
      <c r="C427" s="2" t="s">
        <v>83</v>
      </c>
      <c r="D427" s="2" t="s">
        <v>20</v>
      </c>
      <c r="E427" s="3">
        <v>98144</v>
      </c>
      <c r="F427" s="4" t="s">
        <v>401</v>
      </c>
      <c r="G427" s="2" t="s">
        <v>1177</v>
      </c>
      <c r="H427" s="2" t="s">
        <v>1178</v>
      </c>
      <c r="I427" s="2" t="s">
        <v>212</v>
      </c>
      <c r="J427" s="2" t="s">
        <v>213</v>
      </c>
      <c r="K427" s="4" t="s">
        <v>1187</v>
      </c>
      <c r="L427" s="4" t="s">
        <v>27</v>
      </c>
      <c r="M427" s="4" t="s">
        <v>284</v>
      </c>
      <c r="N427" s="5">
        <v>1956790</v>
      </c>
      <c r="O427" s="2" t="s">
        <v>867</v>
      </c>
      <c r="P427" s="2" t="s">
        <v>86</v>
      </c>
      <c r="Q427" s="4" t="s">
        <v>996</v>
      </c>
    </row>
    <row r="428" spans="1:17" hidden="1" x14ac:dyDescent="0.2">
      <c r="A428" s="2" t="s">
        <v>1188</v>
      </c>
      <c r="B428" s="2" t="s">
        <v>48</v>
      </c>
      <c r="C428" s="2" t="s">
        <v>1189</v>
      </c>
      <c r="D428" s="2" t="s">
        <v>20</v>
      </c>
      <c r="E428" s="3">
        <v>98936</v>
      </c>
      <c r="F428" s="4" t="s">
        <v>57</v>
      </c>
      <c r="G428" s="2" t="s">
        <v>1177</v>
      </c>
      <c r="H428" s="2" t="s">
        <v>1178</v>
      </c>
      <c r="I428" s="2" t="s">
        <v>212</v>
      </c>
      <c r="J428" s="2" t="s">
        <v>298</v>
      </c>
      <c r="K428" s="4" t="s">
        <v>27</v>
      </c>
      <c r="L428" s="4" t="s">
        <v>27</v>
      </c>
      <c r="M428" s="4" t="s">
        <v>50</v>
      </c>
      <c r="N428" s="5">
        <v>211877725</v>
      </c>
      <c r="O428" s="2" t="s">
        <v>1190</v>
      </c>
      <c r="P428" s="2" t="s">
        <v>52</v>
      </c>
      <c r="Q428" s="4" t="s">
        <v>1191</v>
      </c>
    </row>
    <row r="429" spans="1:17" hidden="1" x14ac:dyDescent="0.2">
      <c r="A429" s="2" t="s">
        <v>1192</v>
      </c>
      <c r="B429" s="2" t="s">
        <v>33</v>
      </c>
      <c r="C429" s="2" t="s">
        <v>146</v>
      </c>
      <c r="D429" s="2" t="s">
        <v>20</v>
      </c>
      <c r="E429" s="3">
        <v>98004</v>
      </c>
      <c r="F429" s="4" t="s">
        <v>21</v>
      </c>
      <c r="G429" s="2" t="s">
        <v>1177</v>
      </c>
      <c r="H429" s="2" t="s">
        <v>1178</v>
      </c>
      <c r="I429" s="2" t="s">
        <v>212</v>
      </c>
      <c r="J429" s="2" t="s">
        <v>298</v>
      </c>
      <c r="K429" s="4" t="s">
        <v>27</v>
      </c>
      <c r="L429" s="4" t="s">
        <v>27</v>
      </c>
      <c r="M429" s="4" t="s">
        <v>147</v>
      </c>
      <c r="N429" s="5">
        <v>269706377</v>
      </c>
      <c r="O429" s="2" t="s">
        <v>148</v>
      </c>
      <c r="P429" s="2" t="s">
        <v>37</v>
      </c>
      <c r="Q429" s="4" t="s">
        <v>1193</v>
      </c>
    </row>
    <row r="430" spans="1:17" hidden="1" x14ac:dyDescent="0.2">
      <c r="A430" s="2" t="s">
        <v>1194</v>
      </c>
      <c r="B430" s="2" t="s">
        <v>33</v>
      </c>
      <c r="C430" s="2" t="s">
        <v>83</v>
      </c>
      <c r="D430" s="2" t="s">
        <v>20</v>
      </c>
      <c r="E430" s="3">
        <v>98103</v>
      </c>
      <c r="F430" s="4" t="s">
        <v>371</v>
      </c>
      <c r="G430" s="2" t="s">
        <v>1177</v>
      </c>
      <c r="H430" s="2" t="s">
        <v>1178</v>
      </c>
      <c r="I430" s="2" t="s">
        <v>212</v>
      </c>
      <c r="J430" s="2" t="s">
        <v>213</v>
      </c>
      <c r="K430" s="4" t="s">
        <v>815</v>
      </c>
      <c r="L430" s="4" t="s">
        <v>27</v>
      </c>
      <c r="M430" s="4" t="s">
        <v>84</v>
      </c>
      <c r="N430" s="5">
        <v>264670920</v>
      </c>
      <c r="O430" s="2" t="s">
        <v>627</v>
      </c>
      <c r="P430" s="2" t="s">
        <v>86</v>
      </c>
      <c r="Q430" s="4" t="s">
        <v>1195</v>
      </c>
    </row>
    <row r="431" spans="1:17" hidden="1" x14ac:dyDescent="0.2">
      <c r="A431" s="2" t="s">
        <v>1196</v>
      </c>
      <c r="B431" s="2" t="s">
        <v>55</v>
      </c>
      <c r="C431" s="2" t="s">
        <v>63</v>
      </c>
      <c r="D431" s="2" t="s">
        <v>20</v>
      </c>
      <c r="E431" s="3">
        <v>98685</v>
      </c>
      <c r="F431" s="4" t="s">
        <v>408</v>
      </c>
      <c r="G431" s="2" t="s">
        <v>1177</v>
      </c>
      <c r="H431" s="2" t="s">
        <v>1178</v>
      </c>
      <c r="I431" s="2" t="s">
        <v>212</v>
      </c>
      <c r="J431" s="2" t="s">
        <v>213</v>
      </c>
      <c r="K431" s="4" t="s">
        <v>1184</v>
      </c>
      <c r="L431" s="4" t="s">
        <v>27</v>
      </c>
      <c r="M431" s="4" t="s">
        <v>58</v>
      </c>
      <c r="N431" s="5">
        <v>206897400</v>
      </c>
      <c r="O431" s="2" t="s">
        <v>299</v>
      </c>
      <c r="P431" s="2" t="s">
        <v>60</v>
      </c>
      <c r="Q431" s="4" t="s">
        <v>1197</v>
      </c>
    </row>
    <row r="432" spans="1:17" hidden="1" x14ac:dyDescent="0.2">
      <c r="A432" s="2" t="s">
        <v>1198</v>
      </c>
      <c r="B432" s="2" t="s">
        <v>33</v>
      </c>
      <c r="C432" s="2" t="s">
        <v>169</v>
      </c>
      <c r="D432" s="2" t="s">
        <v>20</v>
      </c>
      <c r="E432" s="3">
        <v>98034</v>
      </c>
      <c r="F432" s="4" t="s">
        <v>401</v>
      </c>
      <c r="G432" s="2" t="s">
        <v>1177</v>
      </c>
      <c r="H432" s="2" t="s">
        <v>1178</v>
      </c>
      <c r="I432" s="2" t="s">
        <v>212</v>
      </c>
      <c r="J432" s="2" t="s">
        <v>213</v>
      </c>
      <c r="K432" s="4" t="s">
        <v>1187</v>
      </c>
      <c r="L432" s="4" t="s">
        <v>27</v>
      </c>
      <c r="M432" s="4" t="s">
        <v>198</v>
      </c>
      <c r="N432" s="5">
        <v>104337488</v>
      </c>
      <c r="O432" s="2" t="s">
        <v>171</v>
      </c>
      <c r="P432" s="2" t="s">
        <v>37</v>
      </c>
      <c r="Q432" s="4" t="s">
        <v>733</v>
      </c>
    </row>
    <row r="433" spans="1:17" hidden="1" x14ac:dyDescent="0.2">
      <c r="A433" s="2" t="s">
        <v>1198</v>
      </c>
      <c r="B433" s="2" t="s">
        <v>33</v>
      </c>
      <c r="C433" s="2" t="s">
        <v>669</v>
      </c>
      <c r="D433" s="2" t="s">
        <v>20</v>
      </c>
      <c r="E433" s="3">
        <v>98053</v>
      </c>
      <c r="F433" s="4" t="s">
        <v>401</v>
      </c>
      <c r="G433" s="2" t="s">
        <v>1177</v>
      </c>
      <c r="H433" s="2" t="s">
        <v>1178</v>
      </c>
      <c r="I433" s="2" t="s">
        <v>212</v>
      </c>
      <c r="J433" s="2" t="s">
        <v>213</v>
      </c>
      <c r="K433" s="4" t="s">
        <v>1187</v>
      </c>
      <c r="L433" s="4" t="s">
        <v>27</v>
      </c>
      <c r="M433" s="4" t="s">
        <v>198</v>
      </c>
      <c r="N433" s="5">
        <v>102774108</v>
      </c>
      <c r="O433" s="2" t="s">
        <v>1002</v>
      </c>
      <c r="P433" s="2" t="s">
        <v>37</v>
      </c>
      <c r="Q433" s="4" t="s">
        <v>1003</v>
      </c>
    </row>
    <row r="434" spans="1:17" hidden="1" x14ac:dyDescent="0.2">
      <c r="A434" s="2" t="s">
        <v>1199</v>
      </c>
      <c r="B434" s="2" t="s">
        <v>33</v>
      </c>
      <c r="C434" s="2" t="s">
        <v>669</v>
      </c>
      <c r="D434" s="2" t="s">
        <v>20</v>
      </c>
      <c r="E434" s="3">
        <v>98052</v>
      </c>
      <c r="F434" s="4" t="s">
        <v>42</v>
      </c>
      <c r="G434" s="2" t="s">
        <v>1177</v>
      </c>
      <c r="H434" s="2" t="s">
        <v>1178</v>
      </c>
      <c r="I434" s="2" t="s">
        <v>212</v>
      </c>
      <c r="J434" s="2" t="s">
        <v>298</v>
      </c>
      <c r="K434" s="4" t="s">
        <v>27</v>
      </c>
      <c r="L434" s="4" t="s">
        <v>27</v>
      </c>
      <c r="M434" s="4" t="s">
        <v>147</v>
      </c>
      <c r="N434" s="5">
        <v>138861684</v>
      </c>
      <c r="O434" s="2" t="s">
        <v>670</v>
      </c>
      <c r="P434" s="2" t="s">
        <v>37</v>
      </c>
      <c r="Q434" s="4" t="s">
        <v>684</v>
      </c>
    </row>
    <row r="435" spans="1:17" hidden="1" x14ac:dyDescent="0.2">
      <c r="A435" s="2" t="s">
        <v>1199</v>
      </c>
      <c r="B435" s="2" t="s">
        <v>33</v>
      </c>
      <c r="C435" s="2" t="s">
        <v>492</v>
      </c>
      <c r="D435" s="2" t="s">
        <v>20</v>
      </c>
      <c r="E435" s="3">
        <v>98065</v>
      </c>
      <c r="F435" s="4" t="s">
        <v>42</v>
      </c>
      <c r="G435" s="2" t="s">
        <v>1177</v>
      </c>
      <c r="H435" s="2" t="s">
        <v>1178</v>
      </c>
      <c r="I435" s="2" t="s">
        <v>212</v>
      </c>
      <c r="J435" s="2" t="s">
        <v>298</v>
      </c>
      <c r="K435" s="4" t="s">
        <v>27</v>
      </c>
      <c r="L435" s="4" t="s">
        <v>27</v>
      </c>
      <c r="M435" s="4" t="s">
        <v>35</v>
      </c>
      <c r="N435" s="5">
        <v>152092776</v>
      </c>
      <c r="O435" s="2" t="s">
        <v>493</v>
      </c>
      <c r="P435" s="2" t="s">
        <v>37</v>
      </c>
      <c r="Q435" s="4" t="s">
        <v>494</v>
      </c>
    </row>
    <row r="436" spans="1:17" hidden="1" x14ac:dyDescent="0.2">
      <c r="A436" s="2" t="s">
        <v>1199</v>
      </c>
      <c r="B436" s="2" t="s">
        <v>33</v>
      </c>
      <c r="C436" s="2" t="s">
        <v>83</v>
      </c>
      <c r="D436" s="2" t="s">
        <v>20</v>
      </c>
      <c r="E436" s="3">
        <v>98177</v>
      </c>
      <c r="F436" s="4" t="s">
        <v>42</v>
      </c>
      <c r="G436" s="2" t="s">
        <v>1177</v>
      </c>
      <c r="H436" s="2" t="s">
        <v>1178</v>
      </c>
      <c r="I436" s="2" t="s">
        <v>212</v>
      </c>
      <c r="J436" s="2" t="s">
        <v>298</v>
      </c>
      <c r="K436" s="4" t="s">
        <v>27</v>
      </c>
      <c r="L436" s="4" t="s">
        <v>27</v>
      </c>
      <c r="M436" s="4" t="s">
        <v>84</v>
      </c>
      <c r="N436" s="5">
        <v>185831278</v>
      </c>
      <c r="O436" s="2" t="s">
        <v>85</v>
      </c>
      <c r="P436" s="2" t="s">
        <v>86</v>
      </c>
      <c r="Q436" s="4" t="s">
        <v>87</v>
      </c>
    </row>
    <row r="437" spans="1:17" hidden="1" x14ac:dyDescent="0.2">
      <c r="A437" s="2" t="s">
        <v>1200</v>
      </c>
      <c r="B437" s="2" t="s">
        <v>33</v>
      </c>
      <c r="C437" s="2" t="s">
        <v>169</v>
      </c>
      <c r="D437" s="2" t="s">
        <v>20</v>
      </c>
      <c r="E437" s="3">
        <v>98033</v>
      </c>
      <c r="F437" s="4" t="s">
        <v>57</v>
      </c>
      <c r="G437" s="2" t="s">
        <v>1177</v>
      </c>
      <c r="H437" s="2" t="s">
        <v>1178</v>
      </c>
      <c r="I437" s="2" t="s">
        <v>212</v>
      </c>
      <c r="J437" s="2" t="s">
        <v>298</v>
      </c>
      <c r="K437" s="4" t="s">
        <v>27</v>
      </c>
      <c r="L437" s="4" t="s">
        <v>27</v>
      </c>
      <c r="M437" s="4" t="s">
        <v>147</v>
      </c>
      <c r="N437" s="5">
        <v>182718560</v>
      </c>
      <c r="O437" s="2" t="s">
        <v>204</v>
      </c>
      <c r="P437" s="2" t="s">
        <v>37</v>
      </c>
      <c r="Q437" s="4" t="s">
        <v>1201</v>
      </c>
    </row>
    <row r="438" spans="1:17" hidden="1" x14ac:dyDescent="0.2">
      <c r="A438" s="2" t="s">
        <v>1200</v>
      </c>
      <c r="B438" s="2" t="s">
        <v>33</v>
      </c>
      <c r="C438" s="2" t="s">
        <v>83</v>
      </c>
      <c r="D438" s="2" t="s">
        <v>20</v>
      </c>
      <c r="E438" s="3">
        <v>98199</v>
      </c>
      <c r="F438" s="4" t="s">
        <v>57</v>
      </c>
      <c r="G438" s="2" t="s">
        <v>1177</v>
      </c>
      <c r="H438" s="2" t="s">
        <v>1178</v>
      </c>
      <c r="I438" s="2" t="s">
        <v>212</v>
      </c>
      <c r="J438" s="2" t="s">
        <v>298</v>
      </c>
      <c r="K438" s="4" t="s">
        <v>27</v>
      </c>
      <c r="L438" s="4" t="s">
        <v>27</v>
      </c>
      <c r="M438" s="4" t="s">
        <v>84</v>
      </c>
      <c r="N438" s="5">
        <v>186310757</v>
      </c>
      <c r="O438" s="2" t="s">
        <v>380</v>
      </c>
      <c r="P438" s="2" t="s">
        <v>86</v>
      </c>
      <c r="Q438" s="4" t="s">
        <v>381</v>
      </c>
    </row>
    <row r="439" spans="1:17" hidden="1" x14ac:dyDescent="0.2">
      <c r="A439" s="2" t="s">
        <v>1202</v>
      </c>
      <c r="B439" s="2" t="s">
        <v>33</v>
      </c>
      <c r="C439" s="2" t="s">
        <v>83</v>
      </c>
      <c r="D439" s="2" t="s">
        <v>20</v>
      </c>
      <c r="E439" s="3">
        <v>98115</v>
      </c>
      <c r="F439" s="4" t="s">
        <v>21</v>
      </c>
      <c r="G439" s="2" t="s">
        <v>1177</v>
      </c>
      <c r="H439" s="2" t="s">
        <v>1178</v>
      </c>
      <c r="I439" s="2" t="s">
        <v>212</v>
      </c>
      <c r="J439" s="2" t="s">
        <v>298</v>
      </c>
      <c r="K439" s="4" t="s">
        <v>27</v>
      </c>
      <c r="L439" s="4" t="s">
        <v>27</v>
      </c>
      <c r="M439" s="4" t="s">
        <v>278</v>
      </c>
      <c r="N439" s="5">
        <v>256047606</v>
      </c>
      <c r="O439" s="2" t="s">
        <v>828</v>
      </c>
      <c r="P439" s="2" t="s">
        <v>86</v>
      </c>
      <c r="Q439" s="4" t="s">
        <v>1203</v>
      </c>
    </row>
    <row r="440" spans="1:17" hidden="1" x14ac:dyDescent="0.2">
      <c r="A440" s="2" t="s">
        <v>1202</v>
      </c>
      <c r="B440" s="2" t="s">
        <v>33</v>
      </c>
      <c r="C440" s="2" t="s">
        <v>1204</v>
      </c>
      <c r="D440" s="2" t="s">
        <v>20</v>
      </c>
      <c r="E440" s="3">
        <v>98188</v>
      </c>
      <c r="F440" s="4" t="s">
        <v>21</v>
      </c>
      <c r="G440" s="2" t="s">
        <v>1177</v>
      </c>
      <c r="H440" s="2" t="s">
        <v>1178</v>
      </c>
      <c r="I440" s="2" t="s">
        <v>212</v>
      </c>
      <c r="J440" s="2" t="s">
        <v>298</v>
      </c>
      <c r="K440" s="4" t="s">
        <v>27</v>
      </c>
      <c r="L440" s="4" t="s">
        <v>27</v>
      </c>
      <c r="M440" s="4" t="s">
        <v>909</v>
      </c>
      <c r="N440" s="5">
        <v>240082412</v>
      </c>
      <c r="O440" s="2" t="s">
        <v>1205</v>
      </c>
      <c r="P440" s="2" t="s">
        <v>37</v>
      </c>
      <c r="Q440" s="4" t="s">
        <v>1206</v>
      </c>
    </row>
    <row r="441" spans="1:17" hidden="1" x14ac:dyDescent="0.2">
      <c r="A441" s="2" t="s">
        <v>1202</v>
      </c>
      <c r="B441" s="2" t="s">
        <v>33</v>
      </c>
      <c r="C441" s="2" t="s">
        <v>146</v>
      </c>
      <c r="D441" s="2" t="s">
        <v>20</v>
      </c>
      <c r="E441" s="3">
        <v>98008</v>
      </c>
      <c r="F441" s="4" t="s">
        <v>21</v>
      </c>
      <c r="G441" s="2" t="s">
        <v>1177</v>
      </c>
      <c r="H441" s="2" t="s">
        <v>1178</v>
      </c>
      <c r="I441" s="2" t="s">
        <v>212</v>
      </c>
      <c r="J441" s="2" t="s">
        <v>298</v>
      </c>
      <c r="K441" s="4" t="s">
        <v>27</v>
      </c>
      <c r="L441" s="4" t="s">
        <v>27</v>
      </c>
      <c r="M441" s="4" t="s">
        <v>147</v>
      </c>
      <c r="N441" s="5">
        <v>259107306</v>
      </c>
      <c r="O441" s="2" t="s">
        <v>537</v>
      </c>
      <c r="P441" s="2" t="s">
        <v>37</v>
      </c>
      <c r="Q441" s="4" t="s">
        <v>1207</v>
      </c>
    </row>
    <row r="442" spans="1:17" hidden="1" x14ac:dyDescent="0.2">
      <c r="A442" s="2" t="s">
        <v>1202</v>
      </c>
      <c r="B442" s="2" t="s">
        <v>110</v>
      </c>
      <c r="C442" s="2" t="s">
        <v>749</v>
      </c>
      <c r="D442" s="2" t="s">
        <v>20</v>
      </c>
      <c r="E442" s="3">
        <v>98391</v>
      </c>
      <c r="F442" s="4" t="s">
        <v>21</v>
      </c>
      <c r="G442" s="2" t="s">
        <v>1177</v>
      </c>
      <c r="H442" s="2" t="s">
        <v>1178</v>
      </c>
      <c r="I442" s="2" t="s">
        <v>212</v>
      </c>
      <c r="J442" s="2" t="s">
        <v>298</v>
      </c>
      <c r="K442" s="4" t="s">
        <v>27</v>
      </c>
      <c r="L442" s="4" t="s">
        <v>27</v>
      </c>
      <c r="M442" s="4" t="s">
        <v>112</v>
      </c>
      <c r="N442" s="5">
        <v>240771702</v>
      </c>
      <c r="O442" s="2" t="s">
        <v>113</v>
      </c>
      <c r="P442" s="2" t="s">
        <v>37</v>
      </c>
      <c r="Q442" s="4" t="s">
        <v>750</v>
      </c>
    </row>
    <row r="443" spans="1:17" hidden="1" x14ac:dyDescent="0.2">
      <c r="A443" s="2" t="s">
        <v>1208</v>
      </c>
      <c r="B443" s="2" t="s">
        <v>33</v>
      </c>
      <c r="C443" s="2" t="s">
        <v>83</v>
      </c>
      <c r="D443" s="2" t="s">
        <v>20</v>
      </c>
      <c r="E443" s="3">
        <v>98117</v>
      </c>
      <c r="F443" s="4" t="s">
        <v>121</v>
      </c>
      <c r="G443" s="2" t="s">
        <v>1177</v>
      </c>
      <c r="H443" s="2" t="s">
        <v>1178</v>
      </c>
      <c r="I443" s="2" t="s">
        <v>212</v>
      </c>
      <c r="J443" s="2" t="s">
        <v>298</v>
      </c>
      <c r="K443" s="4" t="s">
        <v>27</v>
      </c>
      <c r="L443" s="4" t="s">
        <v>27</v>
      </c>
      <c r="M443" s="4" t="s">
        <v>84</v>
      </c>
      <c r="N443" s="5">
        <v>267360705</v>
      </c>
      <c r="O443" s="2" t="s">
        <v>622</v>
      </c>
      <c r="P443" s="2" t="s">
        <v>86</v>
      </c>
      <c r="Q443" s="4" t="s">
        <v>1209</v>
      </c>
    </row>
    <row r="444" spans="1:17" hidden="1" x14ac:dyDescent="0.2">
      <c r="A444" s="2" t="s">
        <v>1210</v>
      </c>
      <c r="B444" s="2" t="s">
        <v>18</v>
      </c>
      <c r="C444" s="2" t="s">
        <v>100</v>
      </c>
      <c r="D444" s="2" t="s">
        <v>20</v>
      </c>
      <c r="E444" s="3">
        <v>98366</v>
      </c>
      <c r="F444" s="4" t="s">
        <v>130</v>
      </c>
      <c r="G444" s="2" t="s">
        <v>1177</v>
      </c>
      <c r="H444" s="2" t="s">
        <v>1178</v>
      </c>
      <c r="I444" s="2" t="s">
        <v>212</v>
      </c>
      <c r="J444" s="2" t="s">
        <v>298</v>
      </c>
      <c r="K444" s="4" t="s">
        <v>27</v>
      </c>
      <c r="L444" s="4" t="s">
        <v>27</v>
      </c>
      <c r="M444" s="4" t="s">
        <v>101</v>
      </c>
      <c r="N444" s="5">
        <v>282471486</v>
      </c>
      <c r="O444" s="2" t="s">
        <v>102</v>
      </c>
      <c r="P444" s="2" t="s">
        <v>30</v>
      </c>
      <c r="Q444" s="4" t="s">
        <v>638</v>
      </c>
    </row>
    <row r="445" spans="1:17" hidden="1" x14ac:dyDescent="0.2">
      <c r="A445" s="2" t="s">
        <v>1210</v>
      </c>
      <c r="B445" s="2" t="s">
        <v>33</v>
      </c>
      <c r="C445" s="2" t="s">
        <v>83</v>
      </c>
      <c r="D445" s="2" t="s">
        <v>20</v>
      </c>
      <c r="E445" s="3">
        <v>98119</v>
      </c>
      <c r="F445" s="4" t="s">
        <v>130</v>
      </c>
      <c r="G445" s="2" t="s">
        <v>1177</v>
      </c>
      <c r="H445" s="2" t="s">
        <v>1178</v>
      </c>
      <c r="I445" s="2" t="s">
        <v>212</v>
      </c>
      <c r="J445" s="2" t="s">
        <v>298</v>
      </c>
      <c r="K445" s="4" t="s">
        <v>27</v>
      </c>
      <c r="L445" s="4" t="s">
        <v>27</v>
      </c>
      <c r="M445" s="4" t="s">
        <v>84</v>
      </c>
      <c r="N445" s="5">
        <v>280251065</v>
      </c>
      <c r="O445" s="2" t="s">
        <v>650</v>
      </c>
      <c r="P445" s="2" t="s">
        <v>86</v>
      </c>
      <c r="Q445" s="4" t="s">
        <v>1211</v>
      </c>
    </row>
    <row r="446" spans="1:17" hidden="1" x14ac:dyDescent="0.2">
      <c r="A446" s="2" t="s">
        <v>1210</v>
      </c>
      <c r="B446" s="2" t="s">
        <v>33</v>
      </c>
      <c r="C446" s="2" t="s">
        <v>83</v>
      </c>
      <c r="D446" s="2" t="s">
        <v>20</v>
      </c>
      <c r="E446" s="3">
        <v>98144</v>
      </c>
      <c r="F446" s="4" t="s">
        <v>130</v>
      </c>
      <c r="G446" s="2" t="s">
        <v>1177</v>
      </c>
      <c r="H446" s="2" t="s">
        <v>1178</v>
      </c>
      <c r="I446" s="2" t="s">
        <v>212</v>
      </c>
      <c r="J446" s="2" t="s">
        <v>298</v>
      </c>
      <c r="K446" s="4" t="s">
        <v>27</v>
      </c>
      <c r="L446" s="4" t="s">
        <v>27</v>
      </c>
      <c r="M446" s="4" t="s">
        <v>140</v>
      </c>
      <c r="N446" s="5">
        <v>275818784</v>
      </c>
      <c r="O446" s="2" t="s">
        <v>867</v>
      </c>
      <c r="P446" s="2" t="s">
        <v>86</v>
      </c>
      <c r="Q446" s="4" t="s">
        <v>868</v>
      </c>
    </row>
    <row r="447" spans="1:17" hidden="1" x14ac:dyDescent="0.2">
      <c r="A447" s="2" t="s">
        <v>1212</v>
      </c>
      <c r="B447" s="2" t="s">
        <v>151</v>
      </c>
      <c r="C447" s="2" t="s">
        <v>152</v>
      </c>
      <c r="D447" s="2" t="s">
        <v>20</v>
      </c>
      <c r="E447" s="3">
        <v>98513</v>
      </c>
      <c r="F447" s="4" t="s">
        <v>371</v>
      </c>
      <c r="G447" s="2" t="s">
        <v>1177</v>
      </c>
      <c r="H447" s="2" t="s">
        <v>1178</v>
      </c>
      <c r="I447" s="2" t="s">
        <v>212</v>
      </c>
      <c r="J447" s="2" t="s">
        <v>213</v>
      </c>
      <c r="K447" s="4" t="s">
        <v>815</v>
      </c>
      <c r="L447" s="4" t="s">
        <v>27</v>
      </c>
      <c r="M447" s="4" t="s">
        <v>79</v>
      </c>
      <c r="N447" s="5">
        <v>301821649</v>
      </c>
      <c r="O447" s="2" t="s">
        <v>657</v>
      </c>
      <c r="P447" s="2" t="s">
        <v>30</v>
      </c>
      <c r="Q447" s="4" t="s">
        <v>960</v>
      </c>
    </row>
    <row r="448" spans="1:17" hidden="1" x14ac:dyDescent="0.2">
      <c r="A448" s="2" t="s">
        <v>1213</v>
      </c>
      <c r="B448" s="2" t="s">
        <v>40</v>
      </c>
      <c r="C448" s="2" t="s">
        <v>89</v>
      </c>
      <c r="D448" s="2" t="s">
        <v>20</v>
      </c>
      <c r="E448" s="3">
        <v>98012</v>
      </c>
      <c r="F448" s="4" t="s">
        <v>408</v>
      </c>
      <c r="G448" s="2" t="s">
        <v>1177</v>
      </c>
      <c r="H448" s="2" t="s">
        <v>1178</v>
      </c>
      <c r="I448" s="2" t="s">
        <v>212</v>
      </c>
      <c r="J448" s="2" t="s">
        <v>213</v>
      </c>
      <c r="K448" s="4" t="s">
        <v>1184</v>
      </c>
      <c r="L448" s="4" t="s">
        <v>27</v>
      </c>
      <c r="M448" s="4" t="s">
        <v>170</v>
      </c>
      <c r="N448" s="5">
        <v>291549884</v>
      </c>
      <c r="O448" s="2" t="s">
        <v>91</v>
      </c>
      <c r="P448" s="2" t="s">
        <v>30</v>
      </c>
      <c r="Q448" s="4" t="s">
        <v>1214</v>
      </c>
    </row>
    <row r="449" spans="1:17" hidden="1" x14ac:dyDescent="0.2">
      <c r="A449" s="2" t="s">
        <v>1215</v>
      </c>
      <c r="B449" s="2" t="s">
        <v>40</v>
      </c>
      <c r="C449" s="2" t="s">
        <v>89</v>
      </c>
      <c r="D449" s="2" t="s">
        <v>20</v>
      </c>
      <c r="E449" s="3">
        <v>98012</v>
      </c>
      <c r="F449" s="4" t="s">
        <v>401</v>
      </c>
      <c r="G449" s="2" t="s">
        <v>1177</v>
      </c>
      <c r="H449" s="2" t="s">
        <v>1178</v>
      </c>
      <c r="I449" s="2" t="s">
        <v>212</v>
      </c>
      <c r="J449" s="2" t="s">
        <v>213</v>
      </c>
      <c r="K449" s="4" t="s">
        <v>1187</v>
      </c>
      <c r="L449" s="4" t="s">
        <v>27</v>
      </c>
      <c r="M449" s="4" t="s">
        <v>170</v>
      </c>
      <c r="N449" s="5">
        <v>3498603</v>
      </c>
      <c r="O449" s="2" t="s">
        <v>91</v>
      </c>
      <c r="P449" s="2" t="s">
        <v>30</v>
      </c>
      <c r="Q449" s="4" t="s">
        <v>345</v>
      </c>
    </row>
    <row r="450" spans="1:17" hidden="1" x14ac:dyDescent="0.2">
      <c r="A450" s="2" t="s">
        <v>1215</v>
      </c>
      <c r="B450" s="2" t="s">
        <v>40</v>
      </c>
      <c r="C450" s="2" t="s">
        <v>89</v>
      </c>
      <c r="D450" s="2" t="s">
        <v>20</v>
      </c>
      <c r="E450" s="3">
        <v>98012</v>
      </c>
      <c r="F450" s="4" t="s">
        <v>401</v>
      </c>
      <c r="G450" s="2" t="s">
        <v>1177</v>
      </c>
      <c r="H450" s="2" t="s">
        <v>1178</v>
      </c>
      <c r="I450" s="2" t="s">
        <v>212</v>
      </c>
      <c r="J450" s="2" t="s">
        <v>213</v>
      </c>
      <c r="K450" s="4" t="s">
        <v>1187</v>
      </c>
      <c r="L450" s="4" t="s">
        <v>27</v>
      </c>
      <c r="M450" s="4" t="s">
        <v>170</v>
      </c>
      <c r="N450" s="5">
        <v>112035724</v>
      </c>
      <c r="O450" s="2" t="s">
        <v>91</v>
      </c>
      <c r="P450" s="2" t="s">
        <v>30</v>
      </c>
      <c r="Q450" s="4" t="s">
        <v>1216</v>
      </c>
    </row>
    <row r="451" spans="1:17" hidden="1" x14ac:dyDescent="0.2">
      <c r="A451" s="2" t="s">
        <v>1215</v>
      </c>
      <c r="B451" s="2" t="s">
        <v>33</v>
      </c>
      <c r="C451" s="2" t="s">
        <v>83</v>
      </c>
      <c r="D451" s="2" t="s">
        <v>20</v>
      </c>
      <c r="E451" s="3">
        <v>98199</v>
      </c>
      <c r="F451" s="4" t="s">
        <v>401</v>
      </c>
      <c r="G451" s="2" t="s">
        <v>1177</v>
      </c>
      <c r="H451" s="2" t="s">
        <v>1178</v>
      </c>
      <c r="I451" s="2" t="s">
        <v>212</v>
      </c>
      <c r="J451" s="2" t="s">
        <v>213</v>
      </c>
      <c r="K451" s="4" t="s">
        <v>1187</v>
      </c>
      <c r="L451" s="4" t="s">
        <v>27</v>
      </c>
      <c r="M451" s="4" t="s">
        <v>84</v>
      </c>
      <c r="N451" s="5">
        <v>2851628</v>
      </c>
      <c r="O451" s="2" t="s">
        <v>380</v>
      </c>
      <c r="P451" s="2" t="s">
        <v>86</v>
      </c>
      <c r="Q451" s="4" t="s">
        <v>413</v>
      </c>
    </row>
    <row r="452" spans="1:17" hidden="1" x14ac:dyDescent="0.2">
      <c r="A452" s="2" t="s">
        <v>1215</v>
      </c>
      <c r="B452" s="2" t="s">
        <v>33</v>
      </c>
      <c r="C452" s="2" t="s">
        <v>146</v>
      </c>
      <c r="D452" s="2" t="s">
        <v>20</v>
      </c>
      <c r="E452" s="3">
        <v>98004</v>
      </c>
      <c r="F452" s="4" t="s">
        <v>401</v>
      </c>
      <c r="G452" s="2" t="s">
        <v>1177</v>
      </c>
      <c r="H452" s="2" t="s">
        <v>1178</v>
      </c>
      <c r="I452" s="2" t="s">
        <v>212</v>
      </c>
      <c r="J452" s="2" t="s">
        <v>213</v>
      </c>
      <c r="K452" s="4" t="s">
        <v>1187</v>
      </c>
      <c r="L452" s="4" t="s">
        <v>27</v>
      </c>
      <c r="M452" s="4" t="s">
        <v>147</v>
      </c>
      <c r="N452" s="5">
        <v>3553651</v>
      </c>
      <c r="O452" s="2" t="s">
        <v>148</v>
      </c>
      <c r="P452" s="2" t="s">
        <v>37</v>
      </c>
      <c r="Q452" s="4" t="s">
        <v>606</v>
      </c>
    </row>
    <row r="453" spans="1:17" hidden="1" x14ac:dyDescent="0.2">
      <c r="A453" s="2" t="s">
        <v>1217</v>
      </c>
      <c r="B453" s="2" t="s">
        <v>33</v>
      </c>
      <c r="C453" s="2" t="s">
        <v>83</v>
      </c>
      <c r="D453" s="2" t="s">
        <v>20</v>
      </c>
      <c r="E453" s="3">
        <v>98109</v>
      </c>
      <c r="F453" s="4" t="s">
        <v>21</v>
      </c>
      <c r="G453" s="2" t="s">
        <v>1177</v>
      </c>
      <c r="H453" s="2" t="s">
        <v>1178</v>
      </c>
      <c r="I453" s="2" t="s">
        <v>212</v>
      </c>
      <c r="J453" s="2" t="s">
        <v>298</v>
      </c>
      <c r="K453" s="4" t="s">
        <v>27</v>
      </c>
      <c r="L453" s="4" t="s">
        <v>27</v>
      </c>
      <c r="M453" s="4" t="s">
        <v>84</v>
      </c>
      <c r="N453" s="5">
        <v>261275395</v>
      </c>
      <c r="O453" s="2" t="s">
        <v>437</v>
      </c>
      <c r="P453" s="2" t="s">
        <v>86</v>
      </c>
      <c r="Q453" s="4" t="s">
        <v>1218</v>
      </c>
    </row>
    <row r="454" spans="1:17" hidden="1" x14ac:dyDescent="0.2">
      <c r="A454" s="2" t="s">
        <v>1219</v>
      </c>
      <c r="B454" s="2" t="s">
        <v>110</v>
      </c>
      <c r="C454" s="2" t="s">
        <v>1220</v>
      </c>
      <c r="D454" s="2" t="s">
        <v>20</v>
      </c>
      <c r="E454" s="3">
        <v>98321</v>
      </c>
      <c r="F454" s="4" t="s">
        <v>121</v>
      </c>
      <c r="G454" s="2" t="s">
        <v>1177</v>
      </c>
      <c r="H454" s="2" t="s">
        <v>1178</v>
      </c>
      <c r="I454" s="2" t="s">
        <v>212</v>
      </c>
      <c r="J454" s="2" t="s">
        <v>298</v>
      </c>
      <c r="K454" s="4" t="s">
        <v>27</v>
      </c>
      <c r="L454" s="4" t="s">
        <v>27</v>
      </c>
      <c r="M454" s="4" t="s">
        <v>112</v>
      </c>
      <c r="N454" s="5">
        <v>272805116</v>
      </c>
      <c r="O454" s="2" t="s">
        <v>1221</v>
      </c>
      <c r="P454" s="2" t="s">
        <v>37</v>
      </c>
      <c r="Q454" s="4" t="s">
        <v>1222</v>
      </c>
    </row>
    <row r="455" spans="1:17" hidden="1" x14ac:dyDescent="0.2">
      <c r="A455" s="2" t="s">
        <v>1219</v>
      </c>
      <c r="B455" s="2" t="s">
        <v>33</v>
      </c>
      <c r="C455" s="2" t="s">
        <v>83</v>
      </c>
      <c r="D455" s="2" t="s">
        <v>20</v>
      </c>
      <c r="E455" s="3">
        <v>98126</v>
      </c>
      <c r="F455" s="4" t="s">
        <v>121</v>
      </c>
      <c r="G455" s="2" t="s">
        <v>1177</v>
      </c>
      <c r="H455" s="2" t="s">
        <v>1178</v>
      </c>
      <c r="I455" s="2" t="s">
        <v>212</v>
      </c>
      <c r="J455" s="2" t="s">
        <v>298</v>
      </c>
      <c r="K455" s="4" t="s">
        <v>27</v>
      </c>
      <c r="L455" s="4" t="s">
        <v>27</v>
      </c>
      <c r="M455" s="4" t="s">
        <v>319</v>
      </c>
      <c r="N455" s="5">
        <v>271806860</v>
      </c>
      <c r="O455" s="2" t="s">
        <v>440</v>
      </c>
      <c r="P455" s="2" t="s">
        <v>86</v>
      </c>
      <c r="Q455" s="4" t="s">
        <v>1035</v>
      </c>
    </row>
    <row r="456" spans="1:17" hidden="1" x14ac:dyDescent="0.2">
      <c r="A456" s="2" t="s">
        <v>1223</v>
      </c>
      <c r="B456" s="2" t="s">
        <v>33</v>
      </c>
      <c r="C456" s="2" t="s">
        <v>83</v>
      </c>
      <c r="D456" s="2" t="s">
        <v>20</v>
      </c>
      <c r="E456" s="3">
        <v>98104</v>
      </c>
      <c r="F456" s="4" t="s">
        <v>130</v>
      </c>
      <c r="G456" s="2" t="s">
        <v>1177</v>
      </c>
      <c r="H456" s="2" t="s">
        <v>1178</v>
      </c>
      <c r="I456" s="2" t="s">
        <v>212</v>
      </c>
      <c r="J456" s="2" t="s">
        <v>298</v>
      </c>
      <c r="K456" s="4" t="s">
        <v>27</v>
      </c>
      <c r="L456" s="4" t="s">
        <v>27</v>
      </c>
      <c r="M456" s="4" t="s">
        <v>284</v>
      </c>
      <c r="N456" s="5">
        <v>277741803</v>
      </c>
      <c r="O456" s="2" t="s">
        <v>1224</v>
      </c>
      <c r="P456" s="2" t="s">
        <v>86</v>
      </c>
      <c r="Q456" s="4" t="s">
        <v>1225</v>
      </c>
    </row>
    <row r="457" spans="1:17" hidden="1" x14ac:dyDescent="0.2">
      <c r="A457" s="2" t="s">
        <v>1226</v>
      </c>
      <c r="B457" s="2" t="s">
        <v>18</v>
      </c>
      <c r="C457" s="2" t="s">
        <v>234</v>
      </c>
      <c r="D457" s="2" t="s">
        <v>20</v>
      </c>
      <c r="E457" s="3">
        <v>98110</v>
      </c>
      <c r="F457" s="4" t="s">
        <v>371</v>
      </c>
      <c r="G457" s="2" t="s">
        <v>1177</v>
      </c>
      <c r="H457" s="2" t="s">
        <v>1178</v>
      </c>
      <c r="I457" s="2" t="s">
        <v>212</v>
      </c>
      <c r="J457" s="2" t="s">
        <v>213</v>
      </c>
      <c r="K457" s="4" t="s">
        <v>815</v>
      </c>
      <c r="L457" s="4" t="s">
        <v>27</v>
      </c>
      <c r="M457" s="4" t="s">
        <v>28</v>
      </c>
      <c r="N457" s="5">
        <v>295732972</v>
      </c>
      <c r="O457" s="2" t="s">
        <v>235</v>
      </c>
      <c r="P457" s="2" t="s">
        <v>30</v>
      </c>
      <c r="Q457" s="4" t="s">
        <v>236</v>
      </c>
    </row>
    <row r="458" spans="1:17" hidden="1" x14ac:dyDescent="0.2">
      <c r="A458" s="2" t="s">
        <v>1227</v>
      </c>
      <c r="B458" s="2" t="s">
        <v>151</v>
      </c>
      <c r="C458" s="2" t="s">
        <v>152</v>
      </c>
      <c r="D458" s="2" t="s">
        <v>20</v>
      </c>
      <c r="E458" s="3">
        <v>98502</v>
      </c>
      <c r="F458" s="4" t="s">
        <v>408</v>
      </c>
      <c r="G458" s="2" t="s">
        <v>1177</v>
      </c>
      <c r="H458" s="2" t="s">
        <v>1178</v>
      </c>
      <c r="I458" s="2" t="s">
        <v>212</v>
      </c>
      <c r="J458" s="2" t="s">
        <v>213</v>
      </c>
      <c r="K458" s="4" t="s">
        <v>1184</v>
      </c>
      <c r="L458" s="4" t="s">
        <v>27</v>
      </c>
      <c r="M458" s="4" t="s">
        <v>255</v>
      </c>
      <c r="N458" s="5">
        <v>298828463</v>
      </c>
      <c r="O458" s="2" t="s">
        <v>337</v>
      </c>
      <c r="P458" s="2" t="s">
        <v>30</v>
      </c>
      <c r="Q458" s="4" t="s">
        <v>570</v>
      </c>
    </row>
    <row r="459" spans="1:17" hidden="1" x14ac:dyDescent="0.2">
      <c r="A459" s="2" t="s">
        <v>1227</v>
      </c>
      <c r="B459" s="2" t="s">
        <v>18</v>
      </c>
      <c r="C459" s="2" t="s">
        <v>218</v>
      </c>
      <c r="D459" s="2" t="s">
        <v>20</v>
      </c>
      <c r="E459" s="3">
        <v>98311</v>
      </c>
      <c r="F459" s="4" t="s">
        <v>408</v>
      </c>
      <c r="G459" s="2" t="s">
        <v>1177</v>
      </c>
      <c r="H459" s="2" t="s">
        <v>1178</v>
      </c>
      <c r="I459" s="2" t="s">
        <v>212</v>
      </c>
      <c r="J459" s="2" t="s">
        <v>213</v>
      </c>
      <c r="K459" s="4" t="s">
        <v>1184</v>
      </c>
      <c r="L459" s="4" t="s">
        <v>27</v>
      </c>
      <c r="M459" s="4" t="s">
        <v>28</v>
      </c>
      <c r="N459" s="5">
        <v>478140960</v>
      </c>
      <c r="O459" s="2" t="s">
        <v>222</v>
      </c>
      <c r="P459" s="2" t="s">
        <v>30</v>
      </c>
      <c r="Q459" s="4" t="s">
        <v>1228</v>
      </c>
    </row>
    <row r="460" spans="1:17" hidden="1" x14ac:dyDescent="0.2">
      <c r="A460" s="2" t="s">
        <v>1227</v>
      </c>
      <c r="B460" s="2" t="s">
        <v>33</v>
      </c>
      <c r="C460" s="2" t="s">
        <v>89</v>
      </c>
      <c r="D460" s="2" t="s">
        <v>20</v>
      </c>
      <c r="E460" s="3">
        <v>98072</v>
      </c>
      <c r="F460" s="4" t="s">
        <v>408</v>
      </c>
      <c r="G460" s="2" t="s">
        <v>1177</v>
      </c>
      <c r="H460" s="2" t="s">
        <v>1178</v>
      </c>
      <c r="I460" s="2" t="s">
        <v>212</v>
      </c>
      <c r="J460" s="2" t="s">
        <v>213</v>
      </c>
      <c r="K460" s="4" t="s">
        <v>1184</v>
      </c>
      <c r="L460" s="4" t="s">
        <v>27</v>
      </c>
      <c r="M460" s="4" t="s">
        <v>170</v>
      </c>
      <c r="N460" s="5">
        <v>240936041</v>
      </c>
      <c r="O460" s="2" t="s">
        <v>199</v>
      </c>
      <c r="P460" s="2" t="s">
        <v>37</v>
      </c>
      <c r="Q460" s="4" t="s">
        <v>1229</v>
      </c>
    </row>
    <row r="461" spans="1:17" hidden="1" x14ac:dyDescent="0.2">
      <c r="A461" s="2" t="s">
        <v>1230</v>
      </c>
      <c r="B461" s="2" t="s">
        <v>55</v>
      </c>
      <c r="C461" s="2" t="s">
        <v>63</v>
      </c>
      <c r="D461" s="2" t="s">
        <v>20</v>
      </c>
      <c r="E461" s="3">
        <v>98662</v>
      </c>
      <c r="F461" s="4" t="s">
        <v>42</v>
      </c>
      <c r="G461" s="2" t="s">
        <v>1177</v>
      </c>
      <c r="H461" s="2" t="s">
        <v>1178</v>
      </c>
      <c r="I461" s="2" t="s">
        <v>212</v>
      </c>
      <c r="J461" s="2" t="s">
        <v>298</v>
      </c>
      <c r="K461" s="4" t="s">
        <v>27</v>
      </c>
      <c r="L461" s="4" t="s">
        <v>27</v>
      </c>
      <c r="M461" s="4" t="s">
        <v>191</v>
      </c>
      <c r="N461" s="5">
        <v>151648409</v>
      </c>
      <c r="O461" s="2" t="s">
        <v>192</v>
      </c>
      <c r="P461" s="2" t="s">
        <v>60</v>
      </c>
      <c r="Q461" s="4" t="s">
        <v>608</v>
      </c>
    </row>
    <row r="462" spans="1:17" hidden="1" x14ac:dyDescent="0.2">
      <c r="A462" s="2" t="s">
        <v>1231</v>
      </c>
      <c r="B462" s="2" t="s">
        <v>40</v>
      </c>
      <c r="C462" s="2" t="s">
        <v>89</v>
      </c>
      <c r="D462" s="2" t="s">
        <v>20</v>
      </c>
      <c r="E462" s="3">
        <v>98012</v>
      </c>
      <c r="F462" s="4" t="s">
        <v>57</v>
      </c>
      <c r="G462" s="2" t="s">
        <v>1177</v>
      </c>
      <c r="H462" s="2" t="s">
        <v>1178</v>
      </c>
      <c r="I462" s="2" t="s">
        <v>212</v>
      </c>
      <c r="J462" s="2" t="s">
        <v>298</v>
      </c>
      <c r="K462" s="4" t="s">
        <v>27</v>
      </c>
      <c r="L462" s="4" t="s">
        <v>27</v>
      </c>
      <c r="M462" s="4" t="s">
        <v>170</v>
      </c>
      <c r="N462" s="5">
        <v>218083365</v>
      </c>
      <c r="O462" s="2" t="s">
        <v>91</v>
      </c>
      <c r="P462" s="2" t="s">
        <v>30</v>
      </c>
      <c r="Q462" s="4" t="s">
        <v>1214</v>
      </c>
    </row>
    <row r="463" spans="1:17" hidden="1" x14ac:dyDescent="0.2">
      <c r="A463" s="2" t="s">
        <v>1232</v>
      </c>
      <c r="B463" s="2" t="s">
        <v>33</v>
      </c>
      <c r="C463" s="2" t="s">
        <v>451</v>
      </c>
      <c r="D463" s="2" t="s">
        <v>20</v>
      </c>
      <c r="E463" s="3">
        <v>98075</v>
      </c>
      <c r="F463" s="4" t="s">
        <v>21</v>
      </c>
      <c r="G463" s="2" t="s">
        <v>1177</v>
      </c>
      <c r="H463" s="2" t="s">
        <v>1178</v>
      </c>
      <c r="I463" s="2" t="s">
        <v>212</v>
      </c>
      <c r="J463" s="2" t="s">
        <v>298</v>
      </c>
      <c r="K463" s="4" t="s">
        <v>27</v>
      </c>
      <c r="L463" s="4" t="s">
        <v>27</v>
      </c>
      <c r="M463" s="4" t="s">
        <v>403</v>
      </c>
      <c r="N463" s="5">
        <v>240611059</v>
      </c>
      <c r="O463" s="2" t="s">
        <v>452</v>
      </c>
      <c r="P463" s="2" t="s">
        <v>37</v>
      </c>
      <c r="Q463" s="4" t="s">
        <v>782</v>
      </c>
    </row>
    <row r="464" spans="1:17" hidden="1" x14ac:dyDescent="0.2">
      <c r="A464" s="2" t="s">
        <v>1233</v>
      </c>
      <c r="B464" s="2" t="s">
        <v>40</v>
      </c>
      <c r="C464" s="2" t="s">
        <v>73</v>
      </c>
      <c r="D464" s="2" t="s">
        <v>20</v>
      </c>
      <c r="E464" s="3">
        <v>98087</v>
      </c>
      <c r="F464" s="4" t="s">
        <v>121</v>
      </c>
      <c r="G464" s="2" t="s">
        <v>1177</v>
      </c>
      <c r="H464" s="2" t="s">
        <v>1178</v>
      </c>
      <c r="I464" s="2" t="s">
        <v>212</v>
      </c>
      <c r="J464" s="2" t="s">
        <v>298</v>
      </c>
      <c r="K464" s="4" t="s">
        <v>27</v>
      </c>
      <c r="L464" s="4" t="s">
        <v>27</v>
      </c>
      <c r="M464" s="4" t="s">
        <v>26</v>
      </c>
      <c r="N464" s="5">
        <v>271556085</v>
      </c>
      <c r="O464" s="2" t="s">
        <v>496</v>
      </c>
      <c r="P464" s="2" t="s">
        <v>30</v>
      </c>
      <c r="Q464" s="4" t="s">
        <v>972</v>
      </c>
    </row>
    <row r="465" spans="1:17" hidden="1" x14ac:dyDescent="0.2">
      <c r="A465" s="2" t="s">
        <v>1234</v>
      </c>
      <c r="B465" s="2" t="s">
        <v>33</v>
      </c>
      <c r="C465" s="2" t="s">
        <v>83</v>
      </c>
      <c r="D465" s="2" t="s">
        <v>20</v>
      </c>
      <c r="E465" s="3">
        <v>98101</v>
      </c>
      <c r="F465" s="4" t="s">
        <v>130</v>
      </c>
      <c r="G465" s="2" t="s">
        <v>1177</v>
      </c>
      <c r="H465" s="2" t="s">
        <v>1178</v>
      </c>
      <c r="I465" s="2" t="s">
        <v>212</v>
      </c>
      <c r="J465" s="2" t="s">
        <v>298</v>
      </c>
      <c r="K465" s="4" t="s">
        <v>27</v>
      </c>
      <c r="L465" s="4" t="s">
        <v>27</v>
      </c>
      <c r="M465" s="4" t="s">
        <v>436</v>
      </c>
      <c r="N465" s="5">
        <v>281188743</v>
      </c>
      <c r="O465" s="2" t="s">
        <v>1235</v>
      </c>
      <c r="P465" s="2" t="s">
        <v>86</v>
      </c>
      <c r="Q465" s="4" t="s">
        <v>1236</v>
      </c>
    </row>
    <row r="466" spans="1:17" hidden="1" x14ac:dyDescent="0.2">
      <c r="A466" s="2" t="s">
        <v>1234</v>
      </c>
      <c r="B466" s="2" t="s">
        <v>33</v>
      </c>
      <c r="C466" s="2" t="s">
        <v>400</v>
      </c>
      <c r="D466" s="2" t="s">
        <v>20</v>
      </c>
      <c r="E466" s="3">
        <v>98040</v>
      </c>
      <c r="F466" s="4" t="s">
        <v>130</v>
      </c>
      <c r="G466" s="2" t="s">
        <v>1177</v>
      </c>
      <c r="H466" s="2" t="s">
        <v>1178</v>
      </c>
      <c r="I466" s="2" t="s">
        <v>212</v>
      </c>
      <c r="J466" s="2" t="s">
        <v>298</v>
      </c>
      <c r="K466" s="4" t="s">
        <v>27</v>
      </c>
      <c r="L466" s="4" t="s">
        <v>27</v>
      </c>
      <c r="M466" s="4" t="s">
        <v>403</v>
      </c>
      <c r="N466" s="5">
        <v>284097964</v>
      </c>
      <c r="O466" s="2" t="s">
        <v>404</v>
      </c>
      <c r="P466" s="2" t="s">
        <v>37</v>
      </c>
      <c r="Q466" s="4" t="s">
        <v>1237</v>
      </c>
    </row>
    <row r="467" spans="1:17" hidden="1" x14ac:dyDescent="0.2">
      <c r="A467" s="2" t="s">
        <v>1234</v>
      </c>
      <c r="B467" s="2" t="s">
        <v>33</v>
      </c>
      <c r="C467" s="2" t="s">
        <v>186</v>
      </c>
      <c r="D467" s="2" t="s">
        <v>20</v>
      </c>
      <c r="E467" s="3">
        <v>98023</v>
      </c>
      <c r="F467" s="4" t="s">
        <v>130</v>
      </c>
      <c r="G467" s="2" t="s">
        <v>1177</v>
      </c>
      <c r="H467" s="2" t="s">
        <v>1178</v>
      </c>
      <c r="I467" s="2" t="s">
        <v>212</v>
      </c>
      <c r="J467" s="2" t="s">
        <v>298</v>
      </c>
      <c r="K467" s="4" t="s">
        <v>27</v>
      </c>
      <c r="L467" s="4" t="s">
        <v>27</v>
      </c>
      <c r="M467" s="4" t="s">
        <v>187</v>
      </c>
      <c r="N467" s="5">
        <v>282515418</v>
      </c>
      <c r="O467" s="2" t="s">
        <v>188</v>
      </c>
      <c r="P467" s="2" t="s">
        <v>37</v>
      </c>
      <c r="Q467" s="4" t="s">
        <v>1238</v>
      </c>
    </row>
    <row r="468" spans="1:17" hidden="1" x14ac:dyDescent="0.2">
      <c r="A468" s="2" t="s">
        <v>1234</v>
      </c>
      <c r="B468" s="2" t="s">
        <v>33</v>
      </c>
      <c r="C468" s="2" t="s">
        <v>146</v>
      </c>
      <c r="D468" s="2" t="s">
        <v>20</v>
      </c>
      <c r="E468" s="3">
        <v>98008</v>
      </c>
      <c r="F468" s="4" t="s">
        <v>130</v>
      </c>
      <c r="G468" s="2" t="s">
        <v>1177</v>
      </c>
      <c r="H468" s="2" t="s">
        <v>1178</v>
      </c>
      <c r="I468" s="2" t="s">
        <v>212</v>
      </c>
      <c r="J468" s="2" t="s">
        <v>298</v>
      </c>
      <c r="K468" s="4" t="s">
        <v>27</v>
      </c>
      <c r="L468" s="4" t="s">
        <v>27</v>
      </c>
      <c r="M468" s="4" t="s">
        <v>147</v>
      </c>
      <c r="N468" s="5">
        <v>275882456</v>
      </c>
      <c r="O468" s="2" t="s">
        <v>537</v>
      </c>
      <c r="P468" s="2" t="s">
        <v>37</v>
      </c>
      <c r="Q468" s="4" t="s">
        <v>1207</v>
      </c>
    </row>
    <row r="469" spans="1:17" hidden="1" x14ac:dyDescent="0.2">
      <c r="A469" s="2" t="s">
        <v>1239</v>
      </c>
      <c r="B469" s="2" t="s">
        <v>40</v>
      </c>
      <c r="C469" s="2" t="s">
        <v>73</v>
      </c>
      <c r="D469" s="2" t="s">
        <v>20</v>
      </c>
      <c r="E469" s="3">
        <v>98087</v>
      </c>
      <c r="F469" s="4" t="s">
        <v>371</v>
      </c>
      <c r="G469" s="2" t="s">
        <v>1177</v>
      </c>
      <c r="H469" s="2" t="s">
        <v>1178</v>
      </c>
      <c r="I469" s="2" t="s">
        <v>212</v>
      </c>
      <c r="J469" s="2" t="s">
        <v>213</v>
      </c>
      <c r="K469" s="4" t="s">
        <v>815</v>
      </c>
      <c r="L469" s="4" t="s">
        <v>27</v>
      </c>
      <c r="M469" s="4" t="s">
        <v>26</v>
      </c>
      <c r="N469" s="5">
        <v>282176023</v>
      </c>
      <c r="O469" s="2" t="s">
        <v>496</v>
      </c>
      <c r="P469" s="2" t="s">
        <v>30</v>
      </c>
      <c r="Q469" s="4" t="s">
        <v>1240</v>
      </c>
    </row>
    <row r="470" spans="1:17" hidden="1" x14ac:dyDescent="0.2">
      <c r="A470" s="2" t="s">
        <v>1239</v>
      </c>
      <c r="B470" s="2" t="s">
        <v>33</v>
      </c>
      <c r="C470" s="2" t="s">
        <v>83</v>
      </c>
      <c r="D470" s="2" t="s">
        <v>20</v>
      </c>
      <c r="E470" s="3">
        <v>98108</v>
      </c>
      <c r="F470" s="4" t="s">
        <v>371</v>
      </c>
      <c r="G470" s="2" t="s">
        <v>1177</v>
      </c>
      <c r="H470" s="2" t="s">
        <v>1178</v>
      </c>
      <c r="I470" s="2" t="s">
        <v>212</v>
      </c>
      <c r="J470" s="2" t="s">
        <v>213</v>
      </c>
      <c r="K470" s="4" t="s">
        <v>815</v>
      </c>
      <c r="L470" s="4" t="s">
        <v>27</v>
      </c>
      <c r="M470" s="4" t="s">
        <v>284</v>
      </c>
      <c r="N470" s="5">
        <v>281332971</v>
      </c>
      <c r="O470" s="2" t="s">
        <v>954</v>
      </c>
      <c r="P470" s="2" t="s">
        <v>86</v>
      </c>
      <c r="Q470" s="4" t="s">
        <v>1241</v>
      </c>
    </row>
    <row r="471" spans="1:17" hidden="1" x14ac:dyDescent="0.2">
      <c r="A471" s="2" t="s">
        <v>1239</v>
      </c>
      <c r="B471" s="2" t="s">
        <v>33</v>
      </c>
      <c r="C471" s="2" t="s">
        <v>34</v>
      </c>
      <c r="D471" s="2" t="s">
        <v>20</v>
      </c>
      <c r="E471" s="3">
        <v>98027</v>
      </c>
      <c r="F471" s="4" t="s">
        <v>371</v>
      </c>
      <c r="G471" s="2" t="s">
        <v>1177</v>
      </c>
      <c r="H471" s="2" t="s">
        <v>1178</v>
      </c>
      <c r="I471" s="2" t="s">
        <v>212</v>
      </c>
      <c r="J471" s="2" t="s">
        <v>213</v>
      </c>
      <c r="K471" s="4" t="s">
        <v>815</v>
      </c>
      <c r="L471" s="4" t="s">
        <v>27</v>
      </c>
      <c r="M471" s="4" t="s">
        <v>35</v>
      </c>
      <c r="N471" s="5">
        <v>224335618</v>
      </c>
      <c r="O471" s="2" t="s">
        <v>36</v>
      </c>
      <c r="P471" s="2" t="s">
        <v>37</v>
      </c>
      <c r="Q471" s="4" t="s">
        <v>38</v>
      </c>
    </row>
    <row r="472" spans="1:17" hidden="1" x14ac:dyDescent="0.2">
      <c r="A472" s="2" t="s">
        <v>1242</v>
      </c>
      <c r="B472" s="2" t="s">
        <v>33</v>
      </c>
      <c r="C472" s="2" t="s">
        <v>83</v>
      </c>
      <c r="D472" s="2" t="s">
        <v>20</v>
      </c>
      <c r="E472" s="3">
        <v>98133</v>
      </c>
      <c r="F472" s="4" t="s">
        <v>408</v>
      </c>
      <c r="G472" s="2" t="s">
        <v>1177</v>
      </c>
      <c r="H472" s="2" t="s">
        <v>1178</v>
      </c>
      <c r="I472" s="2" t="s">
        <v>212</v>
      </c>
      <c r="J472" s="2" t="s">
        <v>213</v>
      </c>
      <c r="K472" s="4" t="s">
        <v>1184</v>
      </c>
      <c r="L472" s="4" t="s">
        <v>27</v>
      </c>
      <c r="M472" s="4" t="s">
        <v>278</v>
      </c>
      <c r="N472" s="5">
        <v>259990475</v>
      </c>
      <c r="O472" s="2" t="s">
        <v>291</v>
      </c>
      <c r="P472" s="2" t="s">
        <v>86</v>
      </c>
      <c r="Q472" s="4" t="s">
        <v>719</v>
      </c>
    </row>
    <row r="473" spans="1:17" hidden="1" x14ac:dyDescent="0.2">
      <c r="A473" s="2" t="s">
        <v>1242</v>
      </c>
      <c r="B473" s="2" t="s">
        <v>33</v>
      </c>
      <c r="C473" s="2" t="s">
        <v>68</v>
      </c>
      <c r="D473" s="2" t="s">
        <v>20</v>
      </c>
      <c r="E473" s="3">
        <v>98092</v>
      </c>
      <c r="F473" s="4" t="s">
        <v>408</v>
      </c>
      <c r="G473" s="2" t="s">
        <v>1177</v>
      </c>
      <c r="H473" s="2" t="s">
        <v>1178</v>
      </c>
      <c r="I473" s="2" t="s">
        <v>212</v>
      </c>
      <c r="J473" s="2" t="s">
        <v>213</v>
      </c>
      <c r="K473" s="4" t="s">
        <v>1184</v>
      </c>
      <c r="L473" s="4" t="s">
        <v>27</v>
      </c>
      <c r="M473" s="4" t="s">
        <v>112</v>
      </c>
      <c r="N473" s="5">
        <v>264906393</v>
      </c>
      <c r="O473" s="2" t="s">
        <v>540</v>
      </c>
      <c r="P473" s="2" t="s">
        <v>37</v>
      </c>
      <c r="Q473" s="4" t="s">
        <v>1243</v>
      </c>
    </row>
    <row r="474" spans="1:17" hidden="1" x14ac:dyDescent="0.2">
      <c r="A474" s="2" t="s">
        <v>1242</v>
      </c>
      <c r="B474" s="2" t="s">
        <v>151</v>
      </c>
      <c r="C474" s="2" t="s">
        <v>152</v>
      </c>
      <c r="D474" s="2" t="s">
        <v>20</v>
      </c>
      <c r="E474" s="3">
        <v>98502</v>
      </c>
      <c r="F474" s="4" t="s">
        <v>408</v>
      </c>
      <c r="G474" s="2" t="s">
        <v>1177</v>
      </c>
      <c r="H474" s="2" t="s">
        <v>1178</v>
      </c>
      <c r="I474" s="2" t="s">
        <v>212</v>
      </c>
      <c r="J474" s="2" t="s">
        <v>213</v>
      </c>
      <c r="K474" s="4" t="s">
        <v>1184</v>
      </c>
      <c r="L474" s="4" t="s">
        <v>27</v>
      </c>
      <c r="M474" s="4" t="s">
        <v>90</v>
      </c>
      <c r="N474" s="5">
        <v>219245631</v>
      </c>
      <c r="O474" s="2" t="s">
        <v>337</v>
      </c>
      <c r="P474" s="2" t="s">
        <v>30</v>
      </c>
      <c r="Q474" s="4" t="s">
        <v>338</v>
      </c>
    </row>
    <row r="475" spans="1:17" hidden="1" x14ac:dyDescent="0.2">
      <c r="A475" s="2" t="s">
        <v>1244</v>
      </c>
      <c r="B475" s="2" t="s">
        <v>110</v>
      </c>
      <c r="C475" s="2" t="s">
        <v>749</v>
      </c>
      <c r="D475" s="2" t="s">
        <v>20</v>
      </c>
      <c r="E475" s="3">
        <v>98391</v>
      </c>
      <c r="F475" s="4" t="s">
        <v>401</v>
      </c>
      <c r="G475" s="2" t="s">
        <v>1177</v>
      </c>
      <c r="H475" s="2" t="s">
        <v>1178</v>
      </c>
      <c r="I475" s="2" t="s">
        <v>212</v>
      </c>
      <c r="J475" s="2" t="s">
        <v>213</v>
      </c>
      <c r="K475" s="4" t="s">
        <v>1187</v>
      </c>
      <c r="L475" s="4" t="s">
        <v>27</v>
      </c>
      <c r="M475" s="4" t="s">
        <v>112</v>
      </c>
      <c r="N475" s="5">
        <v>5012402</v>
      </c>
      <c r="O475" s="2" t="s">
        <v>113</v>
      </c>
      <c r="P475" s="2" t="s">
        <v>37</v>
      </c>
      <c r="Q475" s="4" t="s">
        <v>1245</v>
      </c>
    </row>
    <row r="476" spans="1:17" hidden="1" x14ac:dyDescent="0.2">
      <c r="A476" s="2" t="s">
        <v>1246</v>
      </c>
      <c r="B476" s="2" t="s">
        <v>33</v>
      </c>
      <c r="C476" s="2" t="s">
        <v>169</v>
      </c>
      <c r="D476" s="2" t="s">
        <v>20</v>
      </c>
      <c r="E476" s="3">
        <v>98034</v>
      </c>
      <c r="F476" s="4" t="s">
        <v>42</v>
      </c>
      <c r="G476" s="2" t="s">
        <v>1177</v>
      </c>
      <c r="H476" s="2" t="s">
        <v>1178</v>
      </c>
      <c r="I476" s="2" t="s">
        <v>212</v>
      </c>
      <c r="J476" s="2" t="s">
        <v>298</v>
      </c>
      <c r="K476" s="4" t="s">
        <v>27</v>
      </c>
      <c r="L476" s="4" t="s">
        <v>27</v>
      </c>
      <c r="M476" s="4" t="s">
        <v>198</v>
      </c>
      <c r="N476" s="5">
        <v>138491349</v>
      </c>
      <c r="O476" s="2" t="s">
        <v>171</v>
      </c>
      <c r="P476" s="2" t="s">
        <v>37</v>
      </c>
      <c r="Q476" s="4" t="s">
        <v>378</v>
      </c>
    </row>
    <row r="477" spans="1:17" hidden="1" x14ac:dyDescent="0.2">
      <c r="A477" s="2" t="s">
        <v>1247</v>
      </c>
      <c r="B477" s="2" t="s">
        <v>33</v>
      </c>
      <c r="C477" s="2" t="s">
        <v>83</v>
      </c>
      <c r="D477" s="2" t="s">
        <v>20</v>
      </c>
      <c r="E477" s="3">
        <v>98109</v>
      </c>
      <c r="F477" s="4" t="s">
        <v>21</v>
      </c>
      <c r="G477" s="2" t="s">
        <v>1177</v>
      </c>
      <c r="H477" s="2" t="s">
        <v>1178</v>
      </c>
      <c r="I477" s="2" t="s">
        <v>212</v>
      </c>
      <c r="J477" s="2" t="s">
        <v>298</v>
      </c>
      <c r="K477" s="4" t="s">
        <v>27</v>
      </c>
      <c r="L477" s="4" t="s">
        <v>27</v>
      </c>
      <c r="M477" s="4" t="s">
        <v>84</v>
      </c>
      <c r="N477" s="5">
        <v>282260702</v>
      </c>
      <c r="O477" s="2" t="s">
        <v>437</v>
      </c>
      <c r="P477" s="2" t="s">
        <v>86</v>
      </c>
      <c r="Q477" s="4" t="s">
        <v>991</v>
      </c>
    </row>
    <row r="478" spans="1:17" hidden="1" x14ac:dyDescent="0.2">
      <c r="A478" s="2" t="s">
        <v>1248</v>
      </c>
      <c r="B478" s="2" t="s">
        <v>33</v>
      </c>
      <c r="C478" s="2" t="s">
        <v>146</v>
      </c>
      <c r="D478" s="2" t="s">
        <v>20</v>
      </c>
      <c r="E478" s="3">
        <v>98006</v>
      </c>
      <c r="F478" s="4" t="s">
        <v>130</v>
      </c>
      <c r="G478" s="2" t="s">
        <v>1177</v>
      </c>
      <c r="H478" s="2" t="s">
        <v>1178</v>
      </c>
      <c r="I478" s="2" t="s">
        <v>212</v>
      </c>
      <c r="J478" s="2" t="s">
        <v>298</v>
      </c>
      <c r="K478" s="4" t="s">
        <v>27</v>
      </c>
      <c r="L478" s="4" t="s">
        <v>27</v>
      </c>
      <c r="M478" s="4" t="s">
        <v>403</v>
      </c>
      <c r="N478" s="5">
        <v>280018679</v>
      </c>
      <c r="O478" s="2" t="s">
        <v>1249</v>
      </c>
      <c r="P478" s="2" t="s">
        <v>37</v>
      </c>
      <c r="Q478" s="4" t="s">
        <v>1250</v>
      </c>
    </row>
    <row r="479" spans="1:17" hidden="1" x14ac:dyDescent="0.2">
      <c r="A479" s="2" t="s">
        <v>1251</v>
      </c>
      <c r="B479" s="2" t="s">
        <v>1147</v>
      </c>
      <c r="C479" s="2" t="s">
        <v>1148</v>
      </c>
      <c r="D479" s="2" t="s">
        <v>20</v>
      </c>
      <c r="E479" s="3">
        <v>99163</v>
      </c>
      <c r="F479" s="4" t="s">
        <v>371</v>
      </c>
      <c r="G479" s="2" t="s">
        <v>1177</v>
      </c>
      <c r="H479" s="2" t="s">
        <v>1178</v>
      </c>
      <c r="I479" s="2" t="s">
        <v>212</v>
      </c>
      <c r="J479" s="2" t="s">
        <v>213</v>
      </c>
      <c r="K479" s="4" t="s">
        <v>815</v>
      </c>
      <c r="L479" s="4" t="s">
        <v>27</v>
      </c>
      <c r="M479" s="4" t="s">
        <v>1071</v>
      </c>
      <c r="N479" s="5">
        <v>138136155</v>
      </c>
      <c r="O479" s="2" t="s">
        <v>1149</v>
      </c>
      <c r="P479" s="2" t="s">
        <v>244</v>
      </c>
      <c r="Q479" s="4" t="s">
        <v>1150</v>
      </c>
    </row>
    <row r="480" spans="1:17" hidden="1" x14ac:dyDescent="0.2">
      <c r="A480" s="2" t="s">
        <v>1251</v>
      </c>
      <c r="B480" s="2" t="s">
        <v>33</v>
      </c>
      <c r="C480" s="2" t="s">
        <v>169</v>
      </c>
      <c r="D480" s="2" t="s">
        <v>20</v>
      </c>
      <c r="E480" s="3">
        <v>98033</v>
      </c>
      <c r="F480" s="4" t="s">
        <v>371</v>
      </c>
      <c r="G480" s="2" t="s">
        <v>1177</v>
      </c>
      <c r="H480" s="2" t="s">
        <v>1178</v>
      </c>
      <c r="I480" s="2" t="s">
        <v>212</v>
      </c>
      <c r="J480" s="2" t="s">
        <v>213</v>
      </c>
      <c r="K480" s="4" t="s">
        <v>815</v>
      </c>
      <c r="L480" s="4" t="s">
        <v>27</v>
      </c>
      <c r="M480" s="4" t="s">
        <v>147</v>
      </c>
      <c r="N480" s="5">
        <v>329470921</v>
      </c>
      <c r="O480" s="2" t="s">
        <v>204</v>
      </c>
      <c r="P480" s="2" t="s">
        <v>37</v>
      </c>
      <c r="Q480" s="4" t="s">
        <v>1201</v>
      </c>
    </row>
    <row r="481" spans="1:17" hidden="1" x14ac:dyDescent="0.2">
      <c r="A481" s="2" t="s">
        <v>1251</v>
      </c>
      <c r="B481" s="2" t="s">
        <v>33</v>
      </c>
      <c r="C481" s="2" t="s">
        <v>83</v>
      </c>
      <c r="D481" s="2" t="s">
        <v>20</v>
      </c>
      <c r="E481" s="3">
        <v>98122</v>
      </c>
      <c r="F481" s="4" t="s">
        <v>371</v>
      </c>
      <c r="G481" s="2" t="s">
        <v>1177</v>
      </c>
      <c r="H481" s="2" t="s">
        <v>1178</v>
      </c>
      <c r="I481" s="2" t="s">
        <v>212</v>
      </c>
      <c r="J481" s="2" t="s">
        <v>213</v>
      </c>
      <c r="K481" s="4" t="s">
        <v>815</v>
      </c>
      <c r="L481" s="4" t="s">
        <v>27</v>
      </c>
      <c r="M481" s="4" t="s">
        <v>284</v>
      </c>
      <c r="N481" s="5">
        <v>188736250</v>
      </c>
      <c r="O481" s="2" t="s">
        <v>558</v>
      </c>
      <c r="P481" s="2" t="s">
        <v>86</v>
      </c>
      <c r="Q481" s="4" t="s">
        <v>1252</v>
      </c>
    </row>
    <row r="482" spans="1:17" hidden="1" x14ac:dyDescent="0.2">
      <c r="A482" s="2" t="s">
        <v>1251</v>
      </c>
      <c r="B482" s="2" t="s">
        <v>33</v>
      </c>
      <c r="C482" s="2" t="s">
        <v>83</v>
      </c>
      <c r="D482" s="2" t="s">
        <v>20</v>
      </c>
      <c r="E482" s="3">
        <v>98109</v>
      </c>
      <c r="F482" s="4" t="s">
        <v>371</v>
      </c>
      <c r="G482" s="2" t="s">
        <v>1177</v>
      </c>
      <c r="H482" s="2" t="s">
        <v>1178</v>
      </c>
      <c r="I482" s="2" t="s">
        <v>212</v>
      </c>
      <c r="J482" s="2" t="s">
        <v>213</v>
      </c>
      <c r="K482" s="4" t="s">
        <v>815</v>
      </c>
      <c r="L482" s="4" t="s">
        <v>27</v>
      </c>
      <c r="M482" s="4" t="s">
        <v>84</v>
      </c>
      <c r="N482" s="5">
        <v>474487443</v>
      </c>
      <c r="O482" s="2" t="s">
        <v>437</v>
      </c>
      <c r="P482" s="2" t="s">
        <v>86</v>
      </c>
      <c r="Q482" s="4" t="s">
        <v>1253</v>
      </c>
    </row>
    <row r="483" spans="1:17" hidden="1" x14ac:dyDescent="0.2">
      <c r="A483" s="2" t="s">
        <v>1254</v>
      </c>
      <c r="B483" s="2" t="s">
        <v>40</v>
      </c>
      <c r="C483" s="2" t="s">
        <v>89</v>
      </c>
      <c r="D483" s="2" t="s">
        <v>20</v>
      </c>
      <c r="E483" s="3">
        <v>98012</v>
      </c>
      <c r="F483" s="4" t="s">
        <v>408</v>
      </c>
      <c r="G483" s="2" t="s">
        <v>1177</v>
      </c>
      <c r="H483" s="2" t="s">
        <v>1178</v>
      </c>
      <c r="I483" s="2" t="s">
        <v>212</v>
      </c>
      <c r="J483" s="2" t="s">
        <v>213</v>
      </c>
      <c r="K483" s="4" t="s">
        <v>1184</v>
      </c>
      <c r="L483" s="4" t="s">
        <v>27</v>
      </c>
      <c r="M483" s="4" t="s">
        <v>170</v>
      </c>
      <c r="N483" s="5">
        <v>148090428</v>
      </c>
      <c r="O483" s="2" t="s">
        <v>91</v>
      </c>
      <c r="P483" s="2" t="s">
        <v>30</v>
      </c>
      <c r="Q483" s="4" t="s">
        <v>1185</v>
      </c>
    </row>
    <row r="484" spans="1:17" hidden="1" x14ac:dyDescent="0.2">
      <c r="A484" s="2" t="s">
        <v>1254</v>
      </c>
      <c r="B484" s="2" t="s">
        <v>33</v>
      </c>
      <c r="C484" s="2" t="s">
        <v>1056</v>
      </c>
      <c r="D484" s="2" t="s">
        <v>20</v>
      </c>
      <c r="E484" s="3">
        <v>98032</v>
      </c>
      <c r="F484" s="4" t="s">
        <v>408</v>
      </c>
      <c r="G484" s="2" t="s">
        <v>1177</v>
      </c>
      <c r="H484" s="2" t="s">
        <v>1178</v>
      </c>
      <c r="I484" s="2" t="s">
        <v>212</v>
      </c>
      <c r="J484" s="2" t="s">
        <v>213</v>
      </c>
      <c r="K484" s="4" t="s">
        <v>1184</v>
      </c>
      <c r="L484" s="4" t="s">
        <v>27</v>
      </c>
      <c r="M484" s="4" t="s">
        <v>909</v>
      </c>
      <c r="N484" s="5">
        <v>278029160</v>
      </c>
      <c r="O484" s="2" t="s">
        <v>1255</v>
      </c>
      <c r="P484" s="2" t="s">
        <v>37</v>
      </c>
      <c r="Q484" s="4" t="s">
        <v>1256</v>
      </c>
    </row>
    <row r="485" spans="1:17" hidden="1" x14ac:dyDescent="0.2">
      <c r="A485" s="2" t="s">
        <v>1257</v>
      </c>
      <c r="B485" s="2" t="s">
        <v>48</v>
      </c>
      <c r="C485" s="2" t="s">
        <v>48</v>
      </c>
      <c r="D485" s="2" t="s">
        <v>20</v>
      </c>
      <c r="E485" s="3">
        <v>98901</v>
      </c>
      <c r="F485" s="4" t="s">
        <v>401</v>
      </c>
      <c r="G485" s="2" t="s">
        <v>1177</v>
      </c>
      <c r="H485" s="2" t="s">
        <v>1178</v>
      </c>
      <c r="I485" s="2" t="s">
        <v>212</v>
      </c>
      <c r="J485" s="2" t="s">
        <v>213</v>
      </c>
      <c r="K485" s="4" t="s">
        <v>1187</v>
      </c>
      <c r="L485" s="4" t="s">
        <v>27</v>
      </c>
      <c r="M485" s="4" t="s">
        <v>50</v>
      </c>
      <c r="N485" s="5">
        <v>127484339</v>
      </c>
      <c r="O485" s="2" t="s">
        <v>1258</v>
      </c>
      <c r="P485" s="2" t="s">
        <v>52</v>
      </c>
      <c r="Q485" s="4" t="s">
        <v>1259</v>
      </c>
    </row>
    <row r="486" spans="1:17" hidden="1" x14ac:dyDescent="0.2">
      <c r="A486" s="2" t="s">
        <v>1257</v>
      </c>
      <c r="B486" s="2" t="s">
        <v>33</v>
      </c>
      <c r="C486" s="2" t="s">
        <v>83</v>
      </c>
      <c r="D486" s="2" t="s">
        <v>20</v>
      </c>
      <c r="E486" s="3">
        <v>98199</v>
      </c>
      <c r="F486" s="4" t="s">
        <v>401</v>
      </c>
      <c r="G486" s="2" t="s">
        <v>1177</v>
      </c>
      <c r="H486" s="2" t="s">
        <v>1178</v>
      </c>
      <c r="I486" s="2" t="s">
        <v>212</v>
      </c>
      <c r="J486" s="2" t="s">
        <v>213</v>
      </c>
      <c r="K486" s="4" t="s">
        <v>1187</v>
      </c>
      <c r="L486" s="4" t="s">
        <v>27</v>
      </c>
      <c r="M486" s="4" t="s">
        <v>84</v>
      </c>
      <c r="N486" s="5">
        <v>2950524</v>
      </c>
      <c r="O486" s="2" t="s">
        <v>380</v>
      </c>
      <c r="P486" s="2" t="s">
        <v>86</v>
      </c>
      <c r="Q486" s="4" t="s">
        <v>413</v>
      </c>
    </row>
    <row r="487" spans="1:17" hidden="1" x14ac:dyDescent="0.2">
      <c r="A487" s="2" t="s">
        <v>1260</v>
      </c>
      <c r="B487" s="2" t="s">
        <v>33</v>
      </c>
      <c r="C487" s="2" t="s">
        <v>1261</v>
      </c>
      <c r="D487" s="2" t="s">
        <v>20</v>
      </c>
      <c r="E487" s="3">
        <v>98014</v>
      </c>
      <c r="F487" s="4" t="s">
        <v>42</v>
      </c>
      <c r="G487" s="2" t="s">
        <v>1177</v>
      </c>
      <c r="H487" s="2" t="s">
        <v>1178</v>
      </c>
      <c r="I487" s="2" t="s">
        <v>212</v>
      </c>
      <c r="J487" s="2" t="s">
        <v>298</v>
      </c>
      <c r="K487" s="4" t="s">
        <v>27</v>
      </c>
      <c r="L487" s="4" t="s">
        <v>27</v>
      </c>
      <c r="M487" s="4" t="s">
        <v>35</v>
      </c>
      <c r="N487" s="5">
        <v>190018951</v>
      </c>
      <c r="O487" s="2" t="s">
        <v>1262</v>
      </c>
      <c r="P487" s="2" t="s">
        <v>466</v>
      </c>
      <c r="Q487" s="4" t="s">
        <v>1263</v>
      </c>
    </row>
    <row r="488" spans="1:17" hidden="1" x14ac:dyDescent="0.2">
      <c r="A488" s="2" t="s">
        <v>1264</v>
      </c>
      <c r="B488" s="2" t="s">
        <v>33</v>
      </c>
      <c r="C488" s="2" t="s">
        <v>451</v>
      </c>
      <c r="D488" s="2" t="s">
        <v>20</v>
      </c>
      <c r="E488" s="3">
        <v>98075</v>
      </c>
      <c r="F488" s="4" t="s">
        <v>21</v>
      </c>
      <c r="G488" s="2" t="s">
        <v>1177</v>
      </c>
      <c r="H488" s="2" t="s">
        <v>1178</v>
      </c>
      <c r="I488" s="2" t="s">
        <v>212</v>
      </c>
      <c r="J488" s="2" t="s">
        <v>298</v>
      </c>
      <c r="K488" s="4" t="s">
        <v>27</v>
      </c>
      <c r="L488" s="4" t="s">
        <v>27</v>
      </c>
      <c r="M488" s="4" t="s">
        <v>403</v>
      </c>
      <c r="N488" s="5">
        <v>232811449</v>
      </c>
      <c r="O488" s="2" t="s">
        <v>452</v>
      </c>
      <c r="P488" s="2" t="s">
        <v>37</v>
      </c>
      <c r="Q488" s="4" t="s">
        <v>1265</v>
      </c>
    </row>
    <row r="489" spans="1:17" hidden="1" x14ac:dyDescent="0.2">
      <c r="A489" s="2" t="s">
        <v>1266</v>
      </c>
      <c r="B489" s="2" t="s">
        <v>33</v>
      </c>
      <c r="C489" s="2" t="s">
        <v>978</v>
      </c>
      <c r="D489" s="2" t="s">
        <v>20</v>
      </c>
      <c r="E489" s="3">
        <v>98019</v>
      </c>
      <c r="F489" s="4" t="s">
        <v>273</v>
      </c>
      <c r="G489" s="2" t="s">
        <v>1177</v>
      </c>
      <c r="H489" s="2" t="s">
        <v>1178</v>
      </c>
      <c r="I489" s="2" t="s">
        <v>212</v>
      </c>
      <c r="J489" s="2" t="s">
        <v>213</v>
      </c>
      <c r="K489" s="4" t="s">
        <v>1184</v>
      </c>
      <c r="L489" s="4" t="s">
        <v>27</v>
      </c>
      <c r="M489" s="4" t="s">
        <v>35</v>
      </c>
      <c r="N489" s="5">
        <v>209203578</v>
      </c>
      <c r="O489" s="2" t="s">
        <v>979</v>
      </c>
      <c r="P489" s="2" t="s">
        <v>37</v>
      </c>
      <c r="Q489" s="4" t="s">
        <v>1267</v>
      </c>
    </row>
    <row r="490" spans="1:17" hidden="1" x14ac:dyDescent="0.2">
      <c r="A490" s="2" t="s">
        <v>1268</v>
      </c>
      <c r="B490" s="2" t="s">
        <v>40</v>
      </c>
      <c r="C490" s="2" t="s">
        <v>268</v>
      </c>
      <c r="D490" s="2" t="s">
        <v>20</v>
      </c>
      <c r="E490" s="3">
        <v>98026</v>
      </c>
      <c r="F490" s="4" t="s">
        <v>371</v>
      </c>
      <c r="G490" s="2" t="s">
        <v>1177</v>
      </c>
      <c r="H490" s="2" t="s">
        <v>1178</v>
      </c>
      <c r="I490" s="2" t="s">
        <v>212</v>
      </c>
      <c r="J490" s="2" t="s">
        <v>213</v>
      </c>
      <c r="K490" s="4" t="s">
        <v>815</v>
      </c>
      <c r="L490" s="4" t="s">
        <v>27</v>
      </c>
      <c r="M490" s="4" t="s">
        <v>26</v>
      </c>
      <c r="N490" s="5">
        <v>475557393</v>
      </c>
      <c r="O490" s="2" t="s">
        <v>640</v>
      </c>
      <c r="P490" s="2" t="s">
        <v>30</v>
      </c>
      <c r="Q490" s="4" t="s">
        <v>1269</v>
      </c>
    </row>
    <row r="491" spans="1:17" hidden="1" x14ac:dyDescent="0.2">
      <c r="A491" s="2" t="s">
        <v>1270</v>
      </c>
      <c r="B491" s="2" t="s">
        <v>40</v>
      </c>
      <c r="C491" s="2" t="s">
        <v>89</v>
      </c>
      <c r="D491" s="2" t="s">
        <v>20</v>
      </c>
      <c r="E491" s="3">
        <v>98012</v>
      </c>
      <c r="F491" s="4" t="s">
        <v>401</v>
      </c>
      <c r="G491" s="2" t="s">
        <v>1177</v>
      </c>
      <c r="H491" s="2" t="s">
        <v>1178</v>
      </c>
      <c r="I491" s="2" t="s">
        <v>212</v>
      </c>
      <c r="J491" s="2" t="s">
        <v>213</v>
      </c>
      <c r="K491" s="4" t="s">
        <v>1187</v>
      </c>
      <c r="L491" s="4" t="s">
        <v>27</v>
      </c>
      <c r="M491" s="4" t="s">
        <v>116</v>
      </c>
      <c r="N491" s="5">
        <v>141793480</v>
      </c>
      <c r="O491" s="2" t="s">
        <v>91</v>
      </c>
      <c r="P491" s="2" t="s">
        <v>30</v>
      </c>
      <c r="Q491" s="4" t="s">
        <v>521</v>
      </c>
    </row>
    <row r="492" spans="1:17" hidden="1" x14ac:dyDescent="0.2">
      <c r="A492" s="2" t="s">
        <v>1271</v>
      </c>
      <c r="B492" s="2" t="s">
        <v>33</v>
      </c>
      <c r="C492" s="2" t="s">
        <v>464</v>
      </c>
      <c r="D492" s="2" t="s">
        <v>20</v>
      </c>
      <c r="E492" s="3">
        <v>98045</v>
      </c>
      <c r="F492" s="4" t="s">
        <v>21</v>
      </c>
      <c r="G492" s="2" t="s">
        <v>1177</v>
      </c>
      <c r="H492" s="2" t="s">
        <v>1178</v>
      </c>
      <c r="I492" s="2" t="s">
        <v>212</v>
      </c>
      <c r="J492" s="2" t="s">
        <v>298</v>
      </c>
      <c r="K492" s="4" t="s">
        <v>27</v>
      </c>
      <c r="L492" s="4" t="s">
        <v>27</v>
      </c>
      <c r="M492" s="4" t="s">
        <v>35</v>
      </c>
      <c r="N492" s="5">
        <v>277934604</v>
      </c>
      <c r="O492" s="2" t="s">
        <v>465</v>
      </c>
      <c r="P492" s="2" t="s">
        <v>37</v>
      </c>
      <c r="Q492" s="4" t="s">
        <v>1272</v>
      </c>
    </row>
    <row r="493" spans="1:17" hidden="1" x14ac:dyDescent="0.2">
      <c r="A493" s="2" t="s">
        <v>1271</v>
      </c>
      <c r="B493" s="2" t="s">
        <v>33</v>
      </c>
      <c r="C493" s="2" t="s">
        <v>186</v>
      </c>
      <c r="D493" s="2" t="s">
        <v>20</v>
      </c>
      <c r="E493" s="3">
        <v>98003</v>
      </c>
      <c r="F493" s="4" t="s">
        <v>21</v>
      </c>
      <c r="G493" s="2" t="s">
        <v>1177</v>
      </c>
      <c r="H493" s="2" t="s">
        <v>1178</v>
      </c>
      <c r="I493" s="2" t="s">
        <v>212</v>
      </c>
      <c r="J493" s="2" t="s">
        <v>298</v>
      </c>
      <c r="K493" s="4" t="s">
        <v>27</v>
      </c>
      <c r="L493" s="4" t="s">
        <v>27</v>
      </c>
      <c r="M493" s="4" t="s">
        <v>187</v>
      </c>
      <c r="N493" s="5">
        <v>244800321</v>
      </c>
      <c r="O493" s="2" t="s">
        <v>458</v>
      </c>
      <c r="P493" s="2" t="s">
        <v>37</v>
      </c>
      <c r="Q493" s="4" t="s">
        <v>1273</v>
      </c>
    </row>
    <row r="494" spans="1:17" hidden="1" x14ac:dyDescent="0.2">
      <c r="A494" s="2" t="s">
        <v>1271</v>
      </c>
      <c r="B494" s="2" t="s">
        <v>33</v>
      </c>
      <c r="C494" s="2" t="s">
        <v>83</v>
      </c>
      <c r="D494" s="2" t="s">
        <v>20</v>
      </c>
      <c r="E494" s="3">
        <v>98122</v>
      </c>
      <c r="F494" s="4" t="s">
        <v>21</v>
      </c>
      <c r="G494" s="2" t="s">
        <v>1177</v>
      </c>
      <c r="H494" s="2" t="s">
        <v>1178</v>
      </c>
      <c r="I494" s="2" t="s">
        <v>212</v>
      </c>
      <c r="J494" s="2" t="s">
        <v>298</v>
      </c>
      <c r="K494" s="4" t="s">
        <v>27</v>
      </c>
      <c r="L494" s="4" t="s">
        <v>27</v>
      </c>
      <c r="M494" s="4" t="s">
        <v>436</v>
      </c>
      <c r="N494" s="5">
        <v>245622387</v>
      </c>
      <c r="O494" s="2" t="s">
        <v>558</v>
      </c>
      <c r="P494" s="2" t="s">
        <v>86</v>
      </c>
      <c r="Q494" s="4" t="s">
        <v>1274</v>
      </c>
    </row>
    <row r="495" spans="1:17" hidden="1" x14ac:dyDescent="0.2">
      <c r="A495" s="2" t="s">
        <v>1271</v>
      </c>
      <c r="B495" s="2" t="s">
        <v>688</v>
      </c>
      <c r="C495" s="2" t="s">
        <v>689</v>
      </c>
      <c r="D495" s="2" t="s">
        <v>20</v>
      </c>
      <c r="E495" s="3">
        <v>98229</v>
      </c>
      <c r="F495" s="4" t="s">
        <v>21</v>
      </c>
      <c r="G495" s="2" t="s">
        <v>1177</v>
      </c>
      <c r="H495" s="2" t="s">
        <v>1178</v>
      </c>
      <c r="I495" s="2" t="s">
        <v>212</v>
      </c>
      <c r="J495" s="2" t="s">
        <v>298</v>
      </c>
      <c r="K495" s="4" t="s">
        <v>27</v>
      </c>
      <c r="L495" s="4" t="s">
        <v>27</v>
      </c>
      <c r="M495" s="4" t="s">
        <v>409</v>
      </c>
      <c r="N495" s="5">
        <v>233425300</v>
      </c>
      <c r="O495" s="2" t="s">
        <v>850</v>
      </c>
      <c r="P495" s="2" t="s">
        <v>692</v>
      </c>
      <c r="Q495" s="4" t="s">
        <v>1275</v>
      </c>
    </row>
    <row r="496" spans="1:17" hidden="1" x14ac:dyDescent="0.2">
      <c r="A496" s="2" t="s">
        <v>1271</v>
      </c>
      <c r="B496" s="2" t="s">
        <v>151</v>
      </c>
      <c r="C496" s="2" t="s">
        <v>152</v>
      </c>
      <c r="D496" s="2" t="s">
        <v>20</v>
      </c>
      <c r="E496" s="3">
        <v>98501</v>
      </c>
      <c r="F496" s="4" t="s">
        <v>21</v>
      </c>
      <c r="G496" s="2" t="s">
        <v>1177</v>
      </c>
      <c r="H496" s="2" t="s">
        <v>1178</v>
      </c>
      <c r="I496" s="2" t="s">
        <v>212</v>
      </c>
      <c r="J496" s="2" t="s">
        <v>298</v>
      </c>
      <c r="K496" s="4" t="s">
        <v>27</v>
      </c>
      <c r="L496" s="4" t="s">
        <v>27</v>
      </c>
      <c r="M496" s="4" t="s">
        <v>255</v>
      </c>
      <c r="N496" s="5">
        <v>240946485</v>
      </c>
      <c r="O496" s="2" t="s">
        <v>153</v>
      </c>
      <c r="P496" s="2" t="s">
        <v>30</v>
      </c>
      <c r="Q496" s="4" t="s">
        <v>717</v>
      </c>
    </row>
    <row r="497" spans="1:17" hidden="1" x14ac:dyDescent="0.2">
      <c r="A497" s="2" t="s">
        <v>1271</v>
      </c>
      <c r="B497" s="2" t="s">
        <v>33</v>
      </c>
      <c r="C497" s="2" t="s">
        <v>83</v>
      </c>
      <c r="D497" s="2" t="s">
        <v>20</v>
      </c>
      <c r="E497" s="3">
        <v>98177</v>
      </c>
      <c r="F497" s="4" t="s">
        <v>21</v>
      </c>
      <c r="G497" s="2" t="s">
        <v>1177</v>
      </c>
      <c r="H497" s="2" t="s">
        <v>1178</v>
      </c>
      <c r="I497" s="2" t="s">
        <v>212</v>
      </c>
      <c r="J497" s="2" t="s">
        <v>298</v>
      </c>
      <c r="K497" s="4" t="s">
        <v>27</v>
      </c>
      <c r="L497" s="4" t="s">
        <v>27</v>
      </c>
      <c r="M497" s="4" t="s">
        <v>84</v>
      </c>
      <c r="N497" s="5">
        <v>244845807</v>
      </c>
      <c r="O497" s="2" t="s">
        <v>85</v>
      </c>
      <c r="P497" s="2" t="s">
        <v>86</v>
      </c>
      <c r="Q497" s="4" t="s">
        <v>1276</v>
      </c>
    </row>
    <row r="498" spans="1:17" hidden="1" x14ac:dyDescent="0.2">
      <c r="A498" s="2" t="s">
        <v>1271</v>
      </c>
      <c r="B498" s="2" t="s">
        <v>33</v>
      </c>
      <c r="C498" s="2" t="s">
        <v>708</v>
      </c>
      <c r="D498" s="2" t="s">
        <v>20</v>
      </c>
      <c r="E498" s="3">
        <v>98038</v>
      </c>
      <c r="F498" s="4" t="s">
        <v>21</v>
      </c>
      <c r="G498" s="2" t="s">
        <v>1177</v>
      </c>
      <c r="H498" s="2" t="s">
        <v>1178</v>
      </c>
      <c r="I498" s="2" t="s">
        <v>212</v>
      </c>
      <c r="J498" s="2" t="s">
        <v>298</v>
      </c>
      <c r="K498" s="4" t="s">
        <v>27</v>
      </c>
      <c r="L498" s="4" t="s">
        <v>27</v>
      </c>
      <c r="M498" s="4" t="s">
        <v>35</v>
      </c>
      <c r="N498" s="5">
        <v>269851060</v>
      </c>
      <c r="O498" s="2" t="s">
        <v>709</v>
      </c>
      <c r="P498" s="2" t="s">
        <v>37</v>
      </c>
      <c r="Q498" s="4" t="s">
        <v>1277</v>
      </c>
    </row>
    <row r="499" spans="1:17" hidden="1" x14ac:dyDescent="0.2">
      <c r="A499" s="2" t="s">
        <v>1278</v>
      </c>
      <c r="B499" s="2" t="s">
        <v>110</v>
      </c>
      <c r="C499" s="2" t="s">
        <v>1279</v>
      </c>
      <c r="D499" s="2" t="s">
        <v>20</v>
      </c>
      <c r="E499" s="3">
        <v>98338</v>
      </c>
      <c r="F499" s="4" t="s">
        <v>121</v>
      </c>
      <c r="G499" s="2" t="s">
        <v>1177</v>
      </c>
      <c r="H499" s="2" t="s">
        <v>1178</v>
      </c>
      <c r="I499" s="2" t="s">
        <v>212</v>
      </c>
      <c r="J499" s="2" t="s">
        <v>298</v>
      </c>
      <c r="K499" s="4" t="s">
        <v>27</v>
      </c>
      <c r="L499" s="4" t="s">
        <v>27</v>
      </c>
      <c r="M499" s="4" t="s">
        <v>357</v>
      </c>
      <c r="N499" s="5">
        <v>264614227</v>
      </c>
      <c r="O499" s="2" t="s">
        <v>1280</v>
      </c>
      <c r="P499" s="2" t="s">
        <v>1281</v>
      </c>
      <c r="Q499" s="4" t="s">
        <v>1282</v>
      </c>
    </row>
    <row r="500" spans="1:17" hidden="1" x14ac:dyDescent="0.2">
      <c r="A500" s="2" t="s">
        <v>1283</v>
      </c>
      <c r="B500" s="2" t="s">
        <v>40</v>
      </c>
      <c r="C500" s="2" t="s">
        <v>89</v>
      </c>
      <c r="D500" s="2" t="s">
        <v>20</v>
      </c>
      <c r="E500" s="3">
        <v>98021</v>
      </c>
      <c r="F500" s="4" t="s">
        <v>371</v>
      </c>
      <c r="G500" s="2" t="s">
        <v>1177</v>
      </c>
      <c r="H500" s="2" t="s">
        <v>1178</v>
      </c>
      <c r="I500" s="2" t="s">
        <v>212</v>
      </c>
      <c r="J500" s="2" t="s">
        <v>213</v>
      </c>
      <c r="K500" s="4" t="s">
        <v>815</v>
      </c>
      <c r="L500" s="4" t="s">
        <v>27</v>
      </c>
      <c r="M500" s="4" t="s">
        <v>170</v>
      </c>
      <c r="N500" s="5">
        <v>334758462</v>
      </c>
      <c r="O500" s="2" t="s">
        <v>247</v>
      </c>
      <c r="P500" s="2" t="s">
        <v>30</v>
      </c>
      <c r="Q500" s="4" t="s">
        <v>994</v>
      </c>
    </row>
    <row r="501" spans="1:17" hidden="1" x14ac:dyDescent="0.2">
      <c r="A501" s="2" t="s">
        <v>1283</v>
      </c>
      <c r="B501" s="2" t="s">
        <v>33</v>
      </c>
      <c r="C501" s="2" t="s">
        <v>139</v>
      </c>
      <c r="D501" s="2" t="s">
        <v>20</v>
      </c>
      <c r="E501" s="3">
        <v>98055</v>
      </c>
      <c r="F501" s="4" t="s">
        <v>371</v>
      </c>
      <c r="G501" s="2" t="s">
        <v>1177</v>
      </c>
      <c r="H501" s="2" t="s">
        <v>1178</v>
      </c>
      <c r="I501" s="2" t="s">
        <v>212</v>
      </c>
      <c r="J501" s="2" t="s">
        <v>213</v>
      </c>
      <c r="K501" s="4" t="s">
        <v>815</v>
      </c>
      <c r="L501" s="4" t="s">
        <v>27</v>
      </c>
      <c r="M501" s="4" t="s">
        <v>140</v>
      </c>
      <c r="N501" s="5">
        <v>159840285</v>
      </c>
      <c r="O501" s="2" t="s">
        <v>889</v>
      </c>
      <c r="P501" s="2" t="s">
        <v>37</v>
      </c>
      <c r="Q501" s="4" t="s">
        <v>890</v>
      </c>
    </row>
    <row r="502" spans="1:17" hidden="1" x14ac:dyDescent="0.2">
      <c r="A502" s="2" t="s">
        <v>1283</v>
      </c>
      <c r="B502" s="2" t="s">
        <v>40</v>
      </c>
      <c r="C502" s="2" t="s">
        <v>73</v>
      </c>
      <c r="D502" s="2" t="s">
        <v>20</v>
      </c>
      <c r="E502" s="3">
        <v>98036</v>
      </c>
      <c r="F502" s="4" t="s">
        <v>371</v>
      </c>
      <c r="G502" s="2" t="s">
        <v>1177</v>
      </c>
      <c r="H502" s="2" t="s">
        <v>1178</v>
      </c>
      <c r="I502" s="2" t="s">
        <v>212</v>
      </c>
      <c r="J502" s="2" t="s">
        <v>213</v>
      </c>
      <c r="K502" s="4" t="s">
        <v>815</v>
      </c>
      <c r="L502" s="4" t="s">
        <v>27</v>
      </c>
      <c r="M502" s="4" t="s">
        <v>74</v>
      </c>
      <c r="N502" s="5">
        <v>313694727</v>
      </c>
      <c r="O502" s="2" t="s">
        <v>75</v>
      </c>
      <c r="P502" s="2" t="s">
        <v>30</v>
      </c>
      <c r="Q502" s="4" t="s">
        <v>1284</v>
      </c>
    </row>
    <row r="503" spans="1:17" hidden="1" x14ac:dyDescent="0.2">
      <c r="A503" s="2" t="s">
        <v>1285</v>
      </c>
      <c r="B503" s="2" t="s">
        <v>151</v>
      </c>
      <c r="C503" s="2" t="s">
        <v>152</v>
      </c>
      <c r="D503" s="2" t="s">
        <v>20</v>
      </c>
      <c r="E503" s="3">
        <v>98516</v>
      </c>
      <c r="F503" s="4" t="s">
        <v>408</v>
      </c>
      <c r="G503" s="2" t="s">
        <v>1177</v>
      </c>
      <c r="H503" s="2" t="s">
        <v>1178</v>
      </c>
      <c r="I503" s="2" t="s">
        <v>212</v>
      </c>
      <c r="J503" s="2" t="s">
        <v>213</v>
      </c>
      <c r="K503" s="4" t="s">
        <v>1184</v>
      </c>
      <c r="L503" s="4" t="s">
        <v>27</v>
      </c>
      <c r="M503" s="4" t="s">
        <v>357</v>
      </c>
      <c r="N503" s="5">
        <v>277957795</v>
      </c>
      <c r="O503" s="2" t="s">
        <v>746</v>
      </c>
      <c r="P503" s="2" t="s">
        <v>30</v>
      </c>
      <c r="Q503" s="4" t="s">
        <v>1286</v>
      </c>
    </row>
    <row r="504" spans="1:17" hidden="1" x14ac:dyDescent="0.2">
      <c r="A504" s="2" t="s">
        <v>1287</v>
      </c>
      <c r="B504" s="2" t="s">
        <v>33</v>
      </c>
      <c r="C504" s="2" t="s">
        <v>68</v>
      </c>
      <c r="D504" s="2" t="s">
        <v>20</v>
      </c>
      <c r="E504" s="3">
        <v>98092</v>
      </c>
      <c r="F504" s="4" t="s">
        <v>401</v>
      </c>
      <c r="G504" s="2" t="s">
        <v>1177</v>
      </c>
      <c r="H504" s="2" t="s">
        <v>1178</v>
      </c>
      <c r="I504" s="2" t="s">
        <v>212</v>
      </c>
      <c r="J504" s="2" t="s">
        <v>213</v>
      </c>
      <c r="K504" s="4" t="s">
        <v>1187</v>
      </c>
      <c r="L504" s="4" t="s">
        <v>27</v>
      </c>
      <c r="M504" s="4" t="s">
        <v>69</v>
      </c>
      <c r="N504" s="5">
        <v>6254398</v>
      </c>
      <c r="O504" s="2" t="s">
        <v>540</v>
      </c>
      <c r="P504" s="2" t="s">
        <v>37</v>
      </c>
      <c r="Q504" s="4" t="s">
        <v>1288</v>
      </c>
    </row>
    <row r="505" spans="1:17" hidden="1" x14ac:dyDescent="0.2">
      <c r="A505" s="2" t="s">
        <v>1289</v>
      </c>
      <c r="B505" s="2" t="s">
        <v>33</v>
      </c>
      <c r="C505" s="2" t="s">
        <v>915</v>
      </c>
      <c r="D505" s="2" t="s">
        <v>20</v>
      </c>
      <c r="E505" s="3">
        <v>98155</v>
      </c>
      <c r="F505" s="4" t="s">
        <v>21</v>
      </c>
      <c r="G505" s="2" t="s">
        <v>1177</v>
      </c>
      <c r="H505" s="2" t="s">
        <v>1178</v>
      </c>
      <c r="I505" s="2" t="s">
        <v>212</v>
      </c>
      <c r="J505" s="2" t="s">
        <v>298</v>
      </c>
      <c r="K505" s="4" t="s">
        <v>27</v>
      </c>
      <c r="L505" s="4" t="s">
        <v>27</v>
      </c>
      <c r="M505" s="4" t="s">
        <v>278</v>
      </c>
      <c r="N505" s="5">
        <v>240497869</v>
      </c>
      <c r="O505" s="2" t="s">
        <v>616</v>
      </c>
      <c r="P505" s="2" t="s">
        <v>86</v>
      </c>
      <c r="Q505" s="4" t="s">
        <v>1290</v>
      </c>
    </row>
    <row r="506" spans="1:17" hidden="1" x14ac:dyDescent="0.2">
      <c r="A506" s="2" t="s">
        <v>1291</v>
      </c>
      <c r="B506" s="2" t="s">
        <v>55</v>
      </c>
      <c r="C506" s="2" t="s">
        <v>63</v>
      </c>
      <c r="D506" s="2" t="s">
        <v>20</v>
      </c>
      <c r="E506" s="3">
        <v>98685</v>
      </c>
      <c r="F506" s="4" t="s">
        <v>121</v>
      </c>
      <c r="G506" s="2" t="s">
        <v>1177</v>
      </c>
      <c r="H506" s="2" t="s">
        <v>1178</v>
      </c>
      <c r="I506" s="2" t="s">
        <v>212</v>
      </c>
      <c r="J506" s="2" t="s">
        <v>298</v>
      </c>
      <c r="K506" s="4" t="s">
        <v>27</v>
      </c>
      <c r="L506" s="4" t="s">
        <v>27</v>
      </c>
      <c r="M506" s="4" t="s">
        <v>58</v>
      </c>
      <c r="N506" s="5">
        <v>273609066</v>
      </c>
      <c r="O506" s="2" t="s">
        <v>299</v>
      </c>
      <c r="P506" s="2" t="s">
        <v>60</v>
      </c>
      <c r="Q506" s="4" t="s">
        <v>1197</v>
      </c>
    </row>
    <row r="507" spans="1:17" hidden="1" x14ac:dyDescent="0.2">
      <c r="A507" s="2" t="s">
        <v>1292</v>
      </c>
      <c r="B507" s="2" t="s">
        <v>33</v>
      </c>
      <c r="C507" s="2" t="s">
        <v>169</v>
      </c>
      <c r="D507" s="2" t="s">
        <v>20</v>
      </c>
      <c r="E507" s="3">
        <v>98034</v>
      </c>
      <c r="F507" s="4" t="s">
        <v>130</v>
      </c>
      <c r="G507" s="2" t="s">
        <v>1177</v>
      </c>
      <c r="H507" s="2" t="s">
        <v>1178</v>
      </c>
      <c r="I507" s="2" t="s">
        <v>212</v>
      </c>
      <c r="J507" s="2" t="s">
        <v>298</v>
      </c>
      <c r="K507" s="4" t="s">
        <v>27</v>
      </c>
      <c r="L507" s="4" t="s">
        <v>27</v>
      </c>
      <c r="M507" s="4" t="s">
        <v>198</v>
      </c>
      <c r="N507" s="5">
        <v>279216836</v>
      </c>
      <c r="O507" s="2" t="s">
        <v>171</v>
      </c>
      <c r="P507" s="2" t="s">
        <v>37</v>
      </c>
      <c r="Q507" s="4" t="s">
        <v>724</v>
      </c>
    </row>
    <row r="508" spans="1:17" hidden="1" x14ac:dyDescent="0.2">
      <c r="A508" s="2" t="s">
        <v>1292</v>
      </c>
      <c r="B508" s="2" t="s">
        <v>55</v>
      </c>
      <c r="C508" s="2" t="s">
        <v>63</v>
      </c>
      <c r="D508" s="2" t="s">
        <v>20</v>
      </c>
      <c r="E508" s="3">
        <v>98682</v>
      </c>
      <c r="F508" s="4" t="s">
        <v>130</v>
      </c>
      <c r="G508" s="2" t="s">
        <v>1177</v>
      </c>
      <c r="H508" s="2" t="s">
        <v>1178</v>
      </c>
      <c r="I508" s="2" t="s">
        <v>212</v>
      </c>
      <c r="J508" s="2" t="s">
        <v>298</v>
      </c>
      <c r="K508" s="4" t="s">
        <v>27</v>
      </c>
      <c r="L508" s="4" t="s">
        <v>27</v>
      </c>
      <c r="M508" s="4" t="s">
        <v>64</v>
      </c>
      <c r="N508" s="5">
        <v>282066655</v>
      </c>
      <c r="O508" s="2" t="s">
        <v>65</v>
      </c>
      <c r="P508" s="2" t="s">
        <v>60</v>
      </c>
      <c r="Q508" s="4" t="s">
        <v>1293</v>
      </c>
    </row>
    <row r="509" spans="1:17" hidden="1" x14ac:dyDescent="0.2">
      <c r="A509" s="2" t="s">
        <v>1294</v>
      </c>
      <c r="B509" s="2" t="s">
        <v>33</v>
      </c>
      <c r="C509" s="2" t="s">
        <v>83</v>
      </c>
      <c r="D509" s="2" t="s">
        <v>20</v>
      </c>
      <c r="E509" s="3">
        <v>98104</v>
      </c>
      <c r="F509" s="4" t="s">
        <v>371</v>
      </c>
      <c r="G509" s="2" t="s">
        <v>1177</v>
      </c>
      <c r="H509" s="2" t="s">
        <v>1178</v>
      </c>
      <c r="I509" s="2" t="s">
        <v>212</v>
      </c>
      <c r="J509" s="2" t="s">
        <v>213</v>
      </c>
      <c r="K509" s="4" t="s">
        <v>815</v>
      </c>
      <c r="L509" s="4" t="s">
        <v>27</v>
      </c>
      <c r="M509" s="4" t="s">
        <v>436</v>
      </c>
      <c r="N509" s="5">
        <v>159884301</v>
      </c>
      <c r="O509" s="2" t="s">
        <v>1224</v>
      </c>
      <c r="P509" s="2" t="s">
        <v>86</v>
      </c>
      <c r="Q509" s="4" t="s">
        <v>1236</v>
      </c>
    </row>
    <row r="510" spans="1:17" hidden="1" x14ac:dyDescent="0.2">
      <c r="A510" s="2" t="s">
        <v>1295</v>
      </c>
      <c r="B510" s="2" t="s">
        <v>40</v>
      </c>
      <c r="C510" s="2" t="s">
        <v>89</v>
      </c>
      <c r="D510" s="2" t="s">
        <v>20</v>
      </c>
      <c r="E510" s="3">
        <v>98021</v>
      </c>
      <c r="F510" s="4" t="s">
        <v>408</v>
      </c>
      <c r="G510" s="2" t="s">
        <v>1177</v>
      </c>
      <c r="H510" s="2" t="s">
        <v>1178</v>
      </c>
      <c r="I510" s="2" t="s">
        <v>212</v>
      </c>
      <c r="J510" s="2" t="s">
        <v>213</v>
      </c>
      <c r="K510" s="4" t="s">
        <v>1184</v>
      </c>
      <c r="L510" s="4" t="s">
        <v>27</v>
      </c>
      <c r="M510" s="4" t="s">
        <v>170</v>
      </c>
      <c r="N510" s="5">
        <v>277705858</v>
      </c>
      <c r="O510" s="2" t="s">
        <v>247</v>
      </c>
      <c r="P510" s="2" t="s">
        <v>30</v>
      </c>
      <c r="Q510" s="4" t="s">
        <v>994</v>
      </c>
    </row>
    <row r="511" spans="1:17" hidden="1" x14ac:dyDescent="0.2">
      <c r="A511" s="2" t="s">
        <v>1295</v>
      </c>
      <c r="B511" s="2" t="s">
        <v>33</v>
      </c>
      <c r="C511" s="2" t="s">
        <v>139</v>
      </c>
      <c r="D511" s="2" t="s">
        <v>20</v>
      </c>
      <c r="E511" s="3">
        <v>98055</v>
      </c>
      <c r="F511" s="4" t="s">
        <v>408</v>
      </c>
      <c r="G511" s="2" t="s">
        <v>1177</v>
      </c>
      <c r="H511" s="2" t="s">
        <v>1178</v>
      </c>
      <c r="I511" s="2" t="s">
        <v>212</v>
      </c>
      <c r="J511" s="2" t="s">
        <v>213</v>
      </c>
      <c r="K511" s="4" t="s">
        <v>1184</v>
      </c>
      <c r="L511" s="4" t="s">
        <v>27</v>
      </c>
      <c r="M511" s="4" t="s">
        <v>909</v>
      </c>
      <c r="N511" s="5">
        <v>150954436</v>
      </c>
      <c r="O511" s="2" t="s">
        <v>889</v>
      </c>
      <c r="P511" s="2" t="s">
        <v>37</v>
      </c>
      <c r="Q511" s="4" t="s">
        <v>1296</v>
      </c>
    </row>
    <row r="512" spans="1:17" hidden="1" x14ac:dyDescent="0.2">
      <c r="A512" s="2" t="s">
        <v>1297</v>
      </c>
      <c r="B512" s="2" t="s">
        <v>40</v>
      </c>
      <c r="C512" s="2" t="s">
        <v>89</v>
      </c>
      <c r="D512" s="2" t="s">
        <v>20</v>
      </c>
      <c r="E512" s="3">
        <v>98012</v>
      </c>
      <c r="F512" s="4" t="s">
        <v>401</v>
      </c>
      <c r="G512" s="2" t="s">
        <v>1177</v>
      </c>
      <c r="H512" s="2" t="s">
        <v>1178</v>
      </c>
      <c r="I512" s="2" t="s">
        <v>212</v>
      </c>
      <c r="J512" s="2" t="s">
        <v>213</v>
      </c>
      <c r="K512" s="4" t="s">
        <v>1187</v>
      </c>
      <c r="L512" s="4" t="s">
        <v>27</v>
      </c>
      <c r="M512" s="4" t="s">
        <v>170</v>
      </c>
      <c r="N512" s="5">
        <v>2531637</v>
      </c>
      <c r="O512" s="2" t="s">
        <v>91</v>
      </c>
      <c r="P512" s="2" t="s">
        <v>30</v>
      </c>
      <c r="Q512" s="4" t="s">
        <v>1185</v>
      </c>
    </row>
    <row r="513" spans="1:17" hidden="1" x14ac:dyDescent="0.2">
      <c r="A513" s="2" t="s">
        <v>1297</v>
      </c>
      <c r="B513" s="2" t="s">
        <v>110</v>
      </c>
      <c r="C513" s="2" t="s">
        <v>307</v>
      </c>
      <c r="D513" s="2" t="s">
        <v>20</v>
      </c>
      <c r="E513" s="3">
        <v>98418</v>
      </c>
      <c r="F513" s="4" t="s">
        <v>401</v>
      </c>
      <c r="G513" s="2" t="s">
        <v>1177</v>
      </c>
      <c r="H513" s="2" t="s">
        <v>1178</v>
      </c>
      <c r="I513" s="2" t="s">
        <v>212</v>
      </c>
      <c r="J513" s="2" t="s">
        <v>213</v>
      </c>
      <c r="K513" s="4" t="s">
        <v>1187</v>
      </c>
      <c r="L513" s="4" t="s">
        <v>27</v>
      </c>
      <c r="M513" s="4" t="s">
        <v>308</v>
      </c>
      <c r="N513" s="5">
        <v>270122891</v>
      </c>
      <c r="O513" s="2" t="s">
        <v>1298</v>
      </c>
      <c r="P513" s="2" t="s">
        <v>310</v>
      </c>
      <c r="Q513" s="4" t="s">
        <v>1299</v>
      </c>
    </row>
    <row r="514" spans="1:17" hidden="1" x14ac:dyDescent="0.2">
      <c r="A514" s="2" t="s">
        <v>1297</v>
      </c>
      <c r="B514" s="2" t="s">
        <v>18</v>
      </c>
      <c r="C514" s="2" t="s">
        <v>100</v>
      </c>
      <c r="D514" s="2" t="s">
        <v>20</v>
      </c>
      <c r="E514" s="3">
        <v>98367</v>
      </c>
      <c r="F514" s="4" t="s">
        <v>401</v>
      </c>
      <c r="G514" s="2" t="s">
        <v>1177</v>
      </c>
      <c r="H514" s="2" t="s">
        <v>1178</v>
      </c>
      <c r="I514" s="2" t="s">
        <v>212</v>
      </c>
      <c r="J514" s="2" t="s">
        <v>213</v>
      </c>
      <c r="K514" s="4" t="s">
        <v>1187</v>
      </c>
      <c r="L514" s="4" t="s">
        <v>27</v>
      </c>
      <c r="M514" s="4" t="s">
        <v>101</v>
      </c>
      <c r="N514" s="5">
        <v>138517711</v>
      </c>
      <c r="O514" s="2" t="s">
        <v>259</v>
      </c>
      <c r="P514" s="2" t="s">
        <v>30</v>
      </c>
      <c r="Q514" s="4" t="s">
        <v>638</v>
      </c>
    </row>
    <row r="515" spans="1:17" hidden="1" x14ac:dyDescent="0.2">
      <c r="A515" s="2" t="s">
        <v>1300</v>
      </c>
      <c r="B515" s="2" t="s">
        <v>33</v>
      </c>
      <c r="C515" s="2" t="s">
        <v>83</v>
      </c>
      <c r="D515" s="2" t="s">
        <v>20</v>
      </c>
      <c r="E515" s="3">
        <v>98178</v>
      </c>
      <c r="F515" s="4" t="s">
        <v>21</v>
      </c>
      <c r="G515" s="2" t="s">
        <v>1177</v>
      </c>
      <c r="H515" s="2" t="s">
        <v>1178</v>
      </c>
      <c r="I515" s="2" t="s">
        <v>212</v>
      </c>
      <c r="J515" s="2" t="s">
        <v>298</v>
      </c>
      <c r="K515" s="4" t="s">
        <v>27</v>
      </c>
      <c r="L515" s="4" t="s">
        <v>27</v>
      </c>
      <c r="M515" s="4" t="s">
        <v>284</v>
      </c>
      <c r="N515" s="5">
        <v>251839535</v>
      </c>
      <c r="O515" s="2" t="s">
        <v>1301</v>
      </c>
      <c r="P515" s="2" t="s">
        <v>86</v>
      </c>
      <c r="Q515" s="4" t="s">
        <v>1302</v>
      </c>
    </row>
    <row r="516" spans="1:17" hidden="1" x14ac:dyDescent="0.2">
      <c r="A516" s="2" t="s">
        <v>1300</v>
      </c>
      <c r="B516" s="2" t="s">
        <v>33</v>
      </c>
      <c r="C516" s="2" t="s">
        <v>186</v>
      </c>
      <c r="D516" s="2" t="s">
        <v>20</v>
      </c>
      <c r="E516" s="3">
        <v>98003</v>
      </c>
      <c r="F516" s="4" t="s">
        <v>21</v>
      </c>
      <c r="G516" s="2" t="s">
        <v>1177</v>
      </c>
      <c r="H516" s="2" t="s">
        <v>1178</v>
      </c>
      <c r="I516" s="2" t="s">
        <v>212</v>
      </c>
      <c r="J516" s="2" t="s">
        <v>298</v>
      </c>
      <c r="K516" s="4" t="s">
        <v>27</v>
      </c>
      <c r="L516" s="4" t="s">
        <v>27</v>
      </c>
      <c r="M516" s="4" t="s">
        <v>187</v>
      </c>
      <c r="N516" s="5">
        <v>280035185</v>
      </c>
      <c r="O516" s="2" t="s">
        <v>458</v>
      </c>
      <c r="P516" s="2" t="s">
        <v>37</v>
      </c>
      <c r="Q516" s="4" t="s">
        <v>519</v>
      </c>
    </row>
    <row r="517" spans="1:17" hidden="1" x14ac:dyDescent="0.2">
      <c r="A517" s="2" t="s">
        <v>1303</v>
      </c>
      <c r="B517" s="2" t="s">
        <v>33</v>
      </c>
      <c r="C517" s="2" t="s">
        <v>83</v>
      </c>
      <c r="D517" s="2" t="s">
        <v>20</v>
      </c>
      <c r="E517" s="3">
        <v>98125</v>
      </c>
      <c r="F517" s="4" t="s">
        <v>130</v>
      </c>
      <c r="G517" s="2" t="s">
        <v>1177</v>
      </c>
      <c r="H517" s="2" t="s">
        <v>1178</v>
      </c>
      <c r="I517" s="2" t="s">
        <v>212</v>
      </c>
      <c r="J517" s="2" t="s">
        <v>298</v>
      </c>
      <c r="K517" s="4" t="s">
        <v>27</v>
      </c>
      <c r="L517" s="4" t="s">
        <v>27</v>
      </c>
      <c r="M517" s="4" t="s">
        <v>278</v>
      </c>
      <c r="N517" s="5">
        <v>279258031</v>
      </c>
      <c r="O517" s="2" t="s">
        <v>279</v>
      </c>
      <c r="P517" s="2" t="s">
        <v>86</v>
      </c>
      <c r="Q517" s="4" t="s">
        <v>280</v>
      </c>
    </row>
    <row r="518" spans="1:17" hidden="1" x14ac:dyDescent="0.2">
      <c r="A518" s="2" t="s">
        <v>1304</v>
      </c>
      <c r="B518" s="2" t="s">
        <v>40</v>
      </c>
      <c r="C518" s="2" t="s">
        <v>784</v>
      </c>
      <c r="D518" s="2" t="s">
        <v>20</v>
      </c>
      <c r="E518" s="3">
        <v>98275</v>
      </c>
      <c r="F518" s="4" t="s">
        <v>408</v>
      </c>
      <c r="G518" s="2" t="s">
        <v>1177</v>
      </c>
      <c r="H518" s="2" t="s">
        <v>1178</v>
      </c>
      <c r="I518" s="2" t="s">
        <v>212</v>
      </c>
      <c r="J518" s="2" t="s">
        <v>213</v>
      </c>
      <c r="K518" s="4" t="s">
        <v>1184</v>
      </c>
      <c r="L518" s="4" t="s">
        <v>27</v>
      </c>
      <c r="M518" s="4" t="s">
        <v>26</v>
      </c>
      <c r="N518" s="5">
        <v>476066104</v>
      </c>
      <c r="O518" s="2" t="s">
        <v>785</v>
      </c>
      <c r="P518" s="2" t="s">
        <v>30</v>
      </c>
      <c r="Q518" s="4" t="s">
        <v>1305</v>
      </c>
    </row>
    <row r="519" spans="1:17" hidden="1" x14ac:dyDescent="0.2">
      <c r="A519" s="2" t="s">
        <v>1304</v>
      </c>
      <c r="B519" s="2" t="s">
        <v>33</v>
      </c>
      <c r="C519" s="2" t="s">
        <v>83</v>
      </c>
      <c r="D519" s="2" t="s">
        <v>20</v>
      </c>
      <c r="E519" s="3">
        <v>98178</v>
      </c>
      <c r="F519" s="4" t="s">
        <v>408</v>
      </c>
      <c r="G519" s="2" t="s">
        <v>1177</v>
      </c>
      <c r="H519" s="2" t="s">
        <v>1178</v>
      </c>
      <c r="I519" s="2" t="s">
        <v>212</v>
      </c>
      <c r="J519" s="2" t="s">
        <v>213</v>
      </c>
      <c r="K519" s="4" t="s">
        <v>1184</v>
      </c>
      <c r="L519" s="4" t="s">
        <v>27</v>
      </c>
      <c r="M519" s="4" t="s">
        <v>284</v>
      </c>
      <c r="N519" s="5">
        <v>478181196</v>
      </c>
      <c r="O519" s="2" t="s">
        <v>1301</v>
      </c>
      <c r="P519" s="2" t="s">
        <v>86</v>
      </c>
      <c r="Q519" s="4" t="s">
        <v>1302</v>
      </c>
    </row>
    <row r="520" spans="1:17" hidden="1" x14ac:dyDescent="0.2">
      <c r="A520" s="2" t="s">
        <v>1306</v>
      </c>
      <c r="B520" s="2" t="s">
        <v>33</v>
      </c>
      <c r="C520" s="2" t="s">
        <v>68</v>
      </c>
      <c r="D520" s="2" t="s">
        <v>20</v>
      </c>
      <c r="E520" s="3">
        <v>98092</v>
      </c>
      <c r="F520" s="4" t="s">
        <v>21</v>
      </c>
      <c r="G520" s="2" t="s">
        <v>1177</v>
      </c>
      <c r="H520" s="2" t="s">
        <v>1178</v>
      </c>
      <c r="I520" s="2" t="s">
        <v>212</v>
      </c>
      <c r="J520" s="2" t="s">
        <v>298</v>
      </c>
      <c r="K520" s="4" t="s">
        <v>27</v>
      </c>
      <c r="L520" s="4" t="s">
        <v>27</v>
      </c>
      <c r="M520" s="4" t="s">
        <v>69</v>
      </c>
      <c r="N520" s="5">
        <v>235204987</v>
      </c>
      <c r="O520" s="2" t="s">
        <v>540</v>
      </c>
      <c r="P520" s="2" t="s">
        <v>37</v>
      </c>
      <c r="Q520" s="4" t="s">
        <v>1288</v>
      </c>
    </row>
    <row r="521" spans="1:17" hidden="1" x14ac:dyDescent="0.2">
      <c r="A521" s="2" t="s">
        <v>1306</v>
      </c>
      <c r="B521" s="2" t="s">
        <v>33</v>
      </c>
      <c r="C521" s="2" t="s">
        <v>1204</v>
      </c>
      <c r="D521" s="2" t="s">
        <v>20</v>
      </c>
      <c r="E521" s="3">
        <v>98188</v>
      </c>
      <c r="F521" s="4" t="s">
        <v>21</v>
      </c>
      <c r="G521" s="2" t="s">
        <v>1177</v>
      </c>
      <c r="H521" s="2" t="s">
        <v>1178</v>
      </c>
      <c r="I521" s="2" t="s">
        <v>212</v>
      </c>
      <c r="J521" s="2" t="s">
        <v>298</v>
      </c>
      <c r="K521" s="4" t="s">
        <v>27</v>
      </c>
      <c r="L521" s="4" t="s">
        <v>27</v>
      </c>
      <c r="M521" s="4" t="s">
        <v>909</v>
      </c>
      <c r="N521" s="5">
        <v>233656090</v>
      </c>
      <c r="O521" s="2" t="s">
        <v>1205</v>
      </c>
      <c r="P521" s="2" t="s">
        <v>37</v>
      </c>
      <c r="Q521" s="4" t="s">
        <v>1307</v>
      </c>
    </row>
    <row r="522" spans="1:17" hidden="1" x14ac:dyDescent="0.2">
      <c r="A522" s="2" t="s">
        <v>1306</v>
      </c>
      <c r="B522" s="2" t="s">
        <v>33</v>
      </c>
      <c r="C522" s="2" t="s">
        <v>290</v>
      </c>
      <c r="D522" s="2" t="s">
        <v>20</v>
      </c>
      <c r="E522" s="3">
        <v>98155</v>
      </c>
      <c r="F522" s="4" t="s">
        <v>21</v>
      </c>
      <c r="G522" s="2" t="s">
        <v>1177</v>
      </c>
      <c r="H522" s="2" t="s">
        <v>1178</v>
      </c>
      <c r="I522" s="2" t="s">
        <v>212</v>
      </c>
      <c r="J522" s="2" t="s">
        <v>298</v>
      </c>
      <c r="K522" s="4" t="s">
        <v>27</v>
      </c>
      <c r="L522" s="4" t="s">
        <v>27</v>
      </c>
      <c r="M522" s="4" t="s">
        <v>74</v>
      </c>
      <c r="N522" s="5">
        <v>235000902</v>
      </c>
      <c r="O522" s="2" t="s">
        <v>616</v>
      </c>
      <c r="P522" s="2" t="s">
        <v>86</v>
      </c>
      <c r="Q522" s="4" t="s">
        <v>713</v>
      </c>
    </row>
    <row r="523" spans="1:17" hidden="1" x14ac:dyDescent="0.2">
      <c r="A523" s="2" t="s">
        <v>1306</v>
      </c>
      <c r="B523" s="2" t="s">
        <v>110</v>
      </c>
      <c r="C523" s="2" t="s">
        <v>1220</v>
      </c>
      <c r="D523" s="2" t="s">
        <v>20</v>
      </c>
      <c r="E523" s="3">
        <v>98321</v>
      </c>
      <c r="F523" s="4" t="s">
        <v>21</v>
      </c>
      <c r="G523" s="2" t="s">
        <v>1177</v>
      </c>
      <c r="H523" s="2" t="s">
        <v>1178</v>
      </c>
      <c r="I523" s="2" t="s">
        <v>212</v>
      </c>
      <c r="J523" s="2" t="s">
        <v>298</v>
      </c>
      <c r="K523" s="4" t="s">
        <v>27</v>
      </c>
      <c r="L523" s="4" t="s">
        <v>27</v>
      </c>
      <c r="M523" s="4" t="s">
        <v>112</v>
      </c>
      <c r="N523" s="5">
        <v>252372942</v>
      </c>
      <c r="O523" s="2" t="s">
        <v>1221</v>
      </c>
      <c r="P523" s="2" t="s">
        <v>37</v>
      </c>
      <c r="Q523" s="4" t="s">
        <v>1308</v>
      </c>
    </row>
    <row r="524" spans="1:17" hidden="1" x14ac:dyDescent="0.2">
      <c r="A524" s="2" t="s">
        <v>1309</v>
      </c>
      <c r="B524" s="2" t="s">
        <v>55</v>
      </c>
      <c r="C524" s="2" t="s">
        <v>56</v>
      </c>
      <c r="D524" s="2" t="s">
        <v>20</v>
      </c>
      <c r="E524" s="3">
        <v>98607</v>
      </c>
      <c r="F524" s="4" t="s">
        <v>130</v>
      </c>
      <c r="G524" s="2" t="s">
        <v>1177</v>
      </c>
      <c r="H524" s="2" t="s">
        <v>1178</v>
      </c>
      <c r="I524" s="2" t="s">
        <v>212</v>
      </c>
      <c r="J524" s="2" t="s">
        <v>298</v>
      </c>
      <c r="K524" s="4" t="s">
        <v>27</v>
      </c>
      <c r="L524" s="4" t="s">
        <v>27</v>
      </c>
      <c r="M524" s="4" t="s">
        <v>58</v>
      </c>
      <c r="N524" s="5">
        <v>285978318</v>
      </c>
      <c r="O524" s="2" t="s">
        <v>59</v>
      </c>
      <c r="P524" s="2" t="s">
        <v>60</v>
      </c>
      <c r="Q524" s="4" t="s">
        <v>1310</v>
      </c>
    </row>
    <row r="525" spans="1:17" hidden="1" x14ac:dyDescent="0.2">
      <c r="A525" s="2" t="s">
        <v>1311</v>
      </c>
      <c r="B525" s="2" t="s">
        <v>33</v>
      </c>
      <c r="C525" s="2" t="s">
        <v>34</v>
      </c>
      <c r="D525" s="2" t="s">
        <v>20</v>
      </c>
      <c r="E525" s="3">
        <v>98027</v>
      </c>
      <c r="F525" s="4" t="s">
        <v>371</v>
      </c>
      <c r="G525" s="2" t="s">
        <v>1177</v>
      </c>
      <c r="H525" s="2" t="s">
        <v>1178</v>
      </c>
      <c r="I525" s="2" t="s">
        <v>212</v>
      </c>
      <c r="J525" s="2" t="s">
        <v>213</v>
      </c>
      <c r="K525" s="4" t="s">
        <v>815</v>
      </c>
      <c r="L525" s="4" t="s">
        <v>27</v>
      </c>
      <c r="M525" s="4" t="s">
        <v>35</v>
      </c>
      <c r="N525" s="5">
        <v>292786084</v>
      </c>
      <c r="O525" s="2" t="s">
        <v>36</v>
      </c>
      <c r="P525" s="2" t="s">
        <v>37</v>
      </c>
      <c r="Q525" s="4" t="s">
        <v>369</v>
      </c>
    </row>
    <row r="526" spans="1:17" hidden="1" x14ac:dyDescent="0.2">
      <c r="A526" s="2" t="s">
        <v>1311</v>
      </c>
      <c r="B526" s="2" t="s">
        <v>18</v>
      </c>
      <c r="C526" s="2" t="s">
        <v>374</v>
      </c>
      <c r="D526" s="2" t="s">
        <v>20</v>
      </c>
      <c r="E526" s="3">
        <v>98346</v>
      </c>
      <c r="F526" s="4" t="s">
        <v>371</v>
      </c>
      <c r="G526" s="2" t="s">
        <v>1177</v>
      </c>
      <c r="H526" s="2" t="s">
        <v>1178</v>
      </c>
      <c r="I526" s="2" t="s">
        <v>212</v>
      </c>
      <c r="J526" s="2" t="s">
        <v>213</v>
      </c>
      <c r="K526" s="4" t="s">
        <v>815</v>
      </c>
      <c r="L526" s="4" t="s">
        <v>27</v>
      </c>
      <c r="M526" s="4" t="s">
        <v>28</v>
      </c>
      <c r="N526" s="5">
        <v>276402563</v>
      </c>
      <c r="O526" s="2" t="s">
        <v>375</v>
      </c>
      <c r="P526" s="2" t="s">
        <v>30</v>
      </c>
      <c r="Q526" s="4" t="s">
        <v>515</v>
      </c>
    </row>
    <row r="527" spans="1:17" hidden="1" x14ac:dyDescent="0.2">
      <c r="A527" s="2" t="s">
        <v>1312</v>
      </c>
      <c r="B527" s="2" t="s">
        <v>40</v>
      </c>
      <c r="C527" s="2" t="s">
        <v>268</v>
      </c>
      <c r="D527" s="2" t="s">
        <v>20</v>
      </c>
      <c r="E527" s="3">
        <v>98020</v>
      </c>
      <c r="F527" s="4" t="s">
        <v>408</v>
      </c>
      <c r="G527" s="2" t="s">
        <v>1177</v>
      </c>
      <c r="H527" s="2" t="s">
        <v>1178</v>
      </c>
      <c r="I527" s="2" t="s">
        <v>212</v>
      </c>
      <c r="J527" s="2" t="s">
        <v>213</v>
      </c>
      <c r="K527" s="4" t="s">
        <v>1184</v>
      </c>
      <c r="L527" s="4" t="s">
        <v>27</v>
      </c>
      <c r="M527" s="4" t="s">
        <v>74</v>
      </c>
      <c r="N527" s="5">
        <v>219601966</v>
      </c>
      <c r="O527" s="2" t="s">
        <v>269</v>
      </c>
      <c r="P527" s="2" t="s">
        <v>30</v>
      </c>
      <c r="Q527" s="4" t="s">
        <v>1313</v>
      </c>
    </row>
    <row r="528" spans="1:17" hidden="1" x14ac:dyDescent="0.2">
      <c r="A528" s="2" t="s">
        <v>1314</v>
      </c>
      <c r="B528" s="2" t="s">
        <v>94</v>
      </c>
      <c r="C528" s="2" t="s">
        <v>95</v>
      </c>
      <c r="D528" s="2" t="s">
        <v>20</v>
      </c>
      <c r="E528" s="3">
        <v>98260</v>
      </c>
      <c r="F528" s="4" t="s">
        <v>401</v>
      </c>
      <c r="G528" s="2" t="s">
        <v>1177</v>
      </c>
      <c r="H528" s="2" t="s">
        <v>1178</v>
      </c>
      <c r="I528" s="2" t="s">
        <v>212</v>
      </c>
      <c r="J528" s="2" t="s">
        <v>213</v>
      </c>
      <c r="K528" s="4" t="s">
        <v>1187</v>
      </c>
      <c r="L528" s="4" t="s">
        <v>27</v>
      </c>
      <c r="M528" s="4" t="s">
        <v>96</v>
      </c>
      <c r="N528" s="5">
        <v>6020654</v>
      </c>
      <c r="O528" s="2" t="s">
        <v>97</v>
      </c>
      <c r="P528" s="2" t="s">
        <v>30</v>
      </c>
      <c r="Q528" s="4" t="s">
        <v>777</v>
      </c>
    </row>
    <row r="529" spans="1:17" hidden="1" x14ac:dyDescent="0.2">
      <c r="A529" s="2" t="s">
        <v>1315</v>
      </c>
      <c r="B529" s="2" t="s">
        <v>33</v>
      </c>
      <c r="C529" s="2" t="s">
        <v>169</v>
      </c>
      <c r="D529" s="2" t="s">
        <v>20</v>
      </c>
      <c r="E529" s="3">
        <v>98034</v>
      </c>
      <c r="F529" s="4" t="s">
        <v>21</v>
      </c>
      <c r="G529" s="2" t="s">
        <v>1177</v>
      </c>
      <c r="H529" s="2" t="s">
        <v>1178</v>
      </c>
      <c r="I529" s="2" t="s">
        <v>212</v>
      </c>
      <c r="J529" s="2" t="s">
        <v>298</v>
      </c>
      <c r="K529" s="4" t="s">
        <v>27</v>
      </c>
      <c r="L529" s="4" t="s">
        <v>27</v>
      </c>
      <c r="M529" s="4" t="s">
        <v>198</v>
      </c>
      <c r="N529" s="5">
        <v>262393463</v>
      </c>
      <c r="O529" s="2" t="s">
        <v>171</v>
      </c>
      <c r="P529" s="2" t="s">
        <v>37</v>
      </c>
      <c r="Q529" s="4" t="s">
        <v>1316</v>
      </c>
    </row>
    <row r="530" spans="1:17" hidden="1" x14ac:dyDescent="0.2">
      <c r="A530" s="2" t="s">
        <v>1315</v>
      </c>
      <c r="B530" s="2" t="s">
        <v>40</v>
      </c>
      <c r="C530" s="2" t="s">
        <v>89</v>
      </c>
      <c r="D530" s="2" t="s">
        <v>20</v>
      </c>
      <c r="E530" s="3">
        <v>98012</v>
      </c>
      <c r="F530" s="4" t="s">
        <v>21</v>
      </c>
      <c r="G530" s="2" t="s">
        <v>1177</v>
      </c>
      <c r="H530" s="2" t="s">
        <v>1178</v>
      </c>
      <c r="I530" s="2" t="s">
        <v>212</v>
      </c>
      <c r="J530" s="2" t="s">
        <v>298</v>
      </c>
      <c r="K530" s="4" t="s">
        <v>27</v>
      </c>
      <c r="L530" s="4" t="s">
        <v>27</v>
      </c>
      <c r="M530" s="4" t="s">
        <v>170</v>
      </c>
      <c r="N530" s="5">
        <v>251050390</v>
      </c>
      <c r="O530" s="2" t="s">
        <v>91</v>
      </c>
      <c r="P530" s="2" t="s">
        <v>30</v>
      </c>
      <c r="Q530" s="4" t="s">
        <v>1214</v>
      </c>
    </row>
    <row r="531" spans="1:17" hidden="1" x14ac:dyDescent="0.2">
      <c r="A531" s="2" t="s">
        <v>1317</v>
      </c>
      <c r="B531" s="2" t="s">
        <v>40</v>
      </c>
      <c r="C531" s="2" t="s">
        <v>383</v>
      </c>
      <c r="D531" s="2" t="s">
        <v>20</v>
      </c>
      <c r="E531" s="3">
        <v>98201</v>
      </c>
      <c r="F531" s="4" t="s">
        <v>130</v>
      </c>
      <c r="G531" s="2" t="s">
        <v>1177</v>
      </c>
      <c r="H531" s="2" t="s">
        <v>1178</v>
      </c>
      <c r="I531" s="2" t="s">
        <v>212</v>
      </c>
      <c r="J531" s="2" t="s">
        <v>298</v>
      </c>
      <c r="K531" s="4" t="s">
        <v>27</v>
      </c>
      <c r="L531" s="4" t="s">
        <v>27</v>
      </c>
      <c r="M531" s="4" t="s">
        <v>274</v>
      </c>
      <c r="N531" s="5">
        <v>279164931</v>
      </c>
      <c r="O531" s="2" t="s">
        <v>1161</v>
      </c>
      <c r="P531" s="2" t="s">
        <v>30</v>
      </c>
      <c r="Q531" s="4" t="s">
        <v>1318</v>
      </c>
    </row>
    <row r="532" spans="1:17" hidden="1" x14ac:dyDescent="0.2">
      <c r="A532" s="2" t="s">
        <v>1319</v>
      </c>
      <c r="B532" s="2" t="s">
        <v>33</v>
      </c>
      <c r="C532" s="2" t="s">
        <v>34</v>
      </c>
      <c r="D532" s="2" t="s">
        <v>20</v>
      </c>
      <c r="E532" s="3">
        <v>98027</v>
      </c>
      <c r="F532" s="4" t="s">
        <v>371</v>
      </c>
      <c r="G532" s="2" t="s">
        <v>1177</v>
      </c>
      <c r="H532" s="2" t="s">
        <v>1178</v>
      </c>
      <c r="I532" s="2" t="s">
        <v>212</v>
      </c>
      <c r="J532" s="2" t="s">
        <v>213</v>
      </c>
      <c r="K532" s="4" t="s">
        <v>815</v>
      </c>
      <c r="L532" s="4" t="s">
        <v>27</v>
      </c>
      <c r="M532" s="4" t="s">
        <v>35</v>
      </c>
      <c r="N532" s="5">
        <v>151547567</v>
      </c>
      <c r="O532" s="2" t="s">
        <v>36</v>
      </c>
      <c r="P532" s="2" t="s">
        <v>37</v>
      </c>
      <c r="Q532" s="4" t="s">
        <v>38</v>
      </c>
    </row>
    <row r="533" spans="1:17" hidden="1" x14ac:dyDescent="0.2">
      <c r="A533" s="2" t="s">
        <v>1320</v>
      </c>
      <c r="B533" s="2" t="s">
        <v>1147</v>
      </c>
      <c r="C533" s="2" t="s">
        <v>1148</v>
      </c>
      <c r="D533" s="2" t="s">
        <v>20</v>
      </c>
      <c r="E533" s="3">
        <v>99163</v>
      </c>
      <c r="F533" s="4" t="s">
        <v>408</v>
      </c>
      <c r="G533" s="2" t="s">
        <v>1177</v>
      </c>
      <c r="H533" s="2" t="s">
        <v>1178</v>
      </c>
      <c r="I533" s="2" t="s">
        <v>212</v>
      </c>
      <c r="J533" s="2" t="s">
        <v>213</v>
      </c>
      <c r="K533" s="4" t="s">
        <v>1184</v>
      </c>
      <c r="L533" s="4" t="s">
        <v>27</v>
      </c>
      <c r="M533" s="4" t="s">
        <v>1071</v>
      </c>
      <c r="N533" s="5">
        <v>478451970</v>
      </c>
      <c r="O533" s="2" t="s">
        <v>1149</v>
      </c>
      <c r="P533" s="2" t="s">
        <v>244</v>
      </c>
      <c r="Q533" s="4" t="s">
        <v>1150</v>
      </c>
    </row>
    <row r="534" spans="1:17" hidden="1" x14ac:dyDescent="0.2">
      <c r="A534" s="2" t="s">
        <v>1320</v>
      </c>
      <c r="B534" s="2" t="s">
        <v>40</v>
      </c>
      <c r="C534" s="2" t="s">
        <v>129</v>
      </c>
      <c r="D534" s="2" t="s">
        <v>20</v>
      </c>
      <c r="E534" s="3">
        <v>98258</v>
      </c>
      <c r="F534" s="4" t="s">
        <v>408</v>
      </c>
      <c r="G534" s="2" t="s">
        <v>1177</v>
      </c>
      <c r="H534" s="2" t="s">
        <v>1178</v>
      </c>
      <c r="I534" s="2" t="s">
        <v>212</v>
      </c>
      <c r="J534" s="2" t="s">
        <v>213</v>
      </c>
      <c r="K534" s="4" t="s">
        <v>1184</v>
      </c>
      <c r="L534" s="4" t="s">
        <v>27</v>
      </c>
      <c r="M534" s="4" t="s">
        <v>116</v>
      </c>
      <c r="N534" s="5">
        <v>476390295</v>
      </c>
      <c r="O534" s="2" t="s">
        <v>131</v>
      </c>
      <c r="P534" s="2" t="s">
        <v>30</v>
      </c>
      <c r="Q534" s="4" t="s">
        <v>1321</v>
      </c>
    </row>
    <row r="535" spans="1:17" hidden="1" x14ac:dyDescent="0.2">
      <c r="A535" s="2" t="s">
        <v>1320</v>
      </c>
      <c r="B535" s="2" t="s">
        <v>207</v>
      </c>
      <c r="C535" s="2" t="s">
        <v>499</v>
      </c>
      <c r="D535" s="2" t="s">
        <v>20</v>
      </c>
      <c r="E535" s="3">
        <v>98221</v>
      </c>
      <c r="F535" s="4" t="s">
        <v>408</v>
      </c>
      <c r="G535" s="2" t="s">
        <v>1177</v>
      </c>
      <c r="H535" s="2" t="s">
        <v>1178</v>
      </c>
      <c r="I535" s="2" t="s">
        <v>212</v>
      </c>
      <c r="J535" s="2" t="s">
        <v>213</v>
      </c>
      <c r="K535" s="4" t="s">
        <v>1184</v>
      </c>
      <c r="L535" s="4" t="s">
        <v>27</v>
      </c>
      <c r="M535" s="4" t="s">
        <v>409</v>
      </c>
      <c r="N535" s="5">
        <v>316182380</v>
      </c>
      <c r="O535" s="2" t="s">
        <v>500</v>
      </c>
      <c r="P535" s="2" t="s">
        <v>30</v>
      </c>
      <c r="Q535" s="4" t="s">
        <v>1322</v>
      </c>
    </row>
    <row r="536" spans="1:17" hidden="1" x14ac:dyDescent="0.2">
      <c r="A536" s="2" t="s">
        <v>1320</v>
      </c>
      <c r="B536" s="2" t="s">
        <v>48</v>
      </c>
      <c r="C536" s="2" t="s">
        <v>48</v>
      </c>
      <c r="D536" s="2" t="s">
        <v>20</v>
      </c>
      <c r="E536" s="3">
        <v>98902</v>
      </c>
      <c r="F536" s="4" t="s">
        <v>408</v>
      </c>
      <c r="G536" s="2" t="s">
        <v>1177</v>
      </c>
      <c r="H536" s="2" t="s">
        <v>1178</v>
      </c>
      <c r="I536" s="2" t="s">
        <v>212</v>
      </c>
      <c r="J536" s="2" t="s">
        <v>213</v>
      </c>
      <c r="K536" s="4" t="s">
        <v>1184</v>
      </c>
      <c r="L536" s="4" t="s">
        <v>27</v>
      </c>
      <c r="M536" s="4" t="s">
        <v>50</v>
      </c>
      <c r="N536" s="5">
        <v>476706555</v>
      </c>
      <c r="O536" s="2" t="s">
        <v>421</v>
      </c>
      <c r="P536" s="2" t="s">
        <v>52</v>
      </c>
      <c r="Q536" s="4" t="s">
        <v>1323</v>
      </c>
    </row>
    <row r="537" spans="1:17" hidden="1" x14ac:dyDescent="0.2">
      <c r="A537" s="2" t="s">
        <v>1320</v>
      </c>
      <c r="B537" s="2" t="s">
        <v>33</v>
      </c>
      <c r="C537" s="2" t="s">
        <v>83</v>
      </c>
      <c r="D537" s="2" t="s">
        <v>20</v>
      </c>
      <c r="E537" s="3">
        <v>98134</v>
      </c>
      <c r="F537" s="4" t="s">
        <v>408</v>
      </c>
      <c r="G537" s="2" t="s">
        <v>1177</v>
      </c>
      <c r="H537" s="2" t="s">
        <v>1178</v>
      </c>
      <c r="I537" s="2" t="s">
        <v>212</v>
      </c>
      <c r="J537" s="2" t="s">
        <v>213</v>
      </c>
      <c r="K537" s="4" t="s">
        <v>1184</v>
      </c>
      <c r="L537" s="4" t="s">
        <v>27</v>
      </c>
      <c r="M537" s="4" t="s">
        <v>140</v>
      </c>
      <c r="N537" s="5">
        <v>219454749</v>
      </c>
      <c r="O537" s="2" t="s">
        <v>1104</v>
      </c>
      <c r="P537" s="2" t="s">
        <v>86</v>
      </c>
      <c r="Q537" s="4" t="s">
        <v>1105</v>
      </c>
    </row>
    <row r="538" spans="1:17" hidden="1" x14ac:dyDescent="0.2">
      <c r="A538" s="2" t="s">
        <v>1324</v>
      </c>
      <c r="B538" s="2" t="s">
        <v>551</v>
      </c>
      <c r="C538" s="2" t="s">
        <v>552</v>
      </c>
      <c r="D538" s="2" t="s">
        <v>20</v>
      </c>
      <c r="E538" s="3">
        <v>98382</v>
      </c>
      <c r="F538" s="4" t="s">
        <v>57</v>
      </c>
      <c r="G538" s="2" t="s">
        <v>1177</v>
      </c>
      <c r="H538" s="2" t="s">
        <v>1178</v>
      </c>
      <c r="I538" s="2" t="s">
        <v>212</v>
      </c>
      <c r="J538" s="2" t="s">
        <v>298</v>
      </c>
      <c r="K538" s="4" t="s">
        <v>27</v>
      </c>
      <c r="L538" s="4" t="s">
        <v>27</v>
      </c>
      <c r="M538" s="4" t="s">
        <v>509</v>
      </c>
      <c r="N538" s="5">
        <v>218829194</v>
      </c>
      <c r="O538" s="2" t="s">
        <v>553</v>
      </c>
      <c r="P538" s="2" t="s">
        <v>554</v>
      </c>
      <c r="Q538" s="4" t="s">
        <v>1325</v>
      </c>
    </row>
    <row r="539" spans="1:17" hidden="1" x14ac:dyDescent="0.2">
      <c r="A539" s="2" t="s">
        <v>1324</v>
      </c>
      <c r="B539" s="2" t="s">
        <v>33</v>
      </c>
      <c r="C539" s="2" t="s">
        <v>146</v>
      </c>
      <c r="D539" s="2" t="s">
        <v>20</v>
      </c>
      <c r="E539" s="3">
        <v>98006</v>
      </c>
      <c r="F539" s="4" t="s">
        <v>57</v>
      </c>
      <c r="G539" s="2" t="s">
        <v>1177</v>
      </c>
      <c r="H539" s="2" t="s">
        <v>1178</v>
      </c>
      <c r="I539" s="2" t="s">
        <v>212</v>
      </c>
      <c r="J539" s="2" t="s">
        <v>298</v>
      </c>
      <c r="K539" s="4" t="s">
        <v>27</v>
      </c>
      <c r="L539" s="4" t="s">
        <v>27</v>
      </c>
      <c r="M539" s="4" t="s">
        <v>403</v>
      </c>
      <c r="N539" s="5">
        <v>183433953</v>
      </c>
      <c r="O539" s="2" t="s">
        <v>1249</v>
      </c>
      <c r="P539" s="2" t="s">
        <v>37</v>
      </c>
      <c r="Q539" s="4" t="s">
        <v>1326</v>
      </c>
    </row>
    <row r="540" spans="1:17" hidden="1" x14ac:dyDescent="0.2">
      <c r="A540" s="2" t="s">
        <v>1324</v>
      </c>
      <c r="B540" s="2" t="s">
        <v>40</v>
      </c>
      <c r="C540" s="2" t="s">
        <v>73</v>
      </c>
      <c r="D540" s="2" t="s">
        <v>20</v>
      </c>
      <c r="E540" s="3">
        <v>98087</v>
      </c>
      <c r="F540" s="4" t="s">
        <v>57</v>
      </c>
      <c r="G540" s="2" t="s">
        <v>1177</v>
      </c>
      <c r="H540" s="2" t="s">
        <v>1178</v>
      </c>
      <c r="I540" s="2" t="s">
        <v>212</v>
      </c>
      <c r="J540" s="2" t="s">
        <v>298</v>
      </c>
      <c r="K540" s="4" t="s">
        <v>27</v>
      </c>
      <c r="L540" s="4" t="s">
        <v>27</v>
      </c>
      <c r="M540" s="4" t="s">
        <v>26</v>
      </c>
      <c r="N540" s="5">
        <v>203575095</v>
      </c>
      <c r="O540" s="2" t="s">
        <v>496</v>
      </c>
      <c r="P540" s="2" t="s">
        <v>30</v>
      </c>
      <c r="Q540" s="4" t="s">
        <v>497</v>
      </c>
    </row>
    <row r="541" spans="1:17" hidden="1" x14ac:dyDescent="0.2">
      <c r="A541" s="2" t="s">
        <v>1327</v>
      </c>
      <c r="B541" s="2" t="s">
        <v>40</v>
      </c>
      <c r="C541" s="2" t="s">
        <v>129</v>
      </c>
      <c r="D541" s="2" t="s">
        <v>20</v>
      </c>
      <c r="E541" s="3">
        <v>98258</v>
      </c>
      <c r="F541" s="4" t="s">
        <v>121</v>
      </c>
      <c r="G541" s="2" t="s">
        <v>1177</v>
      </c>
      <c r="H541" s="2" t="s">
        <v>1178</v>
      </c>
      <c r="I541" s="2" t="s">
        <v>212</v>
      </c>
      <c r="J541" s="2" t="s">
        <v>298</v>
      </c>
      <c r="K541" s="4" t="s">
        <v>27</v>
      </c>
      <c r="L541" s="4" t="s">
        <v>27</v>
      </c>
      <c r="M541" s="4" t="s">
        <v>116</v>
      </c>
      <c r="N541" s="5">
        <v>271746268</v>
      </c>
      <c r="O541" s="2" t="s">
        <v>131</v>
      </c>
      <c r="P541" s="2" t="s">
        <v>30</v>
      </c>
      <c r="Q541" s="4" t="s">
        <v>132</v>
      </c>
    </row>
    <row r="542" spans="1:17" hidden="1" x14ac:dyDescent="0.2">
      <c r="A542" s="2" t="s">
        <v>1328</v>
      </c>
      <c r="B542" s="2" t="s">
        <v>33</v>
      </c>
      <c r="C542" s="2" t="s">
        <v>83</v>
      </c>
      <c r="D542" s="2" t="s">
        <v>20</v>
      </c>
      <c r="E542" s="3">
        <v>98107</v>
      </c>
      <c r="F542" s="4" t="s">
        <v>371</v>
      </c>
      <c r="G542" s="2" t="s">
        <v>1177</v>
      </c>
      <c r="H542" s="2" t="s">
        <v>1178</v>
      </c>
      <c r="I542" s="2" t="s">
        <v>212</v>
      </c>
      <c r="J542" s="2" t="s">
        <v>213</v>
      </c>
      <c r="K542" s="4" t="s">
        <v>815</v>
      </c>
      <c r="L542" s="4" t="s">
        <v>27</v>
      </c>
      <c r="M542" s="4" t="s">
        <v>84</v>
      </c>
      <c r="N542" s="5">
        <v>183328967</v>
      </c>
      <c r="O542" s="2" t="s">
        <v>869</v>
      </c>
      <c r="P542" s="2" t="s">
        <v>86</v>
      </c>
      <c r="Q542" s="4" t="s">
        <v>1329</v>
      </c>
    </row>
    <row r="543" spans="1:17" hidden="1" x14ac:dyDescent="0.2">
      <c r="A543" s="2" t="s">
        <v>1328</v>
      </c>
      <c r="B543" s="2" t="s">
        <v>94</v>
      </c>
      <c r="C543" s="2" t="s">
        <v>775</v>
      </c>
      <c r="D543" s="2" t="s">
        <v>20</v>
      </c>
      <c r="E543" s="3">
        <v>98249</v>
      </c>
      <c r="F543" s="4" t="s">
        <v>371</v>
      </c>
      <c r="G543" s="2" t="s">
        <v>1177</v>
      </c>
      <c r="H543" s="2" t="s">
        <v>1178</v>
      </c>
      <c r="I543" s="2" t="s">
        <v>212</v>
      </c>
      <c r="J543" s="2" t="s">
        <v>213</v>
      </c>
      <c r="K543" s="4" t="s">
        <v>815</v>
      </c>
      <c r="L543" s="4" t="s">
        <v>27</v>
      </c>
      <c r="M543" s="4" t="s">
        <v>96</v>
      </c>
      <c r="N543" s="5">
        <v>474569637</v>
      </c>
      <c r="O543" s="2" t="s">
        <v>776</v>
      </c>
      <c r="P543" s="2" t="s">
        <v>30</v>
      </c>
      <c r="Q543" s="4" t="s">
        <v>777</v>
      </c>
    </row>
    <row r="544" spans="1:17" hidden="1" x14ac:dyDescent="0.2">
      <c r="A544" s="2" t="s">
        <v>1330</v>
      </c>
      <c r="B544" s="2" t="s">
        <v>33</v>
      </c>
      <c r="C544" s="2" t="s">
        <v>669</v>
      </c>
      <c r="D544" s="2" t="s">
        <v>20</v>
      </c>
      <c r="E544" s="3">
        <v>98052</v>
      </c>
      <c r="F544" s="4" t="s">
        <v>408</v>
      </c>
      <c r="G544" s="2" t="s">
        <v>1177</v>
      </c>
      <c r="H544" s="2" t="s">
        <v>1178</v>
      </c>
      <c r="I544" s="2" t="s">
        <v>212</v>
      </c>
      <c r="J544" s="2" t="s">
        <v>213</v>
      </c>
      <c r="K544" s="4" t="s">
        <v>1184</v>
      </c>
      <c r="L544" s="4" t="s">
        <v>27</v>
      </c>
      <c r="M544" s="4" t="s">
        <v>147</v>
      </c>
      <c r="N544" s="5">
        <v>476739917</v>
      </c>
      <c r="O544" s="2" t="s">
        <v>670</v>
      </c>
      <c r="P544" s="2" t="s">
        <v>37</v>
      </c>
      <c r="Q544" s="4" t="s">
        <v>1331</v>
      </c>
    </row>
    <row r="545" spans="1:17" hidden="1" x14ac:dyDescent="0.2">
      <c r="A545" s="2" t="s">
        <v>1330</v>
      </c>
      <c r="B545" s="2" t="s">
        <v>48</v>
      </c>
      <c r="C545" s="2" t="s">
        <v>48</v>
      </c>
      <c r="D545" s="2" t="s">
        <v>20</v>
      </c>
      <c r="E545" s="3">
        <v>98902</v>
      </c>
      <c r="F545" s="4" t="s">
        <v>408</v>
      </c>
      <c r="G545" s="2" t="s">
        <v>1177</v>
      </c>
      <c r="H545" s="2" t="s">
        <v>1178</v>
      </c>
      <c r="I545" s="2" t="s">
        <v>212</v>
      </c>
      <c r="J545" s="2" t="s">
        <v>213</v>
      </c>
      <c r="K545" s="4" t="s">
        <v>1184</v>
      </c>
      <c r="L545" s="4" t="s">
        <v>27</v>
      </c>
      <c r="M545" s="4" t="s">
        <v>323</v>
      </c>
      <c r="N545" s="5">
        <v>272512824</v>
      </c>
      <c r="O545" s="2" t="s">
        <v>421</v>
      </c>
      <c r="P545" s="2" t="s">
        <v>52</v>
      </c>
      <c r="Q545" s="4" t="s">
        <v>422</v>
      </c>
    </row>
    <row r="546" spans="1:17" hidden="1" x14ac:dyDescent="0.2">
      <c r="A546" s="2" t="s">
        <v>1330</v>
      </c>
      <c r="B546" s="2" t="s">
        <v>33</v>
      </c>
      <c r="C546" s="2" t="s">
        <v>83</v>
      </c>
      <c r="D546" s="2" t="s">
        <v>20</v>
      </c>
      <c r="E546" s="3">
        <v>98134</v>
      </c>
      <c r="F546" s="4" t="s">
        <v>408</v>
      </c>
      <c r="G546" s="2" t="s">
        <v>1177</v>
      </c>
      <c r="H546" s="2" t="s">
        <v>1178</v>
      </c>
      <c r="I546" s="2" t="s">
        <v>212</v>
      </c>
      <c r="J546" s="2" t="s">
        <v>213</v>
      </c>
      <c r="K546" s="4" t="s">
        <v>1184</v>
      </c>
      <c r="L546" s="4" t="s">
        <v>27</v>
      </c>
      <c r="M546" s="4" t="s">
        <v>140</v>
      </c>
      <c r="N546" s="5">
        <v>477670378</v>
      </c>
      <c r="O546" s="2" t="s">
        <v>1104</v>
      </c>
      <c r="P546" s="2" t="s">
        <v>86</v>
      </c>
      <c r="Q546" s="4" t="s">
        <v>1105</v>
      </c>
    </row>
    <row r="547" spans="1:17" hidden="1" x14ac:dyDescent="0.2">
      <c r="A547" s="2" t="s">
        <v>1332</v>
      </c>
      <c r="B547" s="2" t="s">
        <v>151</v>
      </c>
      <c r="C547" s="2" t="s">
        <v>152</v>
      </c>
      <c r="D547" s="2" t="s">
        <v>20</v>
      </c>
      <c r="E547" s="3">
        <v>98501</v>
      </c>
      <c r="F547" s="4" t="s">
        <v>42</v>
      </c>
      <c r="G547" s="2" t="s">
        <v>1177</v>
      </c>
      <c r="H547" s="2" t="s">
        <v>1178</v>
      </c>
      <c r="I547" s="2" t="s">
        <v>212</v>
      </c>
      <c r="J547" s="2" t="s">
        <v>298</v>
      </c>
      <c r="K547" s="4" t="s">
        <v>27</v>
      </c>
      <c r="L547" s="4" t="s">
        <v>27</v>
      </c>
      <c r="M547" s="4" t="s">
        <v>255</v>
      </c>
      <c r="N547" s="5">
        <v>178930146</v>
      </c>
      <c r="O547" s="2" t="s">
        <v>153</v>
      </c>
      <c r="P547" s="2" t="s">
        <v>30</v>
      </c>
      <c r="Q547" s="4" t="s">
        <v>717</v>
      </c>
    </row>
    <row r="548" spans="1:17" hidden="1" x14ac:dyDescent="0.2">
      <c r="A548" s="2" t="s">
        <v>1332</v>
      </c>
      <c r="B548" s="2" t="s">
        <v>18</v>
      </c>
      <c r="C548" s="2" t="s">
        <v>218</v>
      </c>
      <c r="D548" s="2" t="s">
        <v>20</v>
      </c>
      <c r="E548" s="3">
        <v>98312</v>
      </c>
      <c r="F548" s="4" t="s">
        <v>42</v>
      </c>
      <c r="G548" s="2" t="s">
        <v>1177</v>
      </c>
      <c r="H548" s="2" t="s">
        <v>1178</v>
      </c>
      <c r="I548" s="2" t="s">
        <v>212</v>
      </c>
      <c r="J548" s="2" t="s">
        <v>298</v>
      </c>
      <c r="K548" s="4" t="s">
        <v>27</v>
      </c>
      <c r="L548" s="4" t="s">
        <v>27</v>
      </c>
      <c r="M548" s="4" t="s">
        <v>101</v>
      </c>
      <c r="N548" s="5">
        <v>268801627</v>
      </c>
      <c r="O548" s="2" t="s">
        <v>1180</v>
      </c>
      <c r="P548" s="2" t="s">
        <v>30</v>
      </c>
      <c r="Q548" s="4" t="s">
        <v>1333</v>
      </c>
    </row>
    <row r="549" spans="1:17" hidden="1" x14ac:dyDescent="0.2">
      <c r="A549" s="2" t="s">
        <v>1332</v>
      </c>
      <c r="B549" s="2" t="s">
        <v>33</v>
      </c>
      <c r="C549" s="2" t="s">
        <v>83</v>
      </c>
      <c r="D549" s="2" t="s">
        <v>20</v>
      </c>
      <c r="E549" s="3">
        <v>98122</v>
      </c>
      <c r="F549" s="4" t="s">
        <v>42</v>
      </c>
      <c r="G549" s="2" t="s">
        <v>1177</v>
      </c>
      <c r="H549" s="2" t="s">
        <v>1178</v>
      </c>
      <c r="I549" s="2" t="s">
        <v>212</v>
      </c>
      <c r="J549" s="2" t="s">
        <v>298</v>
      </c>
      <c r="K549" s="4" t="s">
        <v>27</v>
      </c>
      <c r="L549" s="4" t="s">
        <v>27</v>
      </c>
      <c r="M549" s="4" t="s">
        <v>436</v>
      </c>
      <c r="N549" s="5">
        <v>179519007</v>
      </c>
      <c r="O549" s="2" t="s">
        <v>558</v>
      </c>
      <c r="P549" s="2" t="s">
        <v>86</v>
      </c>
      <c r="Q549" s="4" t="s">
        <v>1334</v>
      </c>
    </row>
    <row r="550" spans="1:17" hidden="1" x14ac:dyDescent="0.2">
      <c r="A550" s="2" t="s">
        <v>1335</v>
      </c>
      <c r="B550" s="2" t="s">
        <v>33</v>
      </c>
      <c r="C550" s="2" t="s">
        <v>68</v>
      </c>
      <c r="D550" s="2" t="s">
        <v>20</v>
      </c>
      <c r="E550" s="3">
        <v>98092</v>
      </c>
      <c r="F550" s="4" t="s">
        <v>57</v>
      </c>
      <c r="G550" s="2" t="s">
        <v>1177</v>
      </c>
      <c r="H550" s="2" t="s">
        <v>1178</v>
      </c>
      <c r="I550" s="2" t="s">
        <v>212</v>
      </c>
      <c r="J550" s="2" t="s">
        <v>298</v>
      </c>
      <c r="K550" s="4" t="s">
        <v>27</v>
      </c>
      <c r="L550" s="4" t="s">
        <v>27</v>
      </c>
      <c r="M550" s="4" t="s">
        <v>69</v>
      </c>
      <c r="N550" s="5">
        <v>278003526</v>
      </c>
      <c r="O550" s="2" t="s">
        <v>540</v>
      </c>
      <c r="P550" s="2" t="s">
        <v>37</v>
      </c>
      <c r="Q550" s="4" t="s">
        <v>1336</v>
      </c>
    </row>
    <row r="551" spans="1:17" hidden="1" x14ac:dyDescent="0.2">
      <c r="A551" s="2" t="s">
        <v>1337</v>
      </c>
      <c r="B551" s="2" t="s">
        <v>151</v>
      </c>
      <c r="C551" s="2" t="s">
        <v>152</v>
      </c>
      <c r="D551" s="2" t="s">
        <v>20</v>
      </c>
      <c r="E551" s="3">
        <v>98502</v>
      </c>
      <c r="F551" s="4" t="s">
        <v>21</v>
      </c>
      <c r="G551" s="2" t="s">
        <v>1177</v>
      </c>
      <c r="H551" s="2" t="s">
        <v>1178</v>
      </c>
      <c r="I551" s="2" t="s">
        <v>212</v>
      </c>
      <c r="J551" s="2" t="s">
        <v>298</v>
      </c>
      <c r="K551" s="4" t="s">
        <v>27</v>
      </c>
      <c r="L551" s="4" t="s">
        <v>27</v>
      </c>
      <c r="M551" s="4" t="s">
        <v>90</v>
      </c>
      <c r="N551" s="5">
        <v>261992335</v>
      </c>
      <c r="O551" s="2" t="s">
        <v>337</v>
      </c>
      <c r="P551" s="2" t="s">
        <v>30</v>
      </c>
      <c r="Q551" s="4" t="s">
        <v>1338</v>
      </c>
    </row>
    <row r="552" spans="1:17" hidden="1" x14ac:dyDescent="0.2">
      <c r="A552" s="2" t="s">
        <v>1339</v>
      </c>
      <c r="B552" s="2" t="s">
        <v>33</v>
      </c>
      <c r="C552" s="2" t="s">
        <v>83</v>
      </c>
      <c r="D552" s="2" t="s">
        <v>20</v>
      </c>
      <c r="E552" s="3">
        <v>98109</v>
      </c>
      <c r="F552" s="4" t="s">
        <v>121</v>
      </c>
      <c r="G552" s="2" t="s">
        <v>1177</v>
      </c>
      <c r="H552" s="2" t="s">
        <v>1178</v>
      </c>
      <c r="I552" s="2" t="s">
        <v>212</v>
      </c>
      <c r="J552" s="2" t="s">
        <v>298</v>
      </c>
      <c r="K552" s="4" t="s">
        <v>27</v>
      </c>
      <c r="L552" s="4" t="s">
        <v>27</v>
      </c>
      <c r="M552" s="4" t="s">
        <v>84</v>
      </c>
      <c r="N552" s="5">
        <v>277706838</v>
      </c>
      <c r="O552" s="2" t="s">
        <v>437</v>
      </c>
      <c r="P552" s="2" t="s">
        <v>86</v>
      </c>
      <c r="Q552" s="4" t="s">
        <v>1340</v>
      </c>
    </row>
    <row r="553" spans="1:17" hidden="1" x14ac:dyDescent="0.2">
      <c r="A553" s="2" t="s">
        <v>1341</v>
      </c>
      <c r="B553" s="2" t="s">
        <v>33</v>
      </c>
      <c r="C553" s="2" t="s">
        <v>318</v>
      </c>
      <c r="D553" s="2" t="s">
        <v>20</v>
      </c>
      <c r="E553" s="3">
        <v>98146</v>
      </c>
      <c r="F553" s="4" t="s">
        <v>371</v>
      </c>
      <c r="G553" s="2" t="s">
        <v>1177</v>
      </c>
      <c r="H553" s="2" t="s">
        <v>1178</v>
      </c>
      <c r="I553" s="2" t="s">
        <v>212</v>
      </c>
      <c r="J553" s="2" t="s">
        <v>213</v>
      </c>
      <c r="K553" s="4" t="s">
        <v>815</v>
      </c>
      <c r="L553" s="4" t="s">
        <v>27</v>
      </c>
      <c r="M553" s="4" t="s">
        <v>319</v>
      </c>
      <c r="N553" s="5">
        <v>474264997</v>
      </c>
      <c r="O553" s="2" t="s">
        <v>543</v>
      </c>
      <c r="P553" s="2" t="s">
        <v>86</v>
      </c>
      <c r="Q553" s="4" t="s">
        <v>544</v>
      </c>
    </row>
    <row r="554" spans="1:17" hidden="1" x14ac:dyDescent="0.2">
      <c r="A554" s="2" t="s">
        <v>1341</v>
      </c>
      <c r="B554" s="2" t="s">
        <v>313</v>
      </c>
      <c r="C554" s="2" t="s">
        <v>313</v>
      </c>
      <c r="D554" s="2" t="s">
        <v>20</v>
      </c>
      <c r="E554" s="3">
        <v>99362</v>
      </c>
      <c r="F554" s="4" t="s">
        <v>371</v>
      </c>
      <c r="G554" s="2" t="s">
        <v>1177</v>
      </c>
      <c r="H554" s="2" t="s">
        <v>1178</v>
      </c>
      <c r="I554" s="2" t="s">
        <v>212</v>
      </c>
      <c r="J554" s="2" t="s">
        <v>213</v>
      </c>
      <c r="K554" s="4" t="s">
        <v>815</v>
      </c>
      <c r="L554" s="4" t="s">
        <v>27</v>
      </c>
      <c r="M554" s="4" t="s">
        <v>314</v>
      </c>
      <c r="N554" s="5">
        <v>290488782</v>
      </c>
      <c r="O554" s="2" t="s">
        <v>315</v>
      </c>
      <c r="P554" s="2" t="s">
        <v>52</v>
      </c>
      <c r="Q554" s="4" t="s">
        <v>1342</v>
      </c>
    </row>
    <row r="555" spans="1:17" hidden="1" x14ac:dyDescent="0.2">
      <c r="A555" s="2" t="s">
        <v>1341</v>
      </c>
      <c r="B555" s="2" t="s">
        <v>33</v>
      </c>
      <c r="C555" s="2" t="s">
        <v>146</v>
      </c>
      <c r="D555" s="2" t="s">
        <v>20</v>
      </c>
      <c r="E555" s="3">
        <v>98008</v>
      </c>
      <c r="F555" s="4" t="s">
        <v>371</v>
      </c>
      <c r="G555" s="2" t="s">
        <v>1177</v>
      </c>
      <c r="H555" s="2" t="s">
        <v>1178</v>
      </c>
      <c r="I555" s="2" t="s">
        <v>212</v>
      </c>
      <c r="J555" s="2" t="s">
        <v>213</v>
      </c>
      <c r="K555" s="4" t="s">
        <v>815</v>
      </c>
      <c r="L555" s="4" t="s">
        <v>27</v>
      </c>
      <c r="M555" s="4" t="s">
        <v>147</v>
      </c>
      <c r="N555" s="5">
        <v>259539367</v>
      </c>
      <c r="O555" s="2" t="s">
        <v>537</v>
      </c>
      <c r="P555" s="2" t="s">
        <v>37</v>
      </c>
      <c r="Q555" s="4" t="s">
        <v>538</v>
      </c>
    </row>
    <row r="556" spans="1:17" hidden="1" x14ac:dyDescent="0.2">
      <c r="A556" s="2" t="s">
        <v>1341</v>
      </c>
      <c r="B556" s="2" t="s">
        <v>33</v>
      </c>
      <c r="C556" s="2" t="s">
        <v>146</v>
      </c>
      <c r="D556" s="2" t="s">
        <v>20</v>
      </c>
      <c r="E556" s="3">
        <v>98007</v>
      </c>
      <c r="F556" s="4" t="s">
        <v>371</v>
      </c>
      <c r="G556" s="2" t="s">
        <v>1177</v>
      </c>
      <c r="H556" s="2" t="s">
        <v>1178</v>
      </c>
      <c r="I556" s="2" t="s">
        <v>212</v>
      </c>
      <c r="J556" s="2" t="s">
        <v>213</v>
      </c>
      <c r="K556" s="4" t="s">
        <v>815</v>
      </c>
      <c r="L556" s="4" t="s">
        <v>27</v>
      </c>
      <c r="M556" s="4" t="s">
        <v>147</v>
      </c>
      <c r="N556" s="5">
        <v>475289930</v>
      </c>
      <c r="O556" s="2" t="s">
        <v>753</v>
      </c>
      <c r="P556" s="2" t="s">
        <v>37</v>
      </c>
      <c r="Q556" s="4" t="s">
        <v>1343</v>
      </c>
    </row>
    <row r="557" spans="1:17" hidden="1" x14ac:dyDescent="0.2">
      <c r="A557" s="2" t="s">
        <v>1341</v>
      </c>
      <c r="B557" s="2" t="s">
        <v>33</v>
      </c>
      <c r="C557" s="2" t="s">
        <v>1056</v>
      </c>
      <c r="D557" s="2" t="s">
        <v>20</v>
      </c>
      <c r="E557" s="3">
        <v>98030</v>
      </c>
      <c r="F557" s="4" t="s">
        <v>371</v>
      </c>
      <c r="G557" s="2" t="s">
        <v>1177</v>
      </c>
      <c r="H557" s="2" t="s">
        <v>1178</v>
      </c>
      <c r="I557" s="2" t="s">
        <v>212</v>
      </c>
      <c r="J557" s="2" t="s">
        <v>213</v>
      </c>
      <c r="K557" s="4" t="s">
        <v>815</v>
      </c>
      <c r="L557" s="4" t="s">
        <v>27</v>
      </c>
      <c r="M557" s="4" t="s">
        <v>69</v>
      </c>
      <c r="N557" s="5">
        <v>474435510</v>
      </c>
      <c r="O557" s="2" t="s">
        <v>1344</v>
      </c>
      <c r="P557" s="2" t="s">
        <v>37</v>
      </c>
      <c r="Q557" s="4" t="s">
        <v>1336</v>
      </c>
    </row>
    <row r="558" spans="1:17" hidden="1" x14ac:dyDescent="0.2">
      <c r="A558" s="2" t="s">
        <v>1345</v>
      </c>
      <c r="B558" s="2" t="s">
        <v>40</v>
      </c>
      <c r="C558" s="2" t="s">
        <v>383</v>
      </c>
      <c r="D558" s="2" t="s">
        <v>20</v>
      </c>
      <c r="E558" s="3">
        <v>98203</v>
      </c>
      <c r="F558" s="4" t="s">
        <v>401</v>
      </c>
      <c r="G558" s="2" t="s">
        <v>1177</v>
      </c>
      <c r="H558" s="2" t="s">
        <v>1178</v>
      </c>
      <c r="I558" s="2" t="s">
        <v>212</v>
      </c>
      <c r="J558" s="2" t="s">
        <v>213</v>
      </c>
      <c r="K558" s="4" t="s">
        <v>1346</v>
      </c>
      <c r="L558" s="4" t="s">
        <v>27</v>
      </c>
      <c r="M558" s="4" t="s">
        <v>274</v>
      </c>
      <c r="N558" s="5">
        <v>218203443</v>
      </c>
      <c r="O558" s="2" t="s">
        <v>1347</v>
      </c>
      <c r="P558" s="2" t="s">
        <v>30</v>
      </c>
      <c r="Q558" s="4" t="s">
        <v>1348</v>
      </c>
    </row>
    <row r="559" spans="1:17" hidden="1" x14ac:dyDescent="0.2">
      <c r="A559" s="2" t="s">
        <v>1345</v>
      </c>
      <c r="B559" s="2" t="s">
        <v>40</v>
      </c>
      <c r="C559" s="2" t="s">
        <v>383</v>
      </c>
      <c r="D559" s="2" t="s">
        <v>20</v>
      </c>
      <c r="E559" s="3">
        <v>98201</v>
      </c>
      <c r="F559" s="4" t="s">
        <v>401</v>
      </c>
      <c r="G559" s="2" t="s">
        <v>1177</v>
      </c>
      <c r="H559" s="2" t="s">
        <v>1178</v>
      </c>
      <c r="I559" s="2" t="s">
        <v>212</v>
      </c>
      <c r="J559" s="2" t="s">
        <v>213</v>
      </c>
      <c r="K559" s="4" t="s">
        <v>1346</v>
      </c>
      <c r="L559" s="4" t="s">
        <v>27</v>
      </c>
      <c r="M559" s="4" t="s">
        <v>274</v>
      </c>
      <c r="N559" s="5">
        <v>269312445</v>
      </c>
      <c r="O559" s="2" t="s">
        <v>1161</v>
      </c>
      <c r="P559" s="2" t="s">
        <v>30</v>
      </c>
      <c r="Q559" s="4" t="s">
        <v>1349</v>
      </c>
    </row>
    <row r="560" spans="1:17" hidden="1" x14ac:dyDescent="0.2">
      <c r="A560" s="2" t="s">
        <v>1350</v>
      </c>
      <c r="B560" s="2" t="s">
        <v>33</v>
      </c>
      <c r="C560" s="2" t="s">
        <v>83</v>
      </c>
      <c r="D560" s="2" t="s">
        <v>20</v>
      </c>
      <c r="E560" s="3">
        <v>98121</v>
      </c>
      <c r="F560" s="4" t="s">
        <v>57</v>
      </c>
      <c r="G560" s="2" t="s">
        <v>1177</v>
      </c>
      <c r="H560" s="2" t="s">
        <v>1178</v>
      </c>
      <c r="I560" s="2" t="s">
        <v>212</v>
      </c>
      <c r="J560" s="2" t="s">
        <v>298</v>
      </c>
      <c r="K560" s="4" t="s">
        <v>27</v>
      </c>
      <c r="L560" s="4" t="s">
        <v>27</v>
      </c>
      <c r="M560" s="4" t="s">
        <v>84</v>
      </c>
      <c r="N560" s="5">
        <v>218025783</v>
      </c>
      <c r="O560" s="2" t="s">
        <v>238</v>
      </c>
      <c r="P560" s="2" t="s">
        <v>86</v>
      </c>
      <c r="Q560" s="4" t="s">
        <v>1351</v>
      </c>
    </row>
    <row r="561" spans="1:17" hidden="1" x14ac:dyDescent="0.2">
      <c r="A561" s="2" t="s">
        <v>1350</v>
      </c>
      <c r="B561" s="2" t="s">
        <v>151</v>
      </c>
      <c r="C561" s="2" t="s">
        <v>152</v>
      </c>
      <c r="D561" s="2" t="s">
        <v>20</v>
      </c>
      <c r="E561" s="3">
        <v>98506</v>
      </c>
      <c r="F561" s="4" t="s">
        <v>57</v>
      </c>
      <c r="G561" s="2" t="s">
        <v>1177</v>
      </c>
      <c r="H561" s="2" t="s">
        <v>1178</v>
      </c>
      <c r="I561" s="2" t="s">
        <v>212</v>
      </c>
      <c r="J561" s="2" t="s">
        <v>298</v>
      </c>
      <c r="K561" s="4" t="s">
        <v>27</v>
      </c>
      <c r="L561" s="4" t="s">
        <v>27</v>
      </c>
      <c r="M561" s="4" t="s">
        <v>90</v>
      </c>
      <c r="N561" s="5">
        <v>219604017</v>
      </c>
      <c r="O561" s="2" t="s">
        <v>487</v>
      </c>
      <c r="P561" s="2" t="s">
        <v>30</v>
      </c>
      <c r="Q561" s="4" t="s">
        <v>1352</v>
      </c>
    </row>
    <row r="562" spans="1:17" hidden="1" x14ac:dyDescent="0.2">
      <c r="A562" s="2" t="s">
        <v>1353</v>
      </c>
      <c r="B562" s="2" t="s">
        <v>33</v>
      </c>
      <c r="C562" s="2" t="s">
        <v>1056</v>
      </c>
      <c r="D562" s="2" t="s">
        <v>20</v>
      </c>
      <c r="E562" s="3">
        <v>98031</v>
      </c>
      <c r="F562" s="4" t="s">
        <v>130</v>
      </c>
      <c r="G562" s="2" t="s">
        <v>1177</v>
      </c>
      <c r="H562" s="2" t="s">
        <v>1178</v>
      </c>
      <c r="I562" s="2" t="s">
        <v>212</v>
      </c>
      <c r="J562" s="2" t="s">
        <v>298</v>
      </c>
      <c r="K562" s="4" t="s">
        <v>27</v>
      </c>
      <c r="L562" s="4" t="s">
        <v>27</v>
      </c>
      <c r="M562" s="4" t="s">
        <v>69</v>
      </c>
      <c r="N562" s="5">
        <v>276909111</v>
      </c>
      <c r="O562" s="2" t="s">
        <v>1057</v>
      </c>
      <c r="P562" s="2" t="s">
        <v>37</v>
      </c>
      <c r="Q562" s="4" t="s">
        <v>1058</v>
      </c>
    </row>
    <row r="563" spans="1:17" hidden="1" x14ac:dyDescent="0.2">
      <c r="A563" s="2" t="s">
        <v>1354</v>
      </c>
      <c r="B563" s="2" t="s">
        <v>33</v>
      </c>
      <c r="C563" s="2" t="s">
        <v>139</v>
      </c>
      <c r="D563" s="2" t="s">
        <v>20</v>
      </c>
      <c r="E563" s="3">
        <v>98056</v>
      </c>
      <c r="F563" s="4" t="s">
        <v>371</v>
      </c>
      <c r="G563" s="2" t="s">
        <v>1177</v>
      </c>
      <c r="H563" s="2" t="s">
        <v>1178</v>
      </c>
      <c r="I563" s="2" t="s">
        <v>212</v>
      </c>
      <c r="J563" s="2" t="s">
        <v>213</v>
      </c>
      <c r="K563" s="4" t="s">
        <v>815</v>
      </c>
      <c r="L563" s="4" t="s">
        <v>27</v>
      </c>
      <c r="M563" s="4" t="s">
        <v>403</v>
      </c>
      <c r="N563" s="5">
        <v>259662441</v>
      </c>
      <c r="O563" s="2" t="s">
        <v>593</v>
      </c>
      <c r="P563" s="2" t="s">
        <v>37</v>
      </c>
      <c r="Q563" s="4" t="s">
        <v>1355</v>
      </c>
    </row>
    <row r="564" spans="1:17" hidden="1" x14ac:dyDescent="0.2">
      <c r="A564" s="2" t="s">
        <v>1354</v>
      </c>
      <c r="B564" s="2" t="s">
        <v>33</v>
      </c>
      <c r="C564" s="2" t="s">
        <v>669</v>
      </c>
      <c r="D564" s="2" t="s">
        <v>20</v>
      </c>
      <c r="E564" s="3">
        <v>98053</v>
      </c>
      <c r="F564" s="4" t="s">
        <v>371</v>
      </c>
      <c r="G564" s="2" t="s">
        <v>1177</v>
      </c>
      <c r="H564" s="2" t="s">
        <v>1178</v>
      </c>
      <c r="I564" s="2" t="s">
        <v>212</v>
      </c>
      <c r="J564" s="2" t="s">
        <v>213</v>
      </c>
      <c r="K564" s="4" t="s">
        <v>815</v>
      </c>
      <c r="L564" s="4" t="s">
        <v>27</v>
      </c>
      <c r="M564" s="4" t="s">
        <v>198</v>
      </c>
      <c r="N564" s="5">
        <v>166351566</v>
      </c>
      <c r="O564" s="2" t="s">
        <v>1002</v>
      </c>
      <c r="P564" s="2" t="s">
        <v>37</v>
      </c>
      <c r="Q564" s="4" t="s">
        <v>1003</v>
      </c>
    </row>
    <row r="565" spans="1:17" hidden="1" x14ac:dyDescent="0.2">
      <c r="A565" s="2" t="s">
        <v>1354</v>
      </c>
      <c r="B565" s="2" t="s">
        <v>33</v>
      </c>
      <c r="C565" s="2" t="s">
        <v>146</v>
      </c>
      <c r="D565" s="2" t="s">
        <v>20</v>
      </c>
      <c r="E565" s="3">
        <v>98008</v>
      </c>
      <c r="F565" s="4" t="s">
        <v>371</v>
      </c>
      <c r="G565" s="2" t="s">
        <v>1177</v>
      </c>
      <c r="H565" s="2" t="s">
        <v>1178</v>
      </c>
      <c r="I565" s="2" t="s">
        <v>212</v>
      </c>
      <c r="J565" s="2" t="s">
        <v>213</v>
      </c>
      <c r="K565" s="4" t="s">
        <v>815</v>
      </c>
      <c r="L565" s="4" t="s">
        <v>27</v>
      </c>
      <c r="M565" s="4" t="s">
        <v>147</v>
      </c>
      <c r="N565" s="5">
        <v>474052071</v>
      </c>
      <c r="O565" s="2" t="s">
        <v>537</v>
      </c>
      <c r="P565" s="2" t="s">
        <v>37</v>
      </c>
      <c r="Q565" s="4" t="s">
        <v>1207</v>
      </c>
    </row>
    <row r="566" spans="1:17" hidden="1" x14ac:dyDescent="0.2">
      <c r="A566" s="2" t="s">
        <v>1356</v>
      </c>
      <c r="B566" s="2" t="s">
        <v>1147</v>
      </c>
      <c r="C566" s="2" t="s">
        <v>1148</v>
      </c>
      <c r="D566" s="2" t="s">
        <v>20</v>
      </c>
      <c r="E566" s="3">
        <v>99163</v>
      </c>
      <c r="F566" s="4" t="s">
        <v>408</v>
      </c>
      <c r="G566" s="2" t="s">
        <v>1177</v>
      </c>
      <c r="H566" s="2" t="s">
        <v>1178</v>
      </c>
      <c r="I566" s="2" t="s">
        <v>212</v>
      </c>
      <c r="J566" s="2" t="s">
        <v>213</v>
      </c>
      <c r="K566" s="4" t="s">
        <v>1184</v>
      </c>
      <c r="L566" s="4" t="s">
        <v>27</v>
      </c>
      <c r="M566" s="4" t="s">
        <v>1071</v>
      </c>
      <c r="N566" s="5">
        <v>4651076</v>
      </c>
      <c r="O566" s="2" t="s">
        <v>1149</v>
      </c>
      <c r="P566" s="2" t="s">
        <v>244</v>
      </c>
      <c r="Q566" s="4" t="s">
        <v>1357</v>
      </c>
    </row>
    <row r="567" spans="1:17" hidden="1" x14ac:dyDescent="0.2">
      <c r="A567" s="2" t="s">
        <v>1358</v>
      </c>
      <c r="B567" s="2" t="s">
        <v>40</v>
      </c>
      <c r="C567" s="2" t="s">
        <v>383</v>
      </c>
      <c r="D567" s="2" t="s">
        <v>20</v>
      </c>
      <c r="E567" s="3">
        <v>98208</v>
      </c>
      <c r="F567" s="4" t="s">
        <v>401</v>
      </c>
      <c r="G567" s="2" t="s">
        <v>1177</v>
      </c>
      <c r="H567" s="2" t="s">
        <v>1178</v>
      </c>
      <c r="I567" s="2" t="s">
        <v>212</v>
      </c>
      <c r="J567" s="2" t="s">
        <v>213</v>
      </c>
      <c r="K567" s="4" t="s">
        <v>1346</v>
      </c>
      <c r="L567" s="4" t="s">
        <v>27</v>
      </c>
      <c r="M567" s="4" t="s">
        <v>274</v>
      </c>
      <c r="N567" s="5">
        <v>132825227</v>
      </c>
      <c r="O567" s="2" t="s">
        <v>384</v>
      </c>
      <c r="P567" s="2" t="s">
        <v>30</v>
      </c>
      <c r="Q567" s="4" t="s">
        <v>1359</v>
      </c>
    </row>
    <row r="568" spans="1:17" hidden="1" x14ac:dyDescent="0.2">
      <c r="A568" s="2" t="s">
        <v>1360</v>
      </c>
      <c r="B568" s="2" t="s">
        <v>55</v>
      </c>
      <c r="C568" s="2" t="s">
        <v>282</v>
      </c>
      <c r="D568" s="2" t="s">
        <v>20</v>
      </c>
      <c r="E568" s="3">
        <v>98671</v>
      </c>
      <c r="F568" s="4" t="s">
        <v>57</v>
      </c>
      <c r="G568" s="2" t="s">
        <v>1177</v>
      </c>
      <c r="H568" s="2" t="s">
        <v>1178</v>
      </c>
      <c r="I568" s="2" t="s">
        <v>212</v>
      </c>
      <c r="J568" s="2" t="s">
        <v>298</v>
      </c>
      <c r="K568" s="4" t="s">
        <v>27</v>
      </c>
      <c r="L568" s="4" t="s">
        <v>27</v>
      </c>
      <c r="M568" s="4" t="s">
        <v>58</v>
      </c>
      <c r="N568" s="5">
        <v>190174673</v>
      </c>
      <c r="O568" s="2" t="s">
        <v>285</v>
      </c>
      <c r="P568" s="2" t="s">
        <v>60</v>
      </c>
      <c r="Q568" s="4" t="s">
        <v>286</v>
      </c>
    </row>
    <row r="569" spans="1:17" hidden="1" x14ac:dyDescent="0.2">
      <c r="A569" s="2" t="s">
        <v>1360</v>
      </c>
      <c r="B569" s="2" t="s">
        <v>33</v>
      </c>
      <c r="C569" s="2" t="s">
        <v>83</v>
      </c>
      <c r="D569" s="2" t="s">
        <v>20</v>
      </c>
      <c r="E569" s="3">
        <v>98144</v>
      </c>
      <c r="F569" s="4" t="s">
        <v>57</v>
      </c>
      <c r="G569" s="2" t="s">
        <v>1177</v>
      </c>
      <c r="H569" s="2" t="s">
        <v>1178</v>
      </c>
      <c r="I569" s="2" t="s">
        <v>212</v>
      </c>
      <c r="J569" s="2" t="s">
        <v>298</v>
      </c>
      <c r="K569" s="4" t="s">
        <v>27</v>
      </c>
      <c r="L569" s="4" t="s">
        <v>27</v>
      </c>
      <c r="M569" s="4" t="s">
        <v>284</v>
      </c>
      <c r="N569" s="5">
        <v>202005275</v>
      </c>
      <c r="O569" s="2" t="s">
        <v>867</v>
      </c>
      <c r="P569" s="2" t="s">
        <v>86</v>
      </c>
      <c r="Q569" s="4" t="s">
        <v>1361</v>
      </c>
    </row>
    <row r="570" spans="1:17" hidden="1" x14ac:dyDescent="0.2">
      <c r="A570" s="2" t="s">
        <v>1360</v>
      </c>
      <c r="B570" s="2" t="s">
        <v>33</v>
      </c>
      <c r="C570" s="2" t="s">
        <v>34</v>
      </c>
      <c r="D570" s="2" t="s">
        <v>20</v>
      </c>
      <c r="E570" s="3">
        <v>98029</v>
      </c>
      <c r="F570" s="4" t="s">
        <v>57</v>
      </c>
      <c r="G570" s="2" t="s">
        <v>1177</v>
      </c>
      <c r="H570" s="2" t="s">
        <v>1178</v>
      </c>
      <c r="I570" s="2" t="s">
        <v>212</v>
      </c>
      <c r="J570" s="2" t="s">
        <v>298</v>
      </c>
      <c r="K570" s="4" t="s">
        <v>27</v>
      </c>
      <c r="L570" s="4" t="s">
        <v>27</v>
      </c>
      <c r="M570" s="4" t="s">
        <v>35</v>
      </c>
      <c r="N570" s="5">
        <v>205027385</v>
      </c>
      <c r="O570" s="2" t="s">
        <v>795</v>
      </c>
      <c r="P570" s="2" t="s">
        <v>37</v>
      </c>
      <c r="Q570" s="4" t="s">
        <v>796</v>
      </c>
    </row>
    <row r="571" spans="1:17" hidden="1" x14ac:dyDescent="0.2">
      <c r="A571" s="2" t="s">
        <v>1362</v>
      </c>
      <c r="B571" s="2" t="s">
        <v>33</v>
      </c>
      <c r="C571" s="2" t="s">
        <v>1204</v>
      </c>
      <c r="D571" s="2" t="s">
        <v>20</v>
      </c>
      <c r="E571" s="3">
        <v>98198</v>
      </c>
      <c r="F571" s="4" t="s">
        <v>371</v>
      </c>
      <c r="G571" s="2" t="s">
        <v>1177</v>
      </c>
      <c r="H571" s="2" t="s">
        <v>1178</v>
      </c>
      <c r="I571" s="2" t="s">
        <v>212</v>
      </c>
      <c r="J571" s="2" t="s">
        <v>213</v>
      </c>
      <c r="K571" s="4" t="s">
        <v>815</v>
      </c>
      <c r="L571" s="4" t="s">
        <v>27</v>
      </c>
      <c r="M571" s="4" t="s">
        <v>909</v>
      </c>
      <c r="N571" s="5">
        <v>301101713</v>
      </c>
      <c r="O571" s="2" t="s">
        <v>518</v>
      </c>
      <c r="P571" s="2" t="s">
        <v>37</v>
      </c>
      <c r="Q571" s="4" t="s">
        <v>1363</v>
      </c>
    </row>
    <row r="572" spans="1:17" hidden="1" x14ac:dyDescent="0.2">
      <c r="A572" s="2" t="s">
        <v>1362</v>
      </c>
      <c r="B572" s="2" t="s">
        <v>443</v>
      </c>
      <c r="C572" s="2" t="s">
        <v>1364</v>
      </c>
      <c r="D572" s="2" t="s">
        <v>20</v>
      </c>
      <c r="E572" s="3">
        <v>98286</v>
      </c>
      <c r="F572" s="4" t="s">
        <v>371</v>
      </c>
      <c r="G572" s="2" t="s">
        <v>1177</v>
      </c>
      <c r="H572" s="2" t="s">
        <v>1178</v>
      </c>
      <c r="I572" s="2" t="s">
        <v>212</v>
      </c>
      <c r="J572" s="2" t="s">
        <v>213</v>
      </c>
      <c r="K572" s="4" t="s">
        <v>815</v>
      </c>
      <c r="L572" s="4" t="s">
        <v>27</v>
      </c>
      <c r="M572" s="4" t="s">
        <v>409</v>
      </c>
      <c r="N572" s="5">
        <v>476086460</v>
      </c>
      <c r="O572" s="2" t="s">
        <v>1365</v>
      </c>
      <c r="P572" s="2" t="s">
        <v>446</v>
      </c>
      <c r="Q572" s="4" t="s">
        <v>1366</v>
      </c>
    </row>
    <row r="573" spans="1:17" hidden="1" x14ac:dyDescent="0.2">
      <c r="A573" s="2" t="s">
        <v>1362</v>
      </c>
      <c r="B573" s="2" t="s">
        <v>40</v>
      </c>
      <c r="C573" s="2" t="s">
        <v>1367</v>
      </c>
      <c r="D573" s="2" t="s">
        <v>20</v>
      </c>
      <c r="E573" s="3">
        <v>98012</v>
      </c>
      <c r="F573" s="4" t="s">
        <v>371</v>
      </c>
      <c r="G573" s="2" t="s">
        <v>1177</v>
      </c>
      <c r="H573" s="2" t="s">
        <v>1178</v>
      </c>
      <c r="I573" s="2" t="s">
        <v>212</v>
      </c>
      <c r="J573" s="2" t="s">
        <v>213</v>
      </c>
      <c r="K573" s="4" t="s">
        <v>815</v>
      </c>
      <c r="L573" s="4" t="s">
        <v>27</v>
      </c>
      <c r="M573" s="4" t="s">
        <v>116</v>
      </c>
      <c r="N573" s="5">
        <v>346688590</v>
      </c>
      <c r="O573" s="2" t="s">
        <v>91</v>
      </c>
      <c r="P573" s="2" t="s">
        <v>30</v>
      </c>
      <c r="Q573" s="4" t="s">
        <v>1368</v>
      </c>
    </row>
    <row r="574" spans="1:17" hidden="1" x14ac:dyDescent="0.2">
      <c r="A574" s="2" t="s">
        <v>1369</v>
      </c>
      <c r="B574" s="2" t="s">
        <v>48</v>
      </c>
      <c r="C574" s="2" t="s">
        <v>49</v>
      </c>
      <c r="D574" s="2" t="s">
        <v>20</v>
      </c>
      <c r="E574" s="3">
        <v>98953</v>
      </c>
      <c r="F574" s="4" t="s">
        <v>408</v>
      </c>
      <c r="G574" s="2" t="s">
        <v>1177</v>
      </c>
      <c r="H574" s="2" t="s">
        <v>1178</v>
      </c>
      <c r="I574" s="2" t="s">
        <v>212</v>
      </c>
      <c r="J574" s="2" t="s">
        <v>213</v>
      </c>
      <c r="K574" s="4" t="s">
        <v>1184</v>
      </c>
      <c r="L574" s="4" t="s">
        <v>27</v>
      </c>
      <c r="M574" s="4" t="s">
        <v>50</v>
      </c>
      <c r="N574" s="5">
        <v>267588555</v>
      </c>
      <c r="O574" s="2" t="s">
        <v>51</v>
      </c>
      <c r="P574" s="2" t="s">
        <v>52</v>
      </c>
      <c r="Q574" s="4" t="s">
        <v>53</v>
      </c>
    </row>
    <row r="575" spans="1:17" hidden="1" x14ac:dyDescent="0.2">
      <c r="A575" s="2" t="s">
        <v>1369</v>
      </c>
      <c r="B575" s="2" t="s">
        <v>33</v>
      </c>
      <c r="C575" s="2" t="s">
        <v>83</v>
      </c>
      <c r="D575" s="2" t="s">
        <v>20</v>
      </c>
      <c r="E575" s="3">
        <v>98121</v>
      </c>
      <c r="F575" s="4" t="s">
        <v>408</v>
      </c>
      <c r="G575" s="2" t="s">
        <v>1177</v>
      </c>
      <c r="H575" s="2" t="s">
        <v>1178</v>
      </c>
      <c r="I575" s="2" t="s">
        <v>212</v>
      </c>
      <c r="J575" s="2" t="s">
        <v>213</v>
      </c>
      <c r="K575" s="4" t="s">
        <v>1184</v>
      </c>
      <c r="L575" s="4" t="s">
        <v>27</v>
      </c>
      <c r="M575" s="4" t="s">
        <v>84</v>
      </c>
      <c r="N575" s="5">
        <v>174870062</v>
      </c>
      <c r="O575" s="2" t="s">
        <v>238</v>
      </c>
      <c r="P575" s="2" t="s">
        <v>86</v>
      </c>
      <c r="Q575" s="4" t="s">
        <v>1351</v>
      </c>
    </row>
    <row r="576" spans="1:17" hidden="1" x14ac:dyDescent="0.2">
      <c r="A576" s="2" t="s">
        <v>1369</v>
      </c>
      <c r="B576" s="2" t="s">
        <v>262</v>
      </c>
      <c r="C576" s="2" t="s">
        <v>263</v>
      </c>
      <c r="D576" s="2" t="s">
        <v>20</v>
      </c>
      <c r="E576" s="3">
        <v>98837</v>
      </c>
      <c r="F576" s="4" t="s">
        <v>408</v>
      </c>
      <c r="G576" s="2" t="s">
        <v>1177</v>
      </c>
      <c r="H576" s="2" t="s">
        <v>1178</v>
      </c>
      <c r="I576" s="2" t="s">
        <v>212</v>
      </c>
      <c r="J576" s="2" t="s">
        <v>213</v>
      </c>
      <c r="K576" s="4" t="s">
        <v>1184</v>
      </c>
      <c r="L576" s="4" t="s">
        <v>27</v>
      </c>
      <c r="M576" s="4" t="s">
        <v>264</v>
      </c>
      <c r="N576" s="5">
        <v>272948553</v>
      </c>
      <c r="O576" s="2" t="s">
        <v>265</v>
      </c>
      <c r="P576" s="2" t="s">
        <v>266</v>
      </c>
      <c r="Q576" s="4" t="s">
        <v>1370</v>
      </c>
    </row>
    <row r="577" spans="1:17" hidden="1" x14ac:dyDescent="0.2">
      <c r="A577" s="2" t="s">
        <v>1371</v>
      </c>
      <c r="B577" s="2" t="s">
        <v>48</v>
      </c>
      <c r="C577" s="2" t="s">
        <v>48</v>
      </c>
      <c r="D577" s="2" t="s">
        <v>20</v>
      </c>
      <c r="E577" s="3">
        <v>98908</v>
      </c>
      <c r="F577" s="4" t="s">
        <v>401</v>
      </c>
      <c r="G577" s="2" t="s">
        <v>1177</v>
      </c>
      <c r="H577" s="2" t="s">
        <v>1178</v>
      </c>
      <c r="I577" s="2" t="s">
        <v>212</v>
      </c>
      <c r="J577" s="2" t="s">
        <v>213</v>
      </c>
      <c r="K577" s="4" t="s">
        <v>1346</v>
      </c>
      <c r="L577" s="4" t="s">
        <v>27</v>
      </c>
      <c r="M577" s="4" t="s">
        <v>323</v>
      </c>
      <c r="N577" s="5">
        <v>127175366</v>
      </c>
      <c r="O577" s="2" t="s">
        <v>596</v>
      </c>
      <c r="P577" s="2" t="s">
        <v>52</v>
      </c>
      <c r="Q577" s="4" t="s">
        <v>1372</v>
      </c>
    </row>
    <row r="578" spans="1:17" hidden="1" x14ac:dyDescent="0.2">
      <c r="A578" s="2" t="s">
        <v>1371</v>
      </c>
      <c r="B578" s="2" t="s">
        <v>33</v>
      </c>
      <c r="C578" s="2" t="s">
        <v>68</v>
      </c>
      <c r="D578" s="2" t="s">
        <v>20</v>
      </c>
      <c r="E578" s="3">
        <v>98002</v>
      </c>
      <c r="F578" s="4" t="s">
        <v>401</v>
      </c>
      <c r="G578" s="2" t="s">
        <v>1177</v>
      </c>
      <c r="H578" s="2" t="s">
        <v>1178</v>
      </c>
      <c r="I578" s="2" t="s">
        <v>212</v>
      </c>
      <c r="J578" s="2" t="s">
        <v>213</v>
      </c>
      <c r="K578" s="4" t="s">
        <v>1346</v>
      </c>
      <c r="L578" s="4" t="s">
        <v>27</v>
      </c>
      <c r="M578" s="4" t="s">
        <v>112</v>
      </c>
      <c r="N578" s="5">
        <v>274322632</v>
      </c>
      <c r="O578" s="2" t="s">
        <v>70</v>
      </c>
      <c r="P578" s="2" t="s">
        <v>37</v>
      </c>
      <c r="Q578" s="4" t="s">
        <v>1373</v>
      </c>
    </row>
    <row r="579" spans="1:17" hidden="1" x14ac:dyDescent="0.2">
      <c r="A579" s="2" t="s">
        <v>1374</v>
      </c>
      <c r="B579" s="2" t="s">
        <v>33</v>
      </c>
      <c r="C579" s="2" t="s">
        <v>169</v>
      </c>
      <c r="D579" s="2" t="s">
        <v>20</v>
      </c>
      <c r="E579" s="3">
        <v>98033</v>
      </c>
      <c r="F579" s="4" t="s">
        <v>42</v>
      </c>
      <c r="G579" s="2" t="s">
        <v>1177</v>
      </c>
      <c r="H579" s="2" t="s">
        <v>1178</v>
      </c>
      <c r="I579" s="2" t="s">
        <v>212</v>
      </c>
      <c r="J579" s="2" t="s">
        <v>298</v>
      </c>
      <c r="K579" s="4" t="s">
        <v>27</v>
      </c>
      <c r="L579" s="4" t="s">
        <v>27</v>
      </c>
      <c r="M579" s="4" t="s">
        <v>147</v>
      </c>
      <c r="N579" s="5">
        <v>190320721</v>
      </c>
      <c r="O579" s="2" t="s">
        <v>204</v>
      </c>
      <c r="P579" s="2" t="s">
        <v>37</v>
      </c>
      <c r="Q579" s="4" t="s">
        <v>1201</v>
      </c>
    </row>
    <row r="580" spans="1:17" hidden="1" x14ac:dyDescent="0.2">
      <c r="A580" s="2" t="s">
        <v>1375</v>
      </c>
      <c r="B580" s="2" t="s">
        <v>1376</v>
      </c>
      <c r="C580" s="2" t="s">
        <v>1377</v>
      </c>
      <c r="D580" s="2" t="s">
        <v>20</v>
      </c>
      <c r="E580" s="3">
        <v>98674</v>
      </c>
      <c r="F580" s="4" t="s">
        <v>57</v>
      </c>
      <c r="G580" s="2" t="s">
        <v>1177</v>
      </c>
      <c r="H580" s="2" t="s">
        <v>1178</v>
      </c>
      <c r="I580" s="2" t="s">
        <v>212</v>
      </c>
      <c r="J580" s="2" t="s">
        <v>298</v>
      </c>
      <c r="K580" s="4" t="s">
        <v>27</v>
      </c>
      <c r="L580" s="4" t="s">
        <v>27</v>
      </c>
      <c r="M580" s="4" t="s">
        <v>79</v>
      </c>
      <c r="N580" s="5">
        <v>280223009</v>
      </c>
      <c r="O580" s="2" t="s">
        <v>1378</v>
      </c>
      <c r="P580" s="2" t="s">
        <v>1379</v>
      </c>
      <c r="Q580" s="4" t="s">
        <v>1380</v>
      </c>
    </row>
    <row r="581" spans="1:17" hidden="1" x14ac:dyDescent="0.2">
      <c r="A581" s="2" t="s">
        <v>1375</v>
      </c>
      <c r="B581" s="2" t="s">
        <v>331</v>
      </c>
      <c r="C581" s="2" t="s">
        <v>331</v>
      </c>
      <c r="D581" s="2" t="s">
        <v>20</v>
      </c>
      <c r="E581" s="3">
        <v>99216</v>
      </c>
      <c r="F581" s="4" t="s">
        <v>57</v>
      </c>
      <c r="G581" s="2" t="s">
        <v>1177</v>
      </c>
      <c r="H581" s="2" t="s">
        <v>1178</v>
      </c>
      <c r="I581" s="2" t="s">
        <v>212</v>
      </c>
      <c r="J581" s="2" t="s">
        <v>298</v>
      </c>
      <c r="K581" s="4" t="s">
        <v>27</v>
      </c>
      <c r="L581" s="4" t="s">
        <v>27</v>
      </c>
      <c r="M581" s="4" t="s">
        <v>1381</v>
      </c>
      <c r="N581" s="5">
        <v>280041478</v>
      </c>
      <c r="O581" s="2" t="s">
        <v>1382</v>
      </c>
      <c r="P581" s="2" t="s">
        <v>334</v>
      </c>
      <c r="Q581" s="4" t="s">
        <v>1383</v>
      </c>
    </row>
    <row r="582" spans="1:17" hidden="1" x14ac:dyDescent="0.2">
      <c r="A582" s="2" t="s">
        <v>1384</v>
      </c>
      <c r="B582" s="2" t="s">
        <v>40</v>
      </c>
      <c r="C582" s="2" t="s">
        <v>1385</v>
      </c>
      <c r="D582" s="2" t="s">
        <v>20</v>
      </c>
      <c r="E582" s="3">
        <v>98272</v>
      </c>
      <c r="F582" s="4" t="s">
        <v>21</v>
      </c>
      <c r="G582" s="2" t="s">
        <v>1177</v>
      </c>
      <c r="H582" s="2" t="s">
        <v>1178</v>
      </c>
      <c r="I582" s="2" t="s">
        <v>212</v>
      </c>
      <c r="J582" s="2" t="s">
        <v>298</v>
      </c>
      <c r="K582" s="4" t="s">
        <v>27</v>
      </c>
      <c r="L582" s="4" t="s">
        <v>27</v>
      </c>
      <c r="M582" s="4" t="s">
        <v>44</v>
      </c>
      <c r="N582" s="5">
        <v>251096065</v>
      </c>
      <c r="O582" s="2" t="s">
        <v>1386</v>
      </c>
      <c r="P582" s="2" t="s">
        <v>30</v>
      </c>
      <c r="Q582" s="4" t="s">
        <v>1387</v>
      </c>
    </row>
    <row r="583" spans="1:17" hidden="1" x14ac:dyDescent="0.2">
      <c r="A583" s="2" t="s">
        <v>1388</v>
      </c>
      <c r="B583" s="2" t="s">
        <v>55</v>
      </c>
      <c r="C583" s="2" t="s">
        <v>56</v>
      </c>
      <c r="D583" s="2" t="s">
        <v>20</v>
      </c>
      <c r="E583" s="3">
        <v>98607</v>
      </c>
      <c r="F583" s="4" t="s">
        <v>130</v>
      </c>
      <c r="G583" s="2" t="s">
        <v>1177</v>
      </c>
      <c r="H583" s="2" t="s">
        <v>1178</v>
      </c>
      <c r="I583" s="2" t="s">
        <v>212</v>
      </c>
      <c r="J583" s="2" t="s">
        <v>298</v>
      </c>
      <c r="K583" s="4" t="s">
        <v>27</v>
      </c>
      <c r="L583" s="4" t="s">
        <v>27</v>
      </c>
      <c r="M583" s="4" t="s">
        <v>58</v>
      </c>
      <c r="N583" s="5">
        <v>281950756</v>
      </c>
      <c r="O583" s="2" t="s">
        <v>59</v>
      </c>
      <c r="P583" s="2" t="s">
        <v>60</v>
      </c>
      <c r="Q583" s="4" t="s">
        <v>1389</v>
      </c>
    </row>
    <row r="584" spans="1:17" hidden="1" x14ac:dyDescent="0.2">
      <c r="A584" s="2" t="s">
        <v>1390</v>
      </c>
      <c r="B584" s="2" t="s">
        <v>40</v>
      </c>
      <c r="C584" s="2" t="s">
        <v>268</v>
      </c>
      <c r="D584" s="2" t="s">
        <v>20</v>
      </c>
      <c r="E584" s="3">
        <v>98026</v>
      </c>
      <c r="F584" s="4" t="s">
        <v>371</v>
      </c>
      <c r="G584" s="2" t="s">
        <v>1177</v>
      </c>
      <c r="H584" s="2" t="s">
        <v>1178</v>
      </c>
      <c r="I584" s="2" t="s">
        <v>212</v>
      </c>
      <c r="J584" s="2" t="s">
        <v>213</v>
      </c>
      <c r="K584" s="4" t="s">
        <v>815</v>
      </c>
      <c r="L584" s="4" t="s">
        <v>27</v>
      </c>
      <c r="M584" s="4" t="s">
        <v>26</v>
      </c>
      <c r="N584" s="5">
        <v>258699493</v>
      </c>
      <c r="O584" s="2" t="s">
        <v>640</v>
      </c>
      <c r="P584" s="2" t="s">
        <v>30</v>
      </c>
      <c r="Q584" s="4" t="s">
        <v>813</v>
      </c>
    </row>
    <row r="585" spans="1:17" hidden="1" x14ac:dyDescent="0.2">
      <c r="A585" s="2" t="s">
        <v>1390</v>
      </c>
      <c r="B585" s="2" t="s">
        <v>33</v>
      </c>
      <c r="C585" s="2" t="s">
        <v>1391</v>
      </c>
      <c r="D585" s="2" t="s">
        <v>20</v>
      </c>
      <c r="E585" s="3">
        <v>98039</v>
      </c>
      <c r="F585" s="4" t="s">
        <v>371</v>
      </c>
      <c r="G585" s="2" t="s">
        <v>1177</v>
      </c>
      <c r="H585" s="2" t="s">
        <v>1178</v>
      </c>
      <c r="I585" s="2" t="s">
        <v>212</v>
      </c>
      <c r="J585" s="2" t="s">
        <v>213</v>
      </c>
      <c r="K585" s="4" t="s">
        <v>815</v>
      </c>
      <c r="L585" s="4" t="s">
        <v>27</v>
      </c>
      <c r="M585" s="4" t="s">
        <v>147</v>
      </c>
      <c r="N585" s="5">
        <v>273311853</v>
      </c>
      <c r="O585" s="2" t="s">
        <v>1392</v>
      </c>
      <c r="P585" s="2" t="s">
        <v>37</v>
      </c>
      <c r="Q585" s="4" t="s">
        <v>1393</v>
      </c>
    </row>
    <row r="586" spans="1:17" hidden="1" x14ac:dyDescent="0.2">
      <c r="A586" s="2" t="s">
        <v>1394</v>
      </c>
      <c r="B586" s="2" t="s">
        <v>48</v>
      </c>
      <c r="C586" s="2" t="s">
        <v>48</v>
      </c>
      <c r="D586" s="2" t="s">
        <v>20</v>
      </c>
      <c r="E586" s="3">
        <v>98901</v>
      </c>
      <c r="F586" s="4" t="s">
        <v>401</v>
      </c>
      <c r="G586" s="2" t="s">
        <v>1177</v>
      </c>
      <c r="H586" s="2" t="s">
        <v>1178</v>
      </c>
      <c r="I586" s="2" t="s">
        <v>212</v>
      </c>
      <c r="J586" s="2" t="s">
        <v>213</v>
      </c>
      <c r="K586" s="4" t="s">
        <v>1346</v>
      </c>
      <c r="L586" s="4" t="s">
        <v>27</v>
      </c>
      <c r="M586" s="4" t="s">
        <v>50</v>
      </c>
      <c r="N586" s="5">
        <v>237967131</v>
      </c>
      <c r="O586" s="2" t="s">
        <v>1258</v>
      </c>
      <c r="P586" s="2" t="s">
        <v>52</v>
      </c>
      <c r="Q586" s="4" t="s">
        <v>1259</v>
      </c>
    </row>
    <row r="587" spans="1:17" hidden="1" x14ac:dyDescent="0.2">
      <c r="A587" s="2" t="s">
        <v>1395</v>
      </c>
      <c r="B587" s="2" t="s">
        <v>804</v>
      </c>
      <c r="C587" s="2" t="s">
        <v>805</v>
      </c>
      <c r="D587" s="2" t="s">
        <v>20</v>
      </c>
      <c r="E587" s="3">
        <v>99354</v>
      </c>
      <c r="F587" s="4" t="s">
        <v>121</v>
      </c>
      <c r="G587" s="2" t="s">
        <v>1177</v>
      </c>
      <c r="H587" s="2" t="s">
        <v>1178</v>
      </c>
      <c r="I587" s="2" t="s">
        <v>212</v>
      </c>
      <c r="J587" s="2" t="s">
        <v>298</v>
      </c>
      <c r="K587" s="4" t="s">
        <v>27</v>
      </c>
      <c r="L587" s="4" t="s">
        <v>27</v>
      </c>
      <c r="M587" s="4" t="s">
        <v>806</v>
      </c>
      <c r="N587" s="5">
        <v>271915325</v>
      </c>
      <c r="O587" s="2" t="s">
        <v>807</v>
      </c>
      <c r="P587" s="2" t="s">
        <v>808</v>
      </c>
      <c r="Q587" s="4" t="s">
        <v>1396</v>
      </c>
    </row>
    <row r="588" spans="1:17" hidden="1" x14ac:dyDescent="0.2">
      <c r="A588" s="2" t="s">
        <v>1397</v>
      </c>
      <c r="B588" s="2" t="s">
        <v>33</v>
      </c>
      <c r="C588" s="2" t="s">
        <v>1056</v>
      </c>
      <c r="D588" s="2" t="s">
        <v>20</v>
      </c>
      <c r="E588" s="3">
        <v>98042</v>
      </c>
      <c r="F588" s="4" t="s">
        <v>371</v>
      </c>
      <c r="G588" s="2" t="s">
        <v>1177</v>
      </c>
      <c r="H588" s="2" t="s">
        <v>1178</v>
      </c>
      <c r="I588" s="2" t="s">
        <v>212</v>
      </c>
      <c r="J588" s="2" t="s">
        <v>213</v>
      </c>
      <c r="K588" s="4" t="s">
        <v>815</v>
      </c>
      <c r="L588" s="4" t="s">
        <v>27</v>
      </c>
      <c r="M588" s="4" t="s">
        <v>69</v>
      </c>
      <c r="N588" s="5">
        <v>237884993</v>
      </c>
      <c r="O588" s="2" t="s">
        <v>1398</v>
      </c>
      <c r="P588" s="2" t="s">
        <v>37</v>
      </c>
      <c r="Q588" s="4" t="s">
        <v>1399</v>
      </c>
    </row>
    <row r="589" spans="1:17" hidden="1" x14ac:dyDescent="0.2">
      <c r="A589" s="2" t="s">
        <v>1397</v>
      </c>
      <c r="B589" s="2" t="s">
        <v>33</v>
      </c>
      <c r="C589" s="2" t="s">
        <v>1056</v>
      </c>
      <c r="D589" s="2" t="s">
        <v>20</v>
      </c>
      <c r="E589" s="3">
        <v>98042</v>
      </c>
      <c r="F589" s="4" t="s">
        <v>371</v>
      </c>
      <c r="G589" s="2" t="s">
        <v>1177</v>
      </c>
      <c r="H589" s="2" t="s">
        <v>1178</v>
      </c>
      <c r="I589" s="2" t="s">
        <v>212</v>
      </c>
      <c r="J589" s="2" t="s">
        <v>213</v>
      </c>
      <c r="K589" s="4" t="s">
        <v>815</v>
      </c>
      <c r="L589" s="4" t="s">
        <v>27</v>
      </c>
      <c r="M589" s="4" t="s">
        <v>69</v>
      </c>
      <c r="N589" s="5">
        <v>474024960</v>
      </c>
      <c r="O589" s="2" t="s">
        <v>1398</v>
      </c>
      <c r="P589" s="2" t="s">
        <v>37</v>
      </c>
      <c r="Q589" s="4" t="s">
        <v>1399</v>
      </c>
    </row>
    <row r="590" spans="1:17" hidden="1" x14ac:dyDescent="0.2">
      <c r="A590" s="2" t="s">
        <v>1397</v>
      </c>
      <c r="B590" s="2" t="s">
        <v>40</v>
      </c>
      <c r="C590" s="2" t="s">
        <v>73</v>
      </c>
      <c r="D590" s="2" t="s">
        <v>20</v>
      </c>
      <c r="E590" s="3">
        <v>98037</v>
      </c>
      <c r="F590" s="4" t="s">
        <v>371</v>
      </c>
      <c r="G590" s="2" t="s">
        <v>1177</v>
      </c>
      <c r="H590" s="2" t="s">
        <v>1178</v>
      </c>
      <c r="I590" s="2" t="s">
        <v>212</v>
      </c>
      <c r="J590" s="2" t="s">
        <v>213</v>
      </c>
      <c r="K590" s="4" t="s">
        <v>815</v>
      </c>
      <c r="L590" s="4" t="s">
        <v>27</v>
      </c>
      <c r="M590" s="4" t="s">
        <v>74</v>
      </c>
      <c r="N590" s="5">
        <v>473926617</v>
      </c>
      <c r="O590" s="2" t="s">
        <v>1400</v>
      </c>
      <c r="P590" s="2" t="s">
        <v>30</v>
      </c>
      <c r="Q590" s="4" t="s">
        <v>1401</v>
      </c>
    </row>
    <row r="591" spans="1:17" hidden="1" x14ac:dyDescent="0.2">
      <c r="A591" s="2" t="s">
        <v>1397</v>
      </c>
      <c r="B591" s="2" t="s">
        <v>33</v>
      </c>
      <c r="C591" s="2" t="s">
        <v>146</v>
      </c>
      <c r="D591" s="2" t="s">
        <v>20</v>
      </c>
      <c r="E591" s="3">
        <v>98007</v>
      </c>
      <c r="F591" s="4" t="s">
        <v>371</v>
      </c>
      <c r="G591" s="2" t="s">
        <v>1177</v>
      </c>
      <c r="H591" s="2" t="s">
        <v>1178</v>
      </c>
      <c r="I591" s="2" t="s">
        <v>212</v>
      </c>
      <c r="J591" s="2" t="s">
        <v>213</v>
      </c>
      <c r="K591" s="4" t="s">
        <v>815</v>
      </c>
      <c r="L591" s="4" t="s">
        <v>27</v>
      </c>
      <c r="M591" s="4" t="s">
        <v>147</v>
      </c>
      <c r="N591" s="5">
        <v>209921834</v>
      </c>
      <c r="O591" s="2" t="s">
        <v>753</v>
      </c>
      <c r="P591" s="2" t="s">
        <v>37</v>
      </c>
      <c r="Q591" s="4" t="s">
        <v>791</v>
      </c>
    </row>
    <row r="592" spans="1:17" hidden="1" x14ac:dyDescent="0.2">
      <c r="A592" s="2" t="s">
        <v>1402</v>
      </c>
      <c r="B592" s="2" t="s">
        <v>151</v>
      </c>
      <c r="C592" s="2" t="s">
        <v>356</v>
      </c>
      <c r="D592" s="2" t="s">
        <v>20</v>
      </c>
      <c r="E592" s="3">
        <v>98597</v>
      </c>
      <c r="F592" s="4" t="s">
        <v>408</v>
      </c>
      <c r="G592" s="2" t="s">
        <v>1177</v>
      </c>
      <c r="H592" s="2" t="s">
        <v>1178</v>
      </c>
      <c r="I592" s="2" t="s">
        <v>212</v>
      </c>
      <c r="J592" s="2" t="s">
        <v>213</v>
      </c>
      <c r="K592" s="4" t="s">
        <v>1184</v>
      </c>
      <c r="L592" s="4" t="s">
        <v>27</v>
      </c>
      <c r="M592" s="4" t="s">
        <v>357</v>
      </c>
      <c r="N592" s="5">
        <v>133924668</v>
      </c>
      <c r="O592" s="2" t="s">
        <v>358</v>
      </c>
      <c r="P592" s="2" t="s">
        <v>30</v>
      </c>
      <c r="Q592" s="4" t="s">
        <v>679</v>
      </c>
    </row>
    <row r="593" spans="1:17" hidden="1" x14ac:dyDescent="0.2">
      <c r="A593" s="2" t="s">
        <v>1403</v>
      </c>
      <c r="B593" s="2" t="s">
        <v>33</v>
      </c>
      <c r="C593" s="2" t="s">
        <v>83</v>
      </c>
      <c r="D593" s="2" t="s">
        <v>20</v>
      </c>
      <c r="E593" s="3">
        <v>98121</v>
      </c>
      <c r="F593" s="4" t="s">
        <v>401</v>
      </c>
      <c r="G593" s="2" t="s">
        <v>1177</v>
      </c>
      <c r="H593" s="2" t="s">
        <v>1178</v>
      </c>
      <c r="I593" s="2" t="s">
        <v>212</v>
      </c>
      <c r="J593" s="2" t="s">
        <v>213</v>
      </c>
      <c r="K593" s="4" t="s">
        <v>1346</v>
      </c>
      <c r="L593" s="4" t="s">
        <v>27</v>
      </c>
      <c r="M593" s="4" t="s">
        <v>84</v>
      </c>
      <c r="N593" s="5">
        <v>148283068</v>
      </c>
      <c r="O593" s="2" t="s">
        <v>238</v>
      </c>
      <c r="P593" s="2" t="s">
        <v>86</v>
      </c>
      <c r="Q593" s="4" t="s">
        <v>1404</v>
      </c>
    </row>
    <row r="594" spans="1:17" hidden="1" x14ac:dyDescent="0.2">
      <c r="A594" s="2" t="s">
        <v>1405</v>
      </c>
      <c r="B594" s="2" t="s">
        <v>33</v>
      </c>
      <c r="C594" s="2" t="s">
        <v>146</v>
      </c>
      <c r="D594" s="2" t="s">
        <v>20</v>
      </c>
      <c r="E594" s="3">
        <v>98004</v>
      </c>
      <c r="F594" s="4" t="s">
        <v>21</v>
      </c>
      <c r="G594" s="2" t="s">
        <v>1177</v>
      </c>
      <c r="H594" s="2" t="s">
        <v>1178</v>
      </c>
      <c r="I594" s="2" t="s">
        <v>212</v>
      </c>
      <c r="J594" s="2" t="s">
        <v>298</v>
      </c>
      <c r="K594" s="4" t="s">
        <v>27</v>
      </c>
      <c r="L594" s="4" t="s">
        <v>27</v>
      </c>
      <c r="M594" s="4" t="s">
        <v>403</v>
      </c>
      <c r="N594" s="5">
        <v>264778027</v>
      </c>
      <c r="O594" s="2" t="s">
        <v>148</v>
      </c>
      <c r="P594" s="2" t="s">
        <v>37</v>
      </c>
      <c r="Q594" s="4" t="s">
        <v>1406</v>
      </c>
    </row>
    <row r="595" spans="1:17" hidden="1" x14ac:dyDescent="0.2">
      <c r="A595" s="2" t="s">
        <v>1407</v>
      </c>
      <c r="B595" s="2" t="s">
        <v>33</v>
      </c>
      <c r="C595" s="2" t="s">
        <v>83</v>
      </c>
      <c r="D595" s="2" t="s">
        <v>20</v>
      </c>
      <c r="E595" s="3">
        <v>98109</v>
      </c>
      <c r="F595" s="4" t="s">
        <v>130</v>
      </c>
      <c r="G595" s="2" t="s">
        <v>1177</v>
      </c>
      <c r="H595" s="2" t="s">
        <v>1178</v>
      </c>
      <c r="I595" s="2" t="s">
        <v>212</v>
      </c>
      <c r="J595" s="2" t="s">
        <v>298</v>
      </c>
      <c r="K595" s="4" t="s">
        <v>27</v>
      </c>
      <c r="L595" s="4" t="s">
        <v>27</v>
      </c>
      <c r="M595" s="4" t="s">
        <v>436</v>
      </c>
      <c r="N595" s="5">
        <v>278030595</v>
      </c>
      <c r="O595" s="2" t="s">
        <v>437</v>
      </c>
      <c r="P595" s="2" t="s">
        <v>86</v>
      </c>
      <c r="Q595" s="4" t="s">
        <v>1090</v>
      </c>
    </row>
    <row r="596" spans="1:17" hidden="1" x14ac:dyDescent="0.2">
      <c r="A596" s="2" t="s">
        <v>1407</v>
      </c>
      <c r="B596" s="2" t="s">
        <v>110</v>
      </c>
      <c r="C596" s="2" t="s">
        <v>68</v>
      </c>
      <c r="D596" s="2" t="s">
        <v>20</v>
      </c>
      <c r="E596" s="3">
        <v>98092</v>
      </c>
      <c r="F596" s="4" t="s">
        <v>130</v>
      </c>
      <c r="G596" s="2" t="s">
        <v>1177</v>
      </c>
      <c r="H596" s="2" t="s">
        <v>1178</v>
      </c>
      <c r="I596" s="2" t="s">
        <v>212</v>
      </c>
      <c r="J596" s="2" t="s">
        <v>298</v>
      </c>
      <c r="K596" s="4" t="s">
        <v>27</v>
      </c>
      <c r="L596" s="4" t="s">
        <v>27</v>
      </c>
      <c r="M596" s="4" t="s">
        <v>112</v>
      </c>
      <c r="N596" s="5">
        <v>272095246</v>
      </c>
      <c r="O596" s="2" t="s">
        <v>540</v>
      </c>
      <c r="P596" s="2" t="s">
        <v>37</v>
      </c>
      <c r="Q596" s="4" t="s">
        <v>1408</v>
      </c>
    </row>
    <row r="597" spans="1:17" hidden="1" x14ac:dyDescent="0.2">
      <c r="A597" s="2" t="s">
        <v>1409</v>
      </c>
      <c r="B597" s="2" t="s">
        <v>33</v>
      </c>
      <c r="C597" s="2" t="s">
        <v>139</v>
      </c>
      <c r="D597" s="2" t="s">
        <v>20</v>
      </c>
      <c r="E597" s="3">
        <v>98055</v>
      </c>
      <c r="F597" s="4" t="s">
        <v>371</v>
      </c>
      <c r="G597" s="2" t="s">
        <v>1177</v>
      </c>
      <c r="H597" s="2" t="s">
        <v>1178</v>
      </c>
      <c r="I597" s="2" t="s">
        <v>212</v>
      </c>
      <c r="J597" s="2" t="s">
        <v>213</v>
      </c>
      <c r="K597" s="4" t="s">
        <v>815</v>
      </c>
      <c r="L597" s="4" t="s">
        <v>27</v>
      </c>
      <c r="M597" s="4" t="s">
        <v>140</v>
      </c>
      <c r="N597" s="5">
        <v>475438554</v>
      </c>
      <c r="O597" s="2" t="s">
        <v>889</v>
      </c>
      <c r="P597" s="2" t="s">
        <v>37</v>
      </c>
      <c r="Q597" s="4" t="s">
        <v>1410</v>
      </c>
    </row>
    <row r="598" spans="1:17" hidden="1" x14ac:dyDescent="0.2">
      <c r="A598" s="2" t="s">
        <v>1411</v>
      </c>
      <c r="B598" s="2" t="s">
        <v>33</v>
      </c>
      <c r="C598" s="2" t="s">
        <v>83</v>
      </c>
      <c r="D598" s="2" t="s">
        <v>20</v>
      </c>
      <c r="E598" s="3">
        <v>98115</v>
      </c>
      <c r="F598" s="4" t="s">
        <v>408</v>
      </c>
      <c r="G598" s="2" t="s">
        <v>1177</v>
      </c>
      <c r="H598" s="2" t="s">
        <v>1178</v>
      </c>
      <c r="I598" s="2" t="s">
        <v>212</v>
      </c>
      <c r="J598" s="2" t="s">
        <v>213</v>
      </c>
      <c r="K598" s="4" t="s">
        <v>1184</v>
      </c>
      <c r="L598" s="4" t="s">
        <v>27</v>
      </c>
      <c r="M598" s="4" t="s">
        <v>278</v>
      </c>
      <c r="N598" s="5">
        <v>194281055</v>
      </c>
      <c r="O598" s="2" t="s">
        <v>828</v>
      </c>
      <c r="P598" s="2" t="s">
        <v>86</v>
      </c>
      <c r="Q598" s="4" t="s">
        <v>1203</v>
      </c>
    </row>
    <row r="599" spans="1:17" hidden="1" x14ac:dyDescent="0.2">
      <c r="A599" s="2" t="s">
        <v>1411</v>
      </c>
      <c r="B599" s="2" t="s">
        <v>151</v>
      </c>
      <c r="C599" s="2" t="s">
        <v>356</v>
      </c>
      <c r="D599" s="2" t="s">
        <v>20</v>
      </c>
      <c r="E599" s="3">
        <v>98597</v>
      </c>
      <c r="F599" s="4" t="s">
        <v>408</v>
      </c>
      <c r="G599" s="2" t="s">
        <v>1177</v>
      </c>
      <c r="H599" s="2" t="s">
        <v>1178</v>
      </c>
      <c r="I599" s="2" t="s">
        <v>212</v>
      </c>
      <c r="J599" s="2" t="s">
        <v>213</v>
      </c>
      <c r="K599" s="4" t="s">
        <v>1184</v>
      </c>
      <c r="L599" s="4" t="s">
        <v>27</v>
      </c>
      <c r="M599" s="4" t="s">
        <v>357</v>
      </c>
      <c r="N599" s="5">
        <v>224725315</v>
      </c>
      <c r="O599" s="2" t="s">
        <v>358</v>
      </c>
      <c r="P599" s="2" t="s">
        <v>30</v>
      </c>
      <c r="Q599" s="4" t="s">
        <v>1412</v>
      </c>
    </row>
    <row r="600" spans="1:17" hidden="1" x14ac:dyDescent="0.2">
      <c r="A600" s="2" t="s">
        <v>1413</v>
      </c>
      <c r="B600" s="2" t="s">
        <v>33</v>
      </c>
      <c r="C600" s="2" t="s">
        <v>169</v>
      </c>
      <c r="D600" s="2" t="s">
        <v>20</v>
      </c>
      <c r="E600" s="3">
        <v>98034</v>
      </c>
      <c r="F600" s="4" t="s">
        <v>130</v>
      </c>
      <c r="G600" s="2" t="s">
        <v>1177</v>
      </c>
      <c r="H600" s="2" t="s">
        <v>1178</v>
      </c>
      <c r="I600" s="2" t="s">
        <v>212</v>
      </c>
      <c r="J600" s="2" t="s">
        <v>298</v>
      </c>
      <c r="K600" s="4" t="s">
        <v>27</v>
      </c>
      <c r="L600" s="4" t="s">
        <v>27</v>
      </c>
      <c r="M600" s="4" t="s">
        <v>170</v>
      </c>
      <c r="N600" s="5">
        <v>276920654</v>
      </c>
      <c r="O600" s="2" t="s">
        <v>171</v>
      </c>
      <c r="P600" s="2" t="s">
        <v>37</v>
      </c>
      <c r="Q600" s="4" t="s">
        <v>739</v>
      </c>
    </row>
    <row r="601" spans="1:17" hidden="1" x14ac:dyDescent="0.2">
      <c r="A601" s="2" t="s">
        <v>1413</v>
      </c>
      <c r="B601" s="2" t="s">
        <v>33</v>
      </c>
      <c r="C601" s="2" t="s">
        <v>186</v>
      </c>
      <c r="D601" s="2" t="s">
        <v>20</v>
      </c>
      <c r="E601" s="3">
        <v>98001</v>
      </c>
      <c r="F601" s="4" t="s">
        <v>130</v>
      </c>
      <c r="G601" s="2" t="s">
        <v>1177</v>
      </c>
      <c r="H601" s="2" t="s">
        <v>1178</v>
      </c>
      <c r="I601" s="2" t="s">
        <v>212</v>
      </c>
      <c r="J601" s="2" t="s">
        <v>298</v>
      </c>
      <c r="K601" s="4" t="s">
        <v>27</v>
      </c>
      <c r="L601" s="4" t="s">
        <v>27</v>
      </c>
      <c r="M601" s="4" t="s">
        <v>187</v>
      </c>
      <c r="N601" s="5">
        <v>278669191</v>
      </c>
      <c r="O601" s="2" t="s">
        <v>474</v>
      </c>
      <c r="P601" s="2" t="s">
        <v>37</v>
      </c>
      <c r="Q601" s="4" t="s">
        <v>1414</v>
      </c>
    </row>
    <row r="602" spans="1:17" hidden="1" x14ac:dyDescent="0.2">
      <c r="A602" s="2" t="s">
        <v>1413</v>
      </c>
      <c r="B602" s="2" t="s">
        <v>33</v>
      </c>
      <c r="C602" s="2" t="s">
        <v>1056</v>
      </c>
      <c r="D602" s="2" t="s">
        <v>20</v>
      </c>
      <c r="E602" s="3">
        <v>98031</v>
      </c>
      <c r="F602" s="4" t="s">
        <v>130</v>
      </c>
      <c r="G602" s="2" t="s">
        <v>1177</v>
      </c>
      <c r="H602" s="2" t="s">
        <v>1178</v>
      </c>
      <c r="I602" s="2" t="s">
        <v>212</v>
      </c>
      <c r="J602" s="2" t="s">
        <v>298</v>
      </c>
      <c r="K602" s="4" t="s">
        <v>27</v>
      </c>
      <c r="L602" s="4" t="s">
        <v>27</v>
      </c>
      <c r="M602" s="4" t="s">
        <v>69</v>
      </c>
      <c r="N602" s="5">
        <v>281415389</v>
      </c>
      <c r="O602" s="2" t="s">
        <v>1057</v>
      </c>
      <c r="P602" s="2" t="s">
        <v>37</v>
      </c>
      <c r="Q602" s="4" t="s">
        <v>1058</v>
      </c>
    </row>
    <row r="603" spans="1:17" hidden="1" x14ac:dyDescent="0.2">
      <c r="A603" s="2" t="s">
        <v>1413</v>
      </c>
      <c r="B603" s="2" t="s">
        <v>33</v>
      </c>
      <c r="C603" s="2" t="s">
        <v>464</v>
      </c>
      <c r="D603" s="2" t="s">
        <v>20</v>
      </c>
      <c r="E603" s="3">
        <v>98045</v>
      </c>
      <c r="F603" s="4" t="s">
        <v>130</v>
      </c>
      <c r="G603" s="2" t="s">
        <v>1177</v>
      </c>
      <c r="H603" s="2" t="s">
        <v>1178</v>
      </c>
      <c r="I603" s="2" t="s">
        <v>212</v>
      </c>
      <c r="J603" s="2" t="s">
        <v>298</v>
      </c>
      <c r="K603" s="4" t="s">
        <v>27</v>
      </c>
      <c r="L603" s="4" t="s">
        <v>27</v>
      </c>
      <c r="M603" s="4" t="s">
        <v>35</v>
      </c>
      <c r="N603" s="5">
        <v>277958943</v>
      </c>
      <c r="O603" s="2" t="s">
        <v>465</v>
      </c>
      <c r="P603" s="2" t="s">
        <v>37</v>
      </c>
      <c r="Q603" s="4" t="s">
        <v>1272</v>
      </c>
    </row>
    <row r="604" spans="1:17" hidden="1" x14ac:dyDescent="0.2">
      <c r="A604" s="2" t="s">
        <v>1415</v>
      </c>
      <c r="B604" s="2" t="s">
        <v>94</v>
      </c>
      <c r="C604" s="2" t="s">
        <v>775</v>
      </c>
      <c r="D604" s="2" t="s">
        <v>20</v>
      </c>
      <c r="E604" s="3">
        <v>98249</v>
      </c>
      <c r="F604" s="4" t="s">
        <v>371</v>
      </c>
      <c r="G604" s="2" t="s">
        <v>1177</v>
      </c>
      <c r="H604" s="2" t="s">
        <v>1178</v>
      </c>
      <c r="I604" s="2" t="s">
        <v>212</v>
      </c>
      <c r="J604" s="2" t="s">
        <v>213</v>
      </c>
      <c r="K604" s="4" t="s">
        <v>815</v>
      </c>
      <c r="L604" s="4" t="s">
        <v>27</v>
      </c>
      <c r="M604" s="4" t="s">
        <v>96</v>
      </c>
      <c r="N604" s="5">
        <v>442535320</v>
      </c>
      <c r="O604" s="2" t="s">
        <v>776</v>
      </c>
      <c r="P604" s="2" t="s">
        <v>30</v>
      </c>
      <c r="Q604" s="4" t="s">
        <v>1416</v>
      </c>
    </row>
    <row r="605" spans="1:17" hidden="1" x14ac:dyDescent="0.2">
      <c r="A605" s="2" t="s">
        <v>1415</v>
      </c>
      <c r="B605" s="2" t="s">
        <v>40</v>
      </c>
      <c r="C605" s="2" t="s">
        <v>383</v>
      </c>
      <c r="D605" s="2" t="s">
        <v>20</v>
      </c>
      <c r="E605" s="3">
        <v>98204</v>
      </c>
      <c r="F605" s="4" t="s">
        <v>371</v>
      </c>
      <c r="G605" s="2" t="s">
        <v>1177</v>
      </c>
      <c r="H605" s="2" t="s">
        <v>1178</v>
      </c>
      <c r="I605" s="2" t="s">
        <v>212</v>
      </c>
      <c r="J605" s="2" t="s">
        <v>213</v>
      </c>
      <c r="K605" s="4" t="s">
        <v>815</v>
      </c>
      <c r="L605" s="4" t="s">
        <v>27</v>
      </c>
      <c r="M605" s="4" t="s">
        <v>274</v>
      </c>
      <c r="N605" s="5">
        <v>121112757</v>
      </c>
      <c r="O605" s="2" t="s">
        <v>1417</v>
      </c>
      <c r="P605" s="2" t="s">
        <v>30</v>
      </c>
      <c r="Q605" s="4" t="s">
        <v>1418</v>
      </c>
    </row>
    <row r="606" spans="1:17" hidden="1" x14ac:dyDescent="0.2">
      <c r="A606" s="2" t="s">
        <v>1415</v>
      </c>
      <c r="B606" s="2" t="s">
        <v>313</v>
      </c>
      <c r="C606" s="2" t="s">
        <v>313</v>
      </c>
      <c r="D606" s="2" t="s">
        <v>20</v>
      </c>
      <c r="E606" s="3">
        <v>99362</v>
      </c>
      <c r="F606" s="4" t="s">
        <v>371</v>
      </c>
      <c r="G606" s="2" t="s">
        <v>1177</v>
      </c>
      <c r="H606" s="2" t="s">
        <v>1178</v>
      </c>
      <c r="I606" s="2" t="s">
        <v>212</v>
      </c>
      <c r="J606" s="2" t="s">
        <v>213</v>
      </c>
      <c r="K606" s="4" t="s">
        <v>815</v>
      </c>
      <c r="L606" s="4" t="s">
        <v>27</v>
      </c>
      <c r="M606" s="4" t="s">
        <v>314</v>
      </c>
      <c r="N606" s="5">
        <v>329537113</v>
      </c>
      <c r="O606" s="2" t="s">
        <v>315</v>
      </c>
      <c r="P606" s="2" t="s">
        <v>52</v>
      </c>
      <c r="Q606" s="4" t="s">
        <v>1419</v>
      </c>
    </row>
    <row r="607" spans="1:17" hidden="1" x14ac:dyDescent="0.2">
      <c r="A607" s="2" t="s">
        <v>1415</v>
      </c>
      <c r="B607" s="2" t="s">
        <v>110</v>
      </c>
      <c r="C607" s="2" t="s">
        <v>634</v>
      </c>
      <c r="D607" s="2" t="s">
        <v>20</v>
      </c>
      <c r="E607" s="3">
        <v>98332</v>
      </c>
      <c r="F607" s="4" t="s">
        <v>371</v>
      </c>
      <c r="G607" s="2" t="s">
        <v>1177</v>
      </c>
      <c r="H607" s="2" t="s">
        <v>1178</v>
      </c>
      <c r="I607" s="2" t="s">
        <v>212</v>
      </c>
      <c r="J607" s="2" t="s">
        <v>213</v>
      </c>
      <c r="K607" s="4" t="s">
        <v>815</v>
      </c>
      <c r="L607" s="4" t="s">
        <v>27</v>
      </c>
      <c r="M607" s="4" t="s">
        <v>101</v>
      </c>
      <c r="N607" s="5">
        <v>220575071</v>
      </c>
      <c r="O607" s="2" t="s">
        <v>1420</v>
      </c>
      <c r="P607" s="2" t="s">
        <v>310</v>
      </c>
      <c r="Q607" s="4" t="s">
        <v>1421</v>
      </c>
    </row>
    <row r="608" spans="1:17" hidden="1" x14ac:dyDescent="0.2">
      <c r="A608" s="2" t="s">
        <v>1422</v>
      </c>
      <c r="B608" s="2" t="s">
        <v>40</v>
      </c>
      <c r="C608" s="2" t="s">
        <v>383</v>
      </c>
      <c r="D608" s="2" t="s">
        <v>20</v>
      </c>
      <c r="E608" s="3">
        <v>98208</v>
      </c>
      <c r="F608" s="4" t="s">
        <v>408</v>
      </c>
      <c r="G608" s="2" t="s">
        <v>1177</v>
      </c>
      <c r="H608" s="2" t="s">
        <v>1178</v>
      </c>
      <c r="I608" s="2" t="s">
        <v>212</v>
      </c>
      <c r="J608" s="2" t="s">
        <v>213</v>
      </c>
      <c r="K608" s="4" t="s">
        <v>1184</v>
      </c>
      <c r="L608" s="4" t="s">
        <v>27</v>
      </c>
      <c r="M608" s="4" t="s">
        <v>26</v>
      </c>
      <c r="N608" s="5">
        <v>127389363</v>
      </c>
      <c r="O608" s="2" t="s">
        <v>384</v>
      </c>
      <c r="P608" s="2" t="s">
        <v>30</v>
      </c>
      <c r="Q608" s="4" t="s">
        <v>1182</v>
      </c>
    </row>
    <row r="609" spans="1:17" hidden="1" x14ac:dyDescent="0.2">
      <c r="A609" s="2" t="s">
        <v>1422</v>
      </c>
      <c r="B609" s="2" t="s">
        <v>40</v>
      </c>
      <c r="C609" s="2" t="s">
        <v>784</v>
      </c>
      <c r="D609" s="2" t="s">
        <v>20</v>
      </c>
      <c r="E609" s="3">
        <v>98275</v>
      </c>
      <c r="F609" s="4" t="s">
        <v>408</v>
      </c>
      <c r="G609" s="2" t="s">
        <v>1177</v>
      </c>
      <c r="H609" s="2" t="s">
        <v>1178</v>
      </c>
      <c r="I609" s="2" t="s">
        <v>212</v>
      </c>
      <c r="J609" s="2" t="s">
        <v>213</v>
      </c>
      <c r="K609" s="4" t="s">
        <v>1184</v>
      </c>
      <c r="L609" s="4" t="s">
        <v>27</v>
      </c>
      <c r="M609" s="4" t="s">
        <v>26</v>
      </c>
      <c r="N609" s="5">
        <v>179728755</v>
      </c>
      <c r="O609" s="2" t="s">
        <v>785</v>
      </c>
      <c r="P609" s="2" t="s">
        <v>30</v>
      </c>
      <c r="Q609" s="4" t="s">
        <v>1305</v>
      </c>
    </row>
    <row r="610" spans="1:17" hidden="1" x14ac:dyDescent="0.2">
      <c r="A610" s="2" t="s">
        <v>1423</v>
      </c>
      <c r="B610" s="2" t="s">
        <v>110</v>
      </c>
      <c r="C610" s="2" t="s">
        <v>111</v>
      </c>
      <c r="D610" s="2" t="s">
        <v>20</v>
      </c>
      <c r="E610" s="3">
        <v>98391</v>
      </c>
      <c r="F610" s="4" t="s">
        <v>57</v>
      </c>
      <c r="G610" s="2" t="s">
        <v>1177</v>
      </c>
      <c r="H610" s="2" t="s">
        <v>1178</v>
      </c>
      <c r="I610" s="2" t="s">
        <v>212</v>
      </c>
      <c r="J610" s="2" t="s">
        <v>298</v>
      </c>
      <c r="K610" s="4" t="s">
        <v>27</v>
      </c>
      <c r="L610" s="4" t="s">
        <v>27</v>
      </c>
      <c r="M610" s="4" t="s">
        <v>112</v>
      </c>
      <c r="N610" s="5">
        <v>219674395</v>
      </c>
      <c r="O610" s="2" t="s">
        <v>113</v>
      </c>
      <c r="P610" s="2" t="s">
        <v>37</v>
      </c>
      <c r="Q610" s="4" t="s">
        <v>1424</v>
      </c>
    </row>
    <row r="611" spans="1:17" hidden="1" x14ac:dyDescent="0.2">
      <c r="A611" s="2" t="s">
        <v>1425</v>
      </c>
      <c r="B611" s="2" t="s">
        <v>33</v>
      </c>
      <c r="C611" s="2" t="s">
        <v>186</v>
      </c>
      <c r="D611" s="2" t="s">
        <v>20</v>
      </c>
      <c r="E611" s="3">
        <v>98023</v>
      </c>
      <c r="F611" s="4" t="s">
        <v>130</v>
      </c>
      <c r="G611" s="2" t="s">
        <v>1177</v>
      </c>
      <c r="H611" s="2" t="s">
        <v>1178</v>
      </c>
      <c r="I611" s="2" t="s">
        <v>212</v>
      </c>
      <c r="J611" s="2" t="s">
        <v>298</v>
      </c>
      <c r="K611" s="4" t="s">
        <v>27</v>
      </c>
      <c r="L611" s="4" t="s">
        <v>27</v>
      </c>
      <c r="M611" s="4" t="s">
        <v>187</v>
      </c>
      <c r="N611" s="5">
        <v>278461515</v>
      </c>
      <c r="O611" s="2" t="s">
        <v>188</v>
      </c>
      <c r="P611" s="2" t="s">
        <v>37</v>
      </c>
      <c r="Q611" s="4" t="s">
        <v>740</v>
      </c>
    </row>
    <row r="612" spans="1:17" hidden="1" x14ac:dyDescent="0.2">
      <c r="A612" s="2" t="s">
        <v>1425</v>
      </c>
      <c r="B612" s="2" t="s">
        <v>33</v>
      </c>
      <c r="C612" s="2" t="s">
        <v>464</v>
      </c>
      <c r="D612" s="2" t="s">
        <v>20</v>
      </c>
      <c r="E612" s="3">
        <v>98045</v>
      </c>
      <c r="F612" s="4" t="s">
        <v>130</v>
      </c>
      <c r="G612" s="2" t="s">
        <v>1177</v>
      </c>
      <c r="H612" s="2" t="s">
        <v>1178</v>
      </c>
      <c r="I612" s="2" t="s">
        <v>212</v>
      </c>
      <c r="J612" s="2" t="s">
        <v>298</v>
      </c>
      <c r="K612" s="4" t="s">
        <v>27</v>
      </c>
      <c r="L612" s="4" t="s">
        <v>27</v>
      </c>
      <c r="M612" s="4" t="s">
        <v>35</v>
      </c>
      <c r="N612" s="5">
        <v>277031688</v>
      </c>
      <c r="O612" s="2" t="s">
        <v>465</v>
      </c>
      <c r="P612" s="2" t="s">
        <v>37</v>
      </c>
      <c r="Q612" s="4" t="s">
        <v>467</v>
      </c>
    </row>
    <row r="613" spans="1:17" hidden="1" x14ac:dyDescent="0.2">
      <c r="A613" s="2" t="s">
        <v>1425</v>
      </c>
      <c r="B613" s="2" t="s">
        <v>33</v>
      </c>
      <c r="C613" s="2" t="s">
        <v>83</v>
      </c>
      <c r="D613" s="2" t="s">
        <v>20</v>
      </c>
      <c r="E613" s="3">
        <v>98112</v>
      </c>
      <c r="F613" s="4" t="s">
        <v>130</v>
      </c>
      <c r="G613" s="2" t="s">
        <v>1177</v>
      </c>
      <c r="H613" s="2" t="s">
        <v>1178</v>
      </c>
      <c r="I613" s="2" t="s">
        <v>212</v>
      </c>
      <c r="J613" s="2" t="s">
        <v>298</v>
      </c>
      <c r="K613" s="4" t="s">
        <v>27</v>
      </c>
      <c r="L613" s="4" t="s">
        <v>27</v>
      </c>
      <c r="M613" s="4" t="s">
        <v>436</v>
      </c>
      <c r="N613" s="5">
        <v>275979980</v>
      </c>
      <c r="O613" s="2" t="s">
        <v>736</v>
      </c>
      <c r="P613" s="2" t="s">
        <v>86</v>
      </c>
      <c r="Q613" s="4" t="s">
        <v>779</v>
      </c>
    </row>
    <row r="614" spans="1:17" hidden="1" x14ac:dyDescent="0.2">
      <c r="A614" s="2" t="s">
        <v>1425</v>
      </c>
      <c r="B614" s="2" t="s">
        <v>33</v>
      </c>
      <c r="C614" s="2" t="s">
        <v>451</v>
      </c>
      <c r="D614" s="2" t="s">
        <v>20</v>
      </c>
      <c r="E614" s="3">
        <v>98074</v>
      </c>
      <c r="F614" s="4" t="s">
        <v>130</v>
      </c>
      <c r="G614" s="2" t="s">
        <v>1177</v>
      </c>
      <c r="H614" s="2" t="s">
        <v>1178</v>
      </c>
      <c r="I614" s="2" t="s">
        <v>212</v>
      </c>
      <c r="J614" s="2" t="s">
        <v>298</v>
      </c>
      <c r="K614" s="4" t="s">
        <v>27</v>
      </c>
      <c r="L614" s="4" t="s">
        <v>27</v>
      </c>
      <c r="M614" s="4" t="s">
        <v>198</v>
      </c>
      <c r="N614" s="5">
        <v>284156547</v>
      </c>
      <c r="O614" s="2" t="s">
        <v>781</v>
      </c>
      <c r="P614" s="2" t="s">
        <v>37</v>
      </c>
      <c r="Q614" s="4" t="s">
        <v>1426</v>
      </c>
    </row>
    <row r="615" spans="1:17" hidden="1" x14ac:dyDescent="0.2">
      <c r="A615" s="2" t="s">
        <v>1427</v>
      </c>
      <c r="B615" s="2" t="s">
        <v>40</v>
      </c>
      <c r="C615" s="2" t="s">
        <v>73</v>
      </c>
      <c r="D615" s="2" t="s">
        <v>20</v>
      </c>
      <c r="E615" s="3">
        <v>98037</v>
      </c>
      <c r="F615" s="4" t="s">
        <v>371</v>
      </c>
      <c r="G615" s="2" t="s">
        <v>1177</v>
      </c>
      <c r="H615" s="2" t="s">
        <v>1178</v>
      </c>
      <c r="I615" s="2" t="s">
        <v>212</v>
      </c>
      <c r="J615" s="2" t="s">
        <v>213</v>
      </c>
      <c r="K615" s="4" t="s">
        <v>815</v>
      </c>
      <c r="L615" s="4" t="s">
        <v>27</v>
      </c>
      <c r="M615" s="4" t="s">
        <v>26</v>
      </c>
      <c r="N615" s="5">
        <v>153817128</v>
      </c>
      <c r="O615" s="2" t="s">
        <v>1400</v>
      </c>
      <c r="P615" s="2" t="s">
        <v>30</v>
      </c>
      <c r="Q615" s="4" t="s">
        <v>1428</v>
      </c>
    </row>
    <row r="616" spans="1:17" hidden="1" x14ac:dyDescent="0.2">
      <c r="A616" s="2" t="s">
        <v>1427</v>
      </c>
      <c r="B616" s="2" t="s">
        <v>40</v>
      </c>
      <c r="C616" s="2" t="s">
        <v>89</v>
      </c>
      <c r="D616" s="2" t="s">
        <v>20</v>
      </c>
      <c r="E616" s="3">
        <v>98021</v>
      </c>
      <c r="F616" s="4" t="s">
        <v>371</v>
      </c>
      <c r="G616" s="2" t="s">
        <v>1177</v>
      </c>
      <c r="H616" s="2" t="s">
        <v>1178</v>
      </c>
      <c r="I616" s="2" t="s">
        <v>212</v>
      </c>
      <c r="J616" s="2" t="s">
        <v>213</v>
      </c>
      <c r="K616" s="4" t="s">
        <v>815</v>
      </c>
      <c r="L616" s="4" t="s">
        <v>27</v>
      </c>
      <c r="M616" s="4" t="s">
        <v>170</v>
      </c>
      <c r="N616" s="5">
        <v>475723391</v>
      </c>
      <c r="O616" s="2" t="s">
        <v>247</v>
      </c>
      <c r="P616" s="2" t="s">
        <v>30</v>
      </c>
      <c r="Q616" s="4" t="s">
        <v>1429</v>
      </c>
    </row>
    <row r="617" spans="1:17" hidden="1" x14ac:dyDescent="0.2">
      <c r="A617" s="2" t="s">
        <v>1427</v>
      </c>
      <c r="B617" s="2" t="s">
        <v>40</v>
      </c>
      <c r="C617" s="2" t="s">
        <v>89</v>
      </c>
      <c r="D617" s="2" t="s">
        <v>20</v>
      </c>
      <c r="E617" s="3">
        <v>98021</v>
      </c>
      <c r="F617" s="4" t="s">
        <v>371</v>
      </c>
      <c r="G617" s="2" t="s">
        <v>1177</v>
      </c>
      <c r="H617" s="2" t="s">
        <v>1178</v>
      </c>
      <c r="I617" s="2" t="s">
        <v>212</v>
      </c>
      <c r="J617" s="2" t="s">
        <v>213</v>
      </c>
      <c r="K617" s="4" t="s">
        <v>815</v>
      </c>
      <c r="L617" s="4" t="s">
        <v>27</v>
      </c>
      <c r="M617" s="4" t="s">
        <v>170</v>
      </c>
      <c r="N617" s="5">
        <v>273518248</v>
      </c>
      <c r="O617" s="2" t="s">
        <v>247</v>
      </c>
      <c r="P617" s="2" t="s">
        <v>30</v>
      </c>
      <c r="Q617" s="4" t="s">
        <v>1430</v>
      </c>
    </row>
    <row r="618" spans="1:17" hidden="1" x14ac:dyDescent="0.2">
      <c r="A618" s="2" t="s">
        <v>1427</v>
      </c>
      <c r="B618" s="2" t="s">
        <v>40</v>
      </c>
      <c r="C618" s="2" t="s">
        <v>1385</v>
      </c>
      <c r="D618" s="2" t="s">
        <v>20</v>
      </c>
      <c r="E618" s="3">
        <v>98272</v>
      </c>
      <c r="F618" s="4" t="s">
        <v>371</v>
      </c>
      <c r="G618" s="2" t="s">
        <v>1177</v>
      </c>
      <c r="H618" s="2" t="s">
        <v>1178</v>
      </c>
      <c r="I618" s="2" t="s">
        <v>212</v>
      </c>
      <c r="J618" s="2" t="s">
        <v>213</v>
      </c>
      <c r="K618" s="4" t="s">
        <v>815</v>
      </c>
      <c r="L618" s="4" t="s">
        <v>27</v>
      </c>
      <c r="M618" s="4" t="s">
        <v>44</v>
      </c>
      <c r="N618" s="5">
        <v>258966627</v>
      </c>
      <c r="O618" s="2" t="s">
        <v>1386</v>
      </c>
      <c r="P618" s="2" t="s">
        <v>30</v>
      </c>
      <c r="Q618" s="4" t="s">
        <v>1387</v>
      </c>
    </row>
    <row r="619" spans="1:17" hidden="1" x14ac:dyDescent="0.2">
      <c r="A619" s="2" t="s">
        <v>1427</v>
      </c>
      <c r="B619" s="2" t="s">
        <v>151</v>
      </c>
      <c r="C619" s="2" t="s">
        <v>250</v>
      </c>
      <c r="D619" s="2" t="s">
        <v>20</v>
      </c>
      <c r="E619" s="3">
        <v>98512</v>
      </c>
      <c r="F619" s="4" t="s">
        <v>371</v>
      </c>
      <c r="G619" s="2" t="s">
        <v>1177</v>
      </c>
      <c r="H619" s="2" t="s">
        <v>1178</v>
      </c>
      <c r="I619" s="2" t="s">
        <v>212</v>
      </c>
      <c r="J619" s="2" t="s">
        <v>213</v>
      </c>
      <c r="K619" s="4" t="s">
        <v>815</v>
      </c>
      <c r="L619" s="4" t="s">
        <v>27</v>
      </c>
      <c r="M619" s="4" t="s">
        <v>90</v>
      </c>
      <c r="N619" s="5">
        <v>115875693</v>
      </c>
      <c r="O619" s="2" t="s">
        <v>256</v>
      </c>
      <c r="P619" s="2" t="s">
        <v>30</v>
      </c>
      <c r="Q619" s="4" t="s">
        <v>706</v>
      </c>
    </row>
    <row r="620" spans="1:17" hidden="1" x14ac:dyDescent="0.2">
      <c r="A620" s="2" t="s">
        <v>1427</v>
      </c>
      <c r="B620" s="2" t="s">
        <v>33</v>
      </c>
      <c r="C620" s="2" t="s">
        <v>669</v>
      </c>
      <c r="D620" s="2" t="s">
        <v>20</v>
      </c>
      <c r="E620" s="3">
        <v>98052</v>
      </c>
      <c r="F620" s="4" t="s">
        <v>371</v>
      </c>
      <c r="G620" s="2" t="s">
        <v>1177</v>
      </c>
      <c r="H620" s="2" t="s">
        <v>1178</v>
      </c>
      <c r="I620" s="2" t="s">
        <v>212</v>
      </c>
      <c r="J620" s="2" t="s">
        <v>213</v>
      </c>
      <c r="K620" s="4" t="s">
        <v>815</v>
      </c>
      <c r="L620" s="4" t="s">
        <v>27</v>
      </c>
      <c r="M620" s="4" t="s">
        <v>198</v>
      </c>
      <c r="N620" s="5">
        <v>475009580</v>
      </c>
      <c r="O620" s="2" t="s">
        <v>670</v>
      </c>
      <c r="P620" s="2" t="s">
        <v>37</v>
      </c>
      <c r="Q620" s="4" t="s">
        <v>1047</v>
      </c>
    </row>
    <row r="621" spans="1:17" hidden="1" x14ac:dyDescent="0.2">
      <c r="A621" s="2" t="s">
        <v>1427</v>
      </c>
      <c r="B621" s="2" t="s">
        <v>33</v>
      </c>
      <c r="C621" s="2" t="s">
        <v>83</v>
      </c>
      <c r="D621" s="2" t="s">
        <v>20</v>
      </c>
      <c r="E621" s="3">
        <v>98112</v>
      </c>
      <c r="F621" s="4" t="s">
        <v>371</v>
      </c>
      <c r="G621" s="2" t="s">
        <v>1177</v>
      </c>
      <c r="H621" s="2" t="s">
        <v>1178</v>
      </c>
      <c r="I621" s="2" t="s">
        <v>212</v>
      </c>
      <c r="J621" s="2" t="s">
        <v>213</v>
      </c>
      <c r="K621" s="4" t="s">
        <v>815</v>
      </c>
      <c r="L621" s="4" t="s">
        <v>27</v>
      </c>
      <c r="M621" s="4" t="s">
        <v>436</v>
      </c>
      <c r="N621" s="5">
        <v>230440444</v>
      </c>
      <c r="O621" s="2" t="s">
        <v>736</v>
      </c>
      <c r="P621" s="2" t="s">
        <v>86</v>
      </c>
      <c r="Q621" s="4" t="s">
        <v>1136</v>
      </c>
    </row>
    <row r="622" spans="1:17" hidden="1" x14ac:dyDescent="0.2">
      <c r="A622" s="2" t="s">
        <v>1431</v>
      </c>
      <c r="B622" s="2" t="s">
        <v>33</v>
      </c>
      <c r="C622" s="2" t="s">
        <v>134</v>
      </c>
      <c r="D622" s="2" t="s">
        <v>20</v>
      </c>
      <c r="E622" s="3">
        <v>98022</v>
      </c>
      <c r="F622" s="4" t="s">
        <v>408</v>
      </c>
      <c r="G622" s="2" t="s">
        <v>1177</v>
      </c>
      <c r="H622" s="2" t="s">
        <v>1178</v>
      </c>
      <c r="I622" s="2" t="s">
        <v>212</v>
      </c>
      <c r="J622" s="2" t="s">
        <v>213</v>
      </c>
      <c r="K622" s="4" t="s">
        <v>1184</v>
      </c>
      <c r="L622" s="4" t="s">
        <v>27</v>
      </c>
      <c r="M622" s="4" t="s">
        <v>112</v>
      </c>
      <c r="N622" s="5">
        <v>476919621</v>
      </c>
      <c r="O622" s="2" t="s">
        <v>135</v>
      </c>
      <c r="P622" s="2" t="s">
        <v>37</v>
      </c>
      <c r="Q622" s="4" t="s">
        <v>136</v>
      </c>
    </row>
    <row r="623" spans="1:17" hidden="1" x14ac:dyDescent="0.2">
      <c r="A623" s="2" t="s">
        <v>1432</v>
      </c>
      <c r="B623" s="2" t="s">
        <v>55</v>
      </c>
      <c r="C623" s="2" t="s">
        <v>63</v>
      </c>
      <c r="D623" s="2" t="s">
        <v>20</v>
      </c>
      <c r="E623" s="3">
        <v>98660</v>
      </c>
      <c r="F623" s="4" t="s">
        <v>57</v>
      </c>
      <c r="G623" s="2" t="s">
        <v>1177</v>
      </c>
      <c r="H623" s="2" t="s">
        <v>1178</v>
      </c>
      <c r="I623" s="2" t="s">
        <v>212</v>
      </c>
      <c r="J623" s="2" t="s">
        <v>298</v>
      </c>
      <c r="K623" s="4" t="s">
        <v>27</v>
      </c>
      <c r="L623" s="4" t="s">
        <v>27</v>
      </c>
      <c r="M623" s="4" t="s">
        <v>191</v>
      </c>
      <c r="N623" s="5">
        <v>204699365</v>
      </c>
      <c r="O623" s="2" t="s">
        <v>1433</v>
      </c>
      <c r="P623" s="2" t="s">
        <v>60</v>
      </c>
      <c r="Q623" s="4" t="s">
        <v>1434</v>
      </c>
    </row>
    <row r="624" spans="1:17" hidden="1" x14ac:dyDescent="0.2">
      <c r="A624" s="2" t="s">
        <v>1435</v>
      </c>
      <c r="B624" s="2" t="s">
        <v>33</v>
      </c>
      <c r="C624" s="2" t="s">
        <v>83</v>
      </c>
      <c r="D624" s="2" t="s">
        <v>20</v>
      </c>
      <c r="E624" s="3">
        <v>98116</v>
      </c>
      <c r="F624" s="4" t="s">
        <v>21</v>
      </c>
      <c r="G624" s="2" t="s">
        <v>1177</v>
      </c>
      <c r="H624" s="2" t="s">
        <v>1178</v>
      </c>
      <c r="I624" s="2" t="s">
        <v>212</v>
      </c>
      <c r="J624" s="2" t="s">
        <v>298</v>
      </c>
      <c r="K624" s="4" t="s">
        <v>27</v>
      </c>
      <c r="L624" s="4" t="s">
        <v>27</v>
      </c>
      <c r="M624" s="4" t="s">
        <v>319</v>
      </c>
      <c r="N624" s="5">
        <v>260037949</v>
      </c>
      <c r="O624" s="2" t="s">
        <v>1034</v>
      </c>
      <c r="P624" s="2" t="s">
        <v>86</v>
      </c>
      <c r="Q624" s="4" t="s">
        <v>1436</v>
      </c>
    </row>
    <row r="625" spans="1:17" hidden="1" x14ac:dyDescent="0.2">
      <c r="A625" s="2" t="s">
        <v>1435</v>
      </c>
      <c r="B625" s="2" t="s">
        <v>33</v>
      </c>
      <c r="C625" s="2" t="s">
        <v>451</v>
      </c>
      <c r="D625" s="2" t="s">
        <v>20</v>
      </c>
      <c r="E625" s="3">
        <v>98075</v>
      </c>
      <c r="F625" s="4" t="s">
        <v>21</v>
      </c>
      <c r="G625" s="2" t="s">
        <v>1177</v>
      </c>
      <c r="H625" s="2" t="s">
        <v>1178</v>
      </c>
      <c r="I625" s="2" t="s">
        <v>212</v>
      </c>
      <c r="J625" s="2" t="s">
        <v>298</v>
      </c>
      <c r="K625" s="4" t="s">
        <v>27</v>
      </c>
      <c r="L625" s="4" t="s">
        <v>27</v>
      </c>
      <c r="M625" s="4" t="s">
        <v>403</v>
      </c>
      <c r="N625" s="5">
        <v>260139764</v>
      </c>
      <c r="O625" s="2" t="s">
        <v>452</v>
      </c>
      <c r="P625" s="2" t="s">
        <v>37</v>
      </c>
      <c r="Q625" s="4" t="s">
        <v>892</v>
      </c>
    </row>
    <row r="626" spans="1:17" hidden="1" x14ac:dyDescent="0.2">
      <c r="A626" s="2" t="s">
        <v>1435</v>
      </c>
      <c r="B626" s="2" t="s">
        <v>40</v>
      </c>
      <c r="C626" s="2" t="s">
        <v>73</v>
      </c>
      <c r="D626" s="2" t="s">
        <v>20</v>
      </c>
      <c r="E626" s="3">
        <v>98037</v>
      </c>
      <c r="F626" s="4" t="s">
        <v>21</v>
      </c>
      <c r="G626" s="2" t="s">
        <v>1177</v>
      </c>
      <c r="H626" s="2" t="s">
        <v>1178</v>
      </c>
      <c r="I626" s="2" t="s">
        <v>212</v>
      </c>
      <c r="J626" s="2" t="s">
        <v>298</v>
      </c>
      <c r="K626" s="4" t="s">
        <v>27</v>
      </c>
      <c r="L626" s="4" t="s">
        <v>27</v>
      </c>
      <c r="M626" s="4" t="s">
        <v>26</v>
      </c>
      <c r="N626" s="5">
        <v>276210770</v>
      </c>
      <c r="O626" s="2" t="s">
        <v>1400</v>
      </c>
      <c r="P626" s="2" t="s">
        <v>30</v>
      </c>
      <c r="Q626" s="4" t="s">
        <v>1437</v>
      </c>
    </row>
    <row r="627" spans="1:17" hidden="1" x14ac:dyDescent="0.2">
      <c r="A627" s="2" t="s">
        <v>1438</v>
      </c>
      <c r="B627" s="2" t="s">
        <v>162</v>
      </c>
      <c r="C627" s="2" t="s">
        <v>1439</v>
      </c>
      <c r="D627" s="2" t="s">
        <v>20</v>
      </c>
      <c r="E627" s="3">
        <v>99180</v>
      </c>
      <c r="F627" s="4" t="s">
        <v>121</v>
      </c>
      <c r="G627" s="2" t="s">
        <v>1177</v>
      </c>
      <c r="H627" s="2" t="s">
        <v>1178</v>
      </c>
      <c r="I627" s="2" t="s">
        <v>212</v>
      </c>
      <c r="J627" s="2" t="s">
        <v>298</v>
      </c>
      <c r="K627" s="4" t="s">
        <v>27</v>
      </c>
      <c r="L627" s="4" t="s">
        <v>27</v>
      </c>
      <c r="M627" s="4" t="s">
        <v>164</v>
      </c>
      <c r="N627" s="5">
        <v>272701180</v>
      </c>
      <c r="O627" s="2" t="s">
        <v>1440</v>
      </c>
      <c r="P627" s="2" t="s">
        <v>166</v>
      </c>
      <c r="Q627" s="4" t="s">
        <v>1441</v>
      </c>
    </row>
    <row r="628" spans="1:17" hidden="1" x14ac:dyDescent="0.2">
      <c r="A628" s="2" t="s">
        <v>1438</v>
      </c>
      <c r="B628" s="2" t="s">
        <v>33</v>
      </c>
      <c r="C628" s="2" t="s">
        <v>197</v>
      </c>
      <c r="D628" s="2" t="s">
        <v>20</v>
      </c>
      <c r="E628" s="3">
        <v>98072</v>
      </c>
      <c r="F628" s="4" t="s">
        <v>121</v>
      </c>
      <c r="G628" s="2" t="s">
        <v>1177</v>
      </c>
      <c r="H628" s="2" t="s">
        <v>1178</v>
      </c>
      <c r="I628" s="2" t="s">
        <v>212</v>
      </c>
      <c r="J628" s="2" t="s">
        <v>298</v>
      </c>
      <c r="K628" s="4" t="s">
        <v>27</v>
      </c>
      <c r="L628" s="4" t="s">
        <v>27</v>
      </c>
      <c r="M628" s="4" t="s">
        <v>198</v>
      </c>
      <c r="N628" s="5">
        <v>266901841</v>
      </c>
      <c r="O628" s="2" t="s">
        <v>199</v>
      </c>
      <c r="P628" s="2" t="s">
        <v>37</v>
      </c>
      <c r="Q628" s="4" t="s">
        <v>896</v>
      </c>
    </row>
    <row r="629" spans="1:17" hidden="1" x14ac:dyDescent="0.2">
      <c r="A629" s="2" t="s">
        <v>1442</v>
      </c>
      <c r="B629" s="2" t="s">
        <v>40</v>
      </c>
      <c r="C629" s="2" t="s">
        <v>89</v>
      </c>
      <c r="D629" s="2" t="s">
        <v>20</v>
      </c>
      <c r="E629" s="3">
        <v>98012</v>
      </c>
      <c r="F629" s="4" t="s">
        <v>130</v>
      </c>
      <c r="G629" s="2" t="s">
        <v>1177</v>
      </c>
      <c r="H629" s="2" t="s">
        <v>1178</v>
      </c>
      <c r="I629" s="2" t="s">
        <v>212</v>
      </c>
      <c r="J629" s="2" t="s">
        <v>298</v>
      </c>
      <c r="K629" s="4" t="s">
        <v>27</v>
      </c>
      <c r="L629" s="4" t="s">
        <v>27</v>
      </c>
      <c r="M629" s="4" t="s">
        <v>170</v>
      </c>
      <c r="N629" s="5">
        <v>275009675</v>
      </c>
      <c r="O629" s="2" t="s">
        <v>91</v>
      </c>
      <c r="P629" s="2" t="s">
        <v>30</v>
      </c>
      <c r="Q629" s="4" t="s">
        <v>811</v>
      </c>
    </row>
    <row r="630" spans="1:17" hidden="1" x14ac:dyDescent="0.2">
      <c r="A630" s="2" t="s">
        <v>1442</v>
      </c>
      <c r="B630" s="2" t="s">
        <v>33</v>
      </c>
      <c r="C630" s="2" t="s">
        <v>146</v>
      </c>
      <c r="D630" s="2" t="s">
        <v>20</v>
      </c>
      <c r="E630" s="3">
        <v>98004</v>
      </c>
      <c r="F630" s="4" t="s">
        <v>130</v>
      </c>
      <c r="G630" s="2" t="s">
        <v>1177</v>
      </c>
      <c r="H630" s="2" t="s">
        <v>1178</v>
      </c>
      <c r="I630" s="2" t="s">
        <v>212</v>
      </c>
      <c r="J630" s="2" t="s">
        <v>298</v>
      </c>
      <c r="K630" s="4" t="s">
        <v>27</v>
      </c>
      <c r="L630" s="4" t="s">
        <v>27</v>
      </c>
      <c r="M630" s="4" t="s">
        <v>403</v>
      </c>
      <c r="N630" s="5">
        <v>278184504</v>
      </c>
      <c r="O630" s="2" t="s">
        <v>148</v>
      </c>
      <c r="P630" s="2" t="s">
        <v>37</v>
      </c>
      <c r="Q630" s="4" t="s">
        <v>1250</v>
      </c>
    </row>
    <row r="631" spans="1:17" hidden="1" x14ac:dyDescent="0.2">
      <c r="A631" s="2" t="s">
        <v>1443</v>
      </c>
      <c r="B631" s="2" t="s">
        <v>18</v>
      </c>
      <c r="C631" s="2" t="s">
        <v>218</v>
      </c>
      <c r="D631" s="2" t="s">
        <v>20</v>
      </c>
      <c r="E631" s="3">
        <v>98312</v>
      </c>
      <c r="F631" s="4" t="s">
        <v>371</v>
      </c>
      <c r="G631" s="2" t="s">
        <v>1177</v>
      </c>
      <c r="H631" s="2" t="s">
        <v>1178</v>
      </c>
      <c r="I631" s="2" t="s">
        <v>212</v>
      </c>
      <c r="J631" s="2" t="s">
        <v>213</v>
      </c>
      <c r="K631" s="4" t="s">
        <v>815</v>
      </c>
      <c r="L631" s="4" t="s">
        <v>27</v>
      </c>
      <c r="M631" s="4" t="s">
        <v>255</v>
      </c>
      <c r="N631" s="5">
        <v>207540847</v>
      </c>
      <c r="O631" s="2" t="s">
        <v>1180</v>
      </c>
      <c r="P631" s="2" t="s">
        <v>30</v>
      </c>
      <c r="Q631" s="4" t="s">
        <v>1444</v>
      </c>
    </row>
    <row r="632" spans="1:17" hidden="1" x14ac:dyDescent="0.2">
      <c r="A632" s="2" t="s">
        <v>1443</v>
      </c>
      <c r="B632" s="2" t="s">
        <v>33</v>
      </c>
      <c r="C632" s="2" t="s">
        <v>1056</v>
      </c>
      <c r="D632" s="2" t="s">
        <v>20</v>
      </c>
      <c r="E632" s="3">
        <v>98042</v>
      </c>
      <c r="F632" s="4" t="s">
        <v>371</v>
      </c>
      <c r="G632" s="2" t="s">
        <v>1177</v>
      </c>
      <c r="H632" s="2" t="s">
        <v>1178</v>
      </c>
      <c r="I632" s="2" t="s">
        <v>212</v>
      </c>
      <c r="J632" s="2" t="s">
        <v>213</v>
      </c>
      <c r="K632" s="4" t="s">
        <v>815</v>
      </c>
      <c r="L632" s="4" t="s">
        <v>27</v>
      </c>
      <c r="M632" s="4" t="s">
        <v>69</v>
      </c>
      <c r="N632" s="5">
        <v>468442516</v>
      </c>
      <c r="O632" s="2" t="s">
        <v>1398</v>
      </c>
      <c r="P632" s="2" t="s">
        <v>37</v>
      </c>
      <c r="Q632" s="4" t="s">
        <v>1399</v>
      </c>
    </row>
    <row r="633" spans="1:17" hidden="1" x14ac:dyDescent="0.2">
      <c r="A633" s="2" t="s">
        <v>1443</v>
      </c>
      <c r="B633" s="2" t="s">
        <v>804</v>
      </c>
      <c r="C633" s="2" t="s">
        <v>1445</v>
      </c>
      <c r="D633" s="2" t="s">
        <v>20</v>
      </c>
      <c r="E633" s="3">
        <v>99336</v>
      </c>
      <c r="F633" s="4" t="s">
        <v>371</v>
      </c>
      <c r="G633" s="2" t="s">
        <v>1177</v>
      </c>
      <c r="H633" s="2" t="s">
        <v>1178</v>
      </c>
      <c r="I633" s="2" t="s">
        <v>212</v>
      </c>
      <c r="J633" s="2" t="s">
        <v>213</v>
      </c>
      <c r="K633" s="4" t="s">
        <v>815</v>
      </c>
      <c r="L633" s="4" t="s">
        <v>27</v>
      </c>
      <c r="M633" s="4" t="s">
        <v>806</v>
      </c>
      <c r="N633" s="5">
        <v>282653304</v>
      </c>
      <c r="O633" s="2" t="s">
        <v>1446</v>
      </c>
      <c r="P633" s="2" t="s">
        <v>1447</v>
      </c>
      <c r="Q633" s="4" t="s">
        <v>1448</v>
      </c>
    </row>
    <row r="634" spans="1:17" hidden="1" x14ac:dyDescent="0.2">
      <c r="A634" s="2" t="s">
        <v>1449</v>
      </c>
      <c r="B634" s="2" t="s">
        <v>33</v>
      </c>
      <c r="C634" s="2" t="s">
        <v>83</v>
      </c>
      <c r="D634" s="2" t="s">
        <v>20</v>
      </c>
      <c r="E634" s="3">
        <v>98144</v>
      </c>
      <c r="F634" s="4" t="s">
        <v>408</v>
      </c>
      <c r="G634" s="2" t="s">
        <v>1177</v>
      </c>
      <c r="H634" s="2" t="s">
        <v>1178</v>
      </c>
      <c r="I634" s="2" t="s">
        <v>212</v>
      </c>
      <c r="J634" s="2" t="s">
        <v>213</v>
      </c>
      <c r="K634" s="4" t="s">
        <v>1184</v>
      </c>
      <c r="L634" s="4" t="s">
        <v>27</v>
      </c>
      <c r="M634" s="4" t="s">
        <v>284</v>
      </c>
      <c r="N634" s="5">
        <v>478193768</v>
      </c>
      <c r="O634" s="2" t="s">
        <v>867</v>
      </c>
      <c r="P634" s="2" t="s">
        <v>86</v>
      </c>
      <c r="Q634" s="4" t="s">
        <v>1450</v>
      </c>
    </row>
    <row r="635" spans="1:17" hidden="1" x14ac:dyDescent="0.2">
      <c r="A635" s="2" t="s">
        <v>1451</v>
      </c>
      <c r="B635" s="2" t="s">
        <v>18</v>
      </c>
      <c r="C635" s="2" t="s">
        <v>100</v>
      </c>
      <c r="D635" s="2" t="s">
        <v>20</v>
      </c>
      <c r="E635" s="3">
        <v>98367</v>
      </c>
      <c r="F635" s="4" t="s">
        <v>401</v>
      </c>
      <c r="G635" s="2" t="s">
        <v>1177</v>
      </c>
      <c r="H635" s="2" t="s">
        <v>1178</v>
      </c>
      <c r="I635" s="2" t="s">
        <v>212</v>
      </c>
      <c r="J635" s="2" t="s">
        <v>213</v>
      </c>
      <c r="K635" s="4" t="s">
        <v>1346</v>
      </c>
      <c r="L635" s="4" t="s">
        <v>27</v>
      </c>
      <c r="M635" s="4" t="s">
        <v>255</v>
      </c>
      <c r="N635" s="5">
        <v>112989985</v>
      </c>
      <c r="O635" s="2" t="s">
        <v>259</v>
      </c>
      <c r="P635" s="2" t="s">
        <v>30</v>
      </c>
      <c r="Q635" s="4" t="s">
        <v>1452</v>
      </c>
    </row>
    <row r="636" spans="1:17" hidden="1" x14ac:dyDescent="0.2">
      <c r="A636" s="2" t="s">
        <v>1453</v>
      </c>
      <c r="B636" s="2" t="s">
        <v>48</v>
      </c>
      <c r="C636" s="2" t="s">
        <v>1189</v>
      </c>
      <c r="D636" s="2" t="s">
        <v>20</v>
      </c>
      <c r="E636" s="3">
        <v>98936</v>
      </c>
      <c r="F636" s="4" t="s">
        <v>42</v>
      </c>
      <c r="G636" s="2" t="s">
        <v>1177</v>
      </c>
      <c r="H636" s="2" t="s">
        <v>1178</v>
      </c>
      <c r="I636" s="2" t="s">
        <v>212</v>
      </c>
      <c r="J636" s="2" t="s">
        <v>298</v>
      </c>
      <c r="K636" s="4" t="s">
        <v>27</v>
      </c>
      <c r="L636" s="4" t="s">
        <v>27</v>
      </c>
      <c r="M636" s="4" t="s">
        <v>50</v>
      </c>
      <c r="N636" s="5">
        <v>156750023</v>
      </c>
      <c r="O636" s="2" t="s">
        <v>1190</v>
      </c>
      <c r="P636" s="2" t="s">
        <v>52</v>
      </c>
      <c r="Q636" s="4" t="s">
        <v>1191</v>
      </c>
    </row>
    <row r="637" spans="1:17" hidden="1" x14ac:dyDescent="0.2">
      <c r="A637" s="2" t="s">
        <v>1454</v>
      </c>
      <c r="B637" s="2" t="s">
        <v>151</v>
      </c>
      <c r="C637" s="2" t="s">
        <v>152</v>
      </c>
      <c r="D637" s="2" t="s">
        <v>20</v>
      </c>
      <c r="E637" s="3">
        <v>98502</v>
      </c>
      <c r="F637" s="4" t="s">
        <v>57</v>
      </c>
      <c r="G637" s="2" t="s">
        <v>1177</v>
      </c>
      <c r="H637" s="2" t="s">
        <v>1178</v>
      </c>
      <c r="I637" s="2" t="s">
        <v>212</v>
      </c>
      <c r="J637" s="2" t="s">
        <v>298</v>
      </c>
      <c r="K637" s="4" t="s">
        <v>27</v>
      </c>
      <c r="L637" s="4" t="s">
        <v>27</v>
      </c>
      <c r="M637" s="4" t="s">
        <v>255</v>
      </c>
      <c r="N637" s="5">
        <v>187178155</v>
      </c>
      <c r="O637" s="2" t="s">
        <v>337</v>
      </c>
      <c r="P637" s="2" t="s">
        <v>30</v>
      </c>
      <c r="Q637" s="4" t="s">
        <v>570</v>
      </c>
    </row>
    <row r="638" spans="1:17" hidden="1" x14ac:dyDescent="0.2">
      <c r="A638" s="2" t="s">
        <v>1454</v>
      </c>
      <c r="B638" s="2" t="s">
        <v>55</v>
      </c>
      <c r="C638" s="2" t="s">
        <v>63</v>
      </c>
      <c r="D638" s="2" t="s">
        <v>20</v>
      </c>
      <c r="E638" s="3">
        <v>98685</v>
      </c>
      <c r="F638" s="4" t="s">
        <v>57</v>
      </c>
      <c r="G638" s="2" t="s">
        <v>1177</v>
      </c>
      <c r="H638" s="2" t="s">
        <v>1178</v>
      </c>
      <c r="I638" s="2" t="s">
        <v>212</v>
      </c>
      <c r="J638" s="2" t="s">
        <v>298</v>
      </c>
      <c r="K638" s="4" t="s">
        <v>27</v>
      </c>
      <c r="L638" s="4" t="s">
        <v>27</v>
      </c>
      <c r="M638" s="4" t="s">
        <v>58</v>
      </c>
      <c r="N638" s="5">
        <v>263316028</v>
      </c>
      <c r="O638" s="2" t="s">
        <v>299</v>
      </c>
      <c r="P638" s="2" t="s">
        <v>60</v>
      </c>
      <c r="Q638" s="4" t="s">
        <v>419</v>
      </c>
    </row>
    <row r="639" spans="1:17" hidden="1" x14ac:dyDescent="0.2">
      <c r="A639" s="2" t="s">
        <v>1455</v>
      </c>
      <c r="B639" s="2" t="s">
        <v>110</v>
      </c>
      <c r="C639" s="2" t="s">
        <v>749</v>
      </c>
      <c r="D639" s="2" t="s">
        <v>20</v>
      </c>
      <c r="E639" s="3">
        <v>98391</v>
      </c>
      <c r="F639" s="4" t="s">
        <v>21</v>
      </c>
      <c r="G639" s="2" t="s">
        <v>1177</v>
      </c>
      <c r="H639" s="2" t="s">
        <v>1178</v>
      </c>
      <c r="I639" s="2" t="s">
        <v>212</v>
      </c>
      <c r="J639" s="2" t="s">
        <v>298</v>
      </c>
      <c r="K639" s="4" t="s">
        <v>27</v>
      </c>
      <c r="L639" s="4" t="s">
        <v>27</v>
      </c>
      <c r="M639" s="4" t="s">
        <v>112</v>
      </c>
      <c r="N639" s="5">
        <v>261328679</v>
      </c>
      <c r="O639" s="2" t="s">
        <v>113</v>
      </c>
      <c r="P639" s="2" t="s">
        <v>37</v>
      </c>
      <c r="Q639" s="4" t="s">
        <v>1456</v>
      </c>
    </row>
    <row r="640" spans="1:17" hidden="1" x14ac:dyDescent="0.2">
      <c r="A640" s="2" t="s">
        <v>1457</v>
      </c>
      <c r="B640" s="2" t="s">
        <v>18</v>
      </c>
      <c r="C640" s="2" t="s">
        <v>561</v>
      </c>
      <c r="D640" s="2" t="s">
        <v>20</v>
      </c>
      <c r="E640" s="3">
        <v>98383</v>
      </c>
      <c r="F640" s="4" t="s">
        <v>401</v>
      </c>
      <c r="G640" s="2" t="s">
        <v>1177</v>
      </c>
      <c r="H640" s="2" t="s">
        <v>1178</v>
      </c>
      <c r="I640" s="2" t="s">
        <v>212</v>
      </c>
      <c r="J640" s="2" t="s">
        <v>213</v>
      </c>
      <c r="K640" s="4" t="s">
        <v>1458</v>
      </c>
      <c r="L640" s="4" t="s">
        <v>27</v>
      </c>
      <c r="M640" s="4" t="s">
        <v>28</v>
      </c>
      <c r="N640" s="5">
        <v>4824270</v>
      </c>
      <c r="O640" s="2" t="s">
        <v>562</v>
      </c>
      <c r="P640" s="2" t="s">
        <v>30</v>
      </c>
      <c r="Q640" s="4" t="s">
        <v>1459</v>
      </c>
    </row>
    <row r="641" spans="1:17" hidden="1" x14ac:dyDescent="0.2">
      <c r="A641" s="2" t="s">
        <v>1460</v>
      </c>
      <c r="B641" s="2" t="s">
        <v>33</v>
      </c>
      <c r="C641" s="2" t="s">
        <v>83</v>
      </c>
      <c r="D641" s="2" t="s">
        <v>20</v>
      </c>
      <c r="E641" s="3">
        <v>98115</v>
      </c>
      <c r="F641" s="4" t="s">
        <v>42</v>
      </c>
      <c r="G641" s="2" t="s">
        <v>1177</v>
      </c>
      <c r="H641" s="2" t="s">
        <v>1178</v>
      </c>
      <c r="I641" s="2" t="s">
        <v>212</v>
      </c>
      <c r="J641" s="2" t="s">
        <v>298</v>
      </c>
      <c r="K641" s="4" t="s">
        <v>27</v>
      </c>
      <c r="L641" s="4" t="s">
        <v>27</v>
      </c>
      <c r="M641" s="4" t="s">
        <v>278</v>
      </c>
      <c r="N641" s="5">
        <v>182308213</v>
      </c>
      <c r="O641" s="2" t="s">
        <v>828</v>
      </c>
      <c r="P641" s="2" t="s">
        <v>86</v>
      </c>
      <c r="Q641" s="4" t="s">
        <v>829</v>
      </c>
    </row>
    <row r="642" spans="1:17" hidden="1" x14ac:dyDescent="0.2">
      <c r="A642" s="2" t="s">
        <v>1461</v>
      </c>
      <c r="B642" s="2" t="s">
        <v>18</v>
      </c>
      <c r="C642" s="2" t="s">
        <v>234</v>
      </c>
      <c r="D642" s="2" t="s">
        <v>20</v>
      </c>
      <c r="E642" s="3">
        <v>98110</v>
      </c>
      <c r="F642" s="4" t="s">
        <v>401</v>
      </c>
      <c r="G642" s="2" t="s">
        <v>1177</v>
      </c>
      <c r="H642" s="2" t="s">
        <v>1178</v>
      </c>
      <c r="I642" s="2" t="s">
        <v>212</v>
      </c>
      <c r="J642" s="2" t="s">
        <v>213</v>
      </c>
      <c r="K642" s="4" t="s">
        <v>1458</v>
      </c>
      <c r="L642" s="4" t="s">
        <v>27</v>
      </c>
      <c r="M642" s="4" t="s">
        <v>28</v>
      </c>
      <c r="N642" s="5">
        <v>195702293</v>
      </c>
      <c r="O642" s="2" t="s">
        <v>235</v>
      </c>
      <c r="P642" s="2" t="s">
        <v>30</v>
      </c>
      <c r="Q642" s="4" t="s">
        <v>1032</v>
      </c>
    </row>
    <row r="643" spans="1:17" hidden="1" x14ac:dyDescent="0.2">
      <c r="A643" s="2" t="s">
        <v>1462</v>
      </c>
      <c r="B643" s="2" t="s">
        <v>33</v>
      </c>
      <c r="C643" s="2" t="s">
        <v>83</v>
      </c>
      <c r="D643" s="2" t="s">
        <v>20</v>
      </c>
      <c r="E643" s="3">
        <v>98112</v>
      </c>
      <c r="F643" s="4" t="s">
        <v>21</v>
      </c>
      <c r="G643" s="2" t="s">
        <v>1177</v>
      </c>
      <c r="H643" s="2" t="s">
        <v>1178</v>
      </c>
      <c r="I643" s="2" t="s">
        <v>212</v>
      </c>
      <c r="J643" s="2" t="s">
        <v>298</v>
      </c>
      <c r="K643" s="4" t="s">
        <v>27</v>
      </c>
      <c r="L643" s="4" t="s">
        <v>27</v>
      </c>
      <c r="M643" s="4" t="s">
        <v>284</v>
      </c>
      <c r="N643" s="5">
        <v>225995766</v>
      </c>
      <c r="O643" s="2" t="s">
        <v>736</v>
      </c>
      <c r="P643" s="2" t="s">
        <v>86</v>
      </c>
      <c r="Q643" s="4" t="s">
        <v>1136</v>
      </c>
    </row>
    <row r="644" spans="1:17" hidden="1" x14ac:dyDescent="0.2">
      <c r="A644" s="2" t="s">
        <v>1463</v>
      </c>
      <c r="B644" s="2" t="s">
        <v>33</v>
      </c>
      <c r="C644" s="2" t="s">
        <v>139</v>
      </c>
      <c r="D644" s="2" t="s">
        <v>20</v>
      </c>
      <c r="E644" s="3">
        <v>98056</v>
      </c>
      <c r="F644" s="4" t="s">
        <v>21</v>
      </c>
      <c r="G644" s="2" t="s">
        <v>1177</v>
      </c>
      <c r="H644" s="2" t="s">
        <v>1178</v>
      </c>
      <c r="I644" s="2" t="s">
        <v>212</v>
      </c>
      <c r="J644" s="2" t="s">
        <v>298</v>
      </c>
      <c r="K644" s="4" t="s">
        <v>27</v>
      </c>
      <c r="L644" s="4" t="s">
        <v>27</v>
      </c>
      <c r="M644" s="4" t="s">
        <v>140</v>
      </c>
      <c r="N644" s="5">
        <v>252601639</v>
      </c>
      <c r="O644" s="2" t="s">
        <v>593</v>
      </c>
      <c r="P644" s="2" t="s">
        <v>37</v>
      </c>
      <c r="Q644" s="4" t="s">
        <v>1464</v>
      </c>
    </row>
    <row r="645" spans="1:17" hidden="1" x14ac:dyDescent="0.2">
      <c r="A645" s="2" t="s">
        <v>1465</v>
      </c>
      <c r="B645" s="2" t="s">
        <v>33</v>
      </c>
      <c r="C645" s="2" t="s">
        <v>146</v>
      </c>
      <c r="D645" s="2" t="s">
        <v>20</v>
      </c>
      <c r="E645" s="3">
        <v>98004</v>
      </c>
      <c r="F645" s="4" t="s">
        <v>21</v>
      </c>
      <c r="G645" s="2" t="s">
        <v>1177</v>
      </c>
      <c r="H645" s="2" t="s">
        <v>1178</v>
      </c>
      <c r="I645" s="2" t="s">
        <v>212</v>
      </c>
      <c r="J645" s="2" t="s">
        <v>298</v>
      </c>
      <c r="K645" s="4" t="s">
        <v>27</v>
      </c>
      <c r="L645" s="4" t="s">
        <v>27</v>
      </c>
      <c r="M645" s="4" t="s">
        <v>403</v>
      </c>
      <c r="N645" s="5">
        <v>229840173</v>
      </c>
      <c r="O645" s="2" t="s">
        <v>148</v>
      </c>
      <c r="P645" s="2" t="s">
        <v>37</v>
      </c>
      <c r="Q645" s="4" t="s">
        <v>1250</v>
      </c>
    </row>
    <row r="646" spans="1:17" hidden="1" x14ac:dyDescent="0.2">
      <c r="A646" s="2" t="s">
        <v>1466</v>
      </c>
      <c r="B646" s="2" t="s">
        <v>110</v>
      </c>
      <c r="C646" s="2" t="s">
        <v>1467</v>
      </c>
      <c r="D646" s="2" t="s">
        <v>20</v>
      </c>
      <c r="E646" s="3">
        <v>98424</v>
      </c>
      <c r="F646" s="4" t="s">
        <v>401</v>
      </c>
      <c r="G646" s="2" t="s">
        <v>1177</v>
      </c>
      <c r="H646" s="2" t="s">
        <v>1178</v>
      </c>
      <c r="I646" s="2" t="s">
        <v>212</v>
      </c>
      <c r="J646" s="2" t="s">
        <v>213</v>
      </c>
      <c r="K646" s="4" t="s">
        <v>1458</v>
      </c>
      <c r="L646" s="4" t="s">
        <v>27</v>
      </c>
      <c r="M646" s="4" t="s">
        <v>43</v>
      </c>
      <c r="N646" s="5">
        <v>104441732</v>
      </c>
      <c r="O646" s="2" t="s">
        <v>1468</v>
      </c>
      <c r="P646" s="2" t="s">
        <v>310</v>
      </c>
      <c r="Q646" s="4" t="s">
        <v>1469</v>
      </c>
    </row>
    <row r="647" spans="1:17" hidden="1" x14ac:dyDescent="0.2">
      <c r="A647" s="2" t="s">
        <v>1470</v>
      </c>
      <c r="B647" s="2" t="s">
        <v>48</v>
      </c>
      <c r="C647" s="2" t="s">
        <v>48</v>
      </c>
      <c r="D647" s="2" t="s">
        <v>20</v>
      </c>
      <c r="E647" s="3">
        <v>98908</v>
      </c>
      <c r="F647" s="4" t="s">
        <v>401</v>
      </c>
      <c r="G647" s="2" t="s">
        <v>1177</v>
      </c>
      <c r="H647" s="2" t="s">
        <v>1178</v>
      </c>
      <c r="I647" s="2" t="s">
        <v>212</v>
      </c>
      <c r="J647" s="2" t="s">
        <v>213</v>
      </c>
      <c r="K647" s="4" t="s">
        <v>1458</v>
      </c>
      <c r="L647" s="4" t="s">
        <v>27</v>
      </c>
      <c r="M647" s="4" t="s">
        <v>323</v>
      </c>
      <c r="N647" s="5">
        <v>240669691</v>
      </c>
      <c r="O647" s="2" t="s">
        <v>596</v>
      </c>
      <c r="P647" s="2" t="s">
        <v>52</v>
      </c>
      <c r="Q647" s="4" t="s">
        <v>1471</v>
      </c>
    </row>
    <row r="648" spans="1:17" hidden="1" x14ac:dyDescent="0.2">
      <c r="A648" s="2" t="s">
        <v>1472</v>
      </c>
      <c r="B648" s="2" t="s">
        <v>55</v>
      </c>
      <c r="C648" s="2" t="s">
        <v>63</v>
      </c>
      <c r="D648" s="2" t="s">
        <v>20</v>
      </c>
      <c r="E648" s="3">
        <v>98685</v>
      </c>
      <c r="F648" s="4" t="s">
        <v>57</v>
      </c>
      <c r="G648" s="2" t="s">
        <v>1177</v>
      </c>
      <c r="H648" s="2" t="s">
        <v>1178</v>
      </c>
      <c r="I648" s="2" t="s">
        <v>212</v>
      </c>
      <c r="J648" s="2" t="s">
        <v>298</v>
      </c>
      <c r="K648" s="4" t="s">
        <v>27</v>
      </c>
      <c r="L648" s="4" t="s">
        <v>27</v>
      </c>
      <c r="M648" s="4" t="s">
        <v>58</v>
      </c>
      <c r="N648" s="5">
        <v>192672448</v>
      </c>
      <c r="O648" s="2" t="s">
        <v>299</v>
      </c>
      <c r="P648" s="2" t="s">
        <v>60</v>
      </c>
      <c r="Q648" s="4" t="s">
        <v>1473</v>
      </c>
    </row>
    <row r="649" spans="1:17" hidden="1" x14ac:dyDescent="0.2">
      <c r="A649" s="2" t="s">
        <v>1474</v>
      </c>
      <c r="B649" s="2" t="s">
        <v>110</v>
      </c>
      <c r="C649" s="2" t="s">
        <v>1049</v>
      </c>
      <c r="D649" s="2" t="s">
        <v>20</v>
      </c>
      <c r="E649" s="3">
        <v>98433</v>
      </c>
      <c r="F649" s="4" t="s">
        <v>57</v>
      </c>
      <c r="G649" s="2" t="s">
        <v>1177</v>
      </c>
      <c r="H649" s="2" t="s">
        <v>1178</v>
      </c>
      <c r="I649" s="2" t="s">
        <v>212</v>
      </c>
      <c r="J649" s="2" t="s">
        <v>298</v>
      </c>
      <c r="K649" s="4" t="s">
        <v>27</v>
      </c>
      <c r="L649" s="4" t="s">
        <v>27</v>
      </c>
      <c r="M649" s="4" t="s">
        <v>478</v>
      </c>
      <c r="N649" s="5">
        <v>183037200</v>
      </c>
      <c r="O649" s="2" t="s">
        <v>1052</v>
      </c>
      <c r="P649" s="2" t="s">
        <v>37</v>
      </c>
      <c r="Q649" s="4" t="s">
        <v>1475</v>
      </c>
    </row>
    <row r="650" spans="1:17" hidden="1" x14ac:dyDescent="0.2">
      <c r="A650" s="2" t="s">
        <v>1476</v>
      </c>
      <c r="B650" s="2" t="s">
        <v>33</v>
      </c>
      <c r="C650" s="2" t="s">
        <v>186</v>
      </c>
      <c r="D650" s="2" t="s">
        <v>20</v>
      </c>
      <c r="E650" s="3">
        <v>98003</v>
      </c>
      <c r="F650" s="4" t="s">
        <v>21</v>
      </c>
      <c r="G650" s="2" t="s">
        <v>1177</v>
      </c>
      <c r="H650" s="2" t="s">
        <v>1178</v>
      </c>
      <c r="I650" s="2" t="s">
        <v>212</v>
      </c>
      <c r="J650" s="2" t="s">
        <v>298</v>
      </c>
      <c r="K650" s="4" t="s">
        <v>27</v>
      </c>
      <c r="L650" s="4" t="s">
        <v>27</v>
      </c>
      <c r="M650" s="4" t="s">
        <v>187</v>
      </c>
      <c r="N650" s="5">
        <v>251311595</v>
      </c>
      <c r="O650" s="2" t="s">
        <v>458</v>
      </c>
      <c r="P650" s="2" t="s">
        <v>37</v>
      </c>
      <c r="Q650" s="4" t="s">
        <v>1477</v>
      </c>
    </row>
    <row r="651" spans="1:17" hidden="1" x14ac:dyDescent="0.2">
      <c r="A651" s="2" t="s">
        <v>1478</v>
      </c>
      <c r="B651" s="2" t="s">
        <v>33</v>
      </c>
      <c r="C651" s="2" t="s">
        <v>186</v>
      </c>
      <c r="D651" s="2" t="s">
        <v>20</v>
      </c>
      <c r="E651" s="3">
        <v>98001</v>
      </c>
      <c r="F651" s="4" t="s">
        <v>57</v>
      </c>
      <c r="G651" s="2" t="s">
        <v>1177</v>
      </c>
      <c r="H651" s="2" t="s">
        <v>1178</v>
      </c>
      <c r="I651" s="2" t="s">
        <v>212</v>
      </c>
      <c r="J651" s="2" t="s">
        <v>298</v>
      </c>
      <c r="K651" s="4" t="s">
        <v>27</v>
      </c>
      <c r="L651" s="4" t="s">
        <v>27</v>
      </c>
      <c r="M651" s="4" t="s">
        <v>187</v>
      </c>
      <c r="N651" s="5">
        <v>204864481</v>
      </c>
      <c r="O651" s="2" t="s">
        <v>474</v>
      </c>
      <c r="P651" s="2" t="s">
        <v>37</v>
      </c>
      <c r="Q651" s="4" t="s">
        <v>1414</v>
      </c>
    </row>
    <row r="652" spans="1:17" hidden="1" x14ac:dyDescent="0.2">
      <c r="A652" s="2" t="s">
        <v>1479</v>
      </c>
      <c r="B652" s="2" t="s">
        <v>331</v>
      </c>
      <c r="C652" s="2" t="s">
        <v>331</v>
      </c>
      <c r="D652" s="2" t="s">
        <v>20</v>
      </c>
      <c r="E652" s="3">
        <v>99206</v>
      </c>
      <c r="F652" s="4" t="s">
        <v>21</v>
      </c>
      <c r="G652" s="2" t="s">
        <v>1177</v>
      </c>
      <c r="H652" s="2" t="s">
        <v>1178</v>
      </c>
      <c r="I652" s="2" t="s">
        <v>212</v>
      </c>
      <c r="J652" s="2" t="s">
        <v>298</v>
      </c>
      <c r="K652" s="4" t="s">
        <v>27</v>
      </c>
      <c r="L652" s="4" t="s">
        <v>27</v>
      </c>
      <c r="M652" s="4" t="s">
        <v>1381</v>
      </c>
      <c r="N652" s="5">
        <v>261353655</v>
      </c>
      <c r="O652" s="2" t="s">
        <v>1480</v>
      </c>
      <c r="P652" s="2" t="s">
        <v>1481</v>
      </c>
      <c r="Q652" s="4" t="s">
        <v>1482</v>
      </c>
    </row>
    <row r="653" spans="1:17" hidden="1" x14ac:dyDescent="0.2">
      <c r="A653" s="2" t="s">
        <v>1483</v>
      </c>
      <c r="B653" s="2" t="s">
        <v>48</v>
      </c>
      <c r="C653" s="2" t="s">
        <v>48</v>
      </c>
      <c r="D653" s="2" t="s">
        <v>20</v>
      </c>
      <c r="E653" s="3">
        <v>98908</v>
      </c>
      <c r="F653" s="4" t="s">
        <v>401</v>
      </c>
      <c r="G653" s="2" t="s">
        <v>1177</v>
      </c>
      <c r="H653" s="2" t="s">
        <v>1178</v>
      </c>
      <c r="I653" s="2" t="s">
        <v>212</v>
      </c>
      <c r="J653" s="2" t="s">
        <v>213</v>
      </c>
      <c r="K653" s="4" t="s">
        <v>1458</v>
      </c>
      <c r="L653" s="4" t="s">
        <v>27</v>
      </c>
      <c r="M653" s="4" t="s">
        <v>323</v>
      </c>
      <c r="N653" s="5">
        <v>103490145</v>
      </c>
      <c r="O653" s="2" t="s">
        <v>596</v>
      </c>
      <c r="P653" s="2" t="s">
        <v>52</v>
      </c>
      <c r="Q653" s="4" t="s">
        <v>1471</v>
      </c>
    </row>
    <row r="654" spans="1:17" hidden="1" x14ac:dyDescent="0.2">
      <c r="A654" s="2" t="s">
        <v>1484</v>
      </c>
      <c r="B654" s="2" t="s">
        <v>33</v>
      </c>
      <c r="C654" s="2" t="s">
        <v>68</v>
      </c>
      <c r="D654" s="2" t="s">
        <v>20</v>
      </c>
      <c r="E654" s="3">
        <v>98092</v>
      </c>
      <c r="F654" s="4" t="s">
        <v>21</v>
      </c>
      <c r="G654" s="2" t="s">
        <v>1177</v>
      </c>
      <c r="H654" s="2" t="s">
        <v>1178</v>
      </c>
      <c r="I654" s="2" t="s">
        <v>212</v>
      </c>
      <c r="J654" s="2" t="s">
        <v>298</v>
      </c>
      <c r="K654" s="4" t="s">
        <v>27</v>
      </c>
      <c r="L654" s="4" t="s">
        <v>27</v>
      </c>
      <c r="M654" s="4" t="s">
        <v>69</v>
      </c>
      <c r="N654" s="5">
        <v>233333432</v>
      </c>
      <c r="O654" s="2" t="s">
        <v>540</v>
      </c>
      <c r="P654" s="2" t="s">
        <v>37</v>
      </c>
      <c r="Q654" s="4" t="s">
        <v>1485</v>
      </c>
    </row>
    <row r="655" spans="1:17" hidden="1" x14ac:dyDescent="0.2">
      <c r="A655" s="2" t="s">
        <v>1486</v>
      </c>
      <c r="B655" s="2" t="s">
        <v>33</v>
      </c>
      <c r="C655" s="2" t="s">
        <v>83</v>
      </c>
      <c r="D655" s="2" t="s">
        <v>20</v>
      </c>
      <c r="E655" s="3">
        <v>98109</v>
      </c>
      <c r="F655" s="4" t="s">
        <v>130</v>
      </c>
      <c r="G655" s="2" t="s">
        <v>1177</v>
      </c>
      <c r="H655" s="2" t="s">
        <v>1178</v>
      </c>
      <c r="I655" s="2" t="s">
        <v>212</v>
      </c>
      <c r="J655" s="2" t="s">
        <v>298</v>
      </c>
      <c r="K655" s="4" t="s">
        <v>27</v>
      </c>
      <c r="L655" s="4" t="s">
        <v>27</v>
      </c>
      <c r="M655" s="4" t="s">
        <v>436</v>
      </c>
      <c r="N655" s="5">
        <v>277825796</v>
      </c>
      <c r="O655" s="2" t="s">
        <v>437</v>
      </c>
      <c r="P655" s="2" t="s">
        <v>86</v>
      </c>
      <c r="Q655" s="4" t="s">
        <v>1090</v>
      </c>
    </row>
    <row r="656" spans="1:17" hidden="1" x14ac:dyDescent="0.2">
      <c r="A656" s="2" t="s">
        <v>1487</v>
      </c>
      <c r="B656" s="2" t="s">
        <v>55</v>
      </c>
      <c r="C656" s="2" t="s">
        <v>63</v>
      </c>
      <c r="D656" s="2" t="s">
        <v>20</v>
      </c>
      <c r="E656" s="3">
        <v>98660</v>
      </c>
      <c r="F656" s="4" t="s">
        <v>121</v>
      </c>
      <c r="G656" s="2" t="s">
        <v>1177</v>
      </c>
      <c r="H656" s="2" t="s">
        <v>1178</v>
      </c>
      <c r="I656" s="2" t="s">
        <v>212</v>
      </c>
      <c r="J656" s="2" t="s">
        <v>298</v>
      </c>
      <c r="K656" s="4" t="s">
        <v>27</v>
      </c>
      <c r="L656" s="4" t="s">
        <v>27</v>
      </c>
      <c r="M656" s="4" t="s">
        <v>191</v>
      </c>
      <c r="N656" s="5">
        <v>271187829</v>
      </c>
      <c r="O656" s="2" t="s">
        <v>1433</v>
      </c>
      <c r="P656" s="2" t="s">
        <v>60</v>
      </c>
      <c r="Q656" s="4" t="s">
        <v>1488</v>
      </c>
    </row>
    <row r="657" spans="1:17" hidden="1" x14ac:dyDescent="0.2">
      <c r="A657" s="2" t="s">
        <v>1489</v>
      </c>
      <c r="B657" s="2" t="s">
        <v>33</v>
      </c>
      <c r="C657" s="2" t="s">
        <v>68</v>
      </c>
      <c r="D657" s="2" t="s">
        <v>20</v>
      </c>
      <c r="E657" s="3">
        <v>98092</v>
      </c>
      <c r="F657" s="4" t="s">
        <v>121</v>
      </c>
      <c r="G657" s="2" t="s">
        <v>1177</v>
      </c>
      <c r="H657" s="2" t="s">
        <v>1178</v>
      </c>
      <c r="I657" s="2" t="s">
        <v>212</v>
      </c>
      <c r="J657" s="2" t="s">
        <v>298</v>
      </c>
      <c r="K657" s="4" t="s">
        <v>27</v>
      </c>
      <c r="L657" s="4" t="s">
        <v>27</v>
      </c>
      <c r="M657" s="4" t="s">
        <v>112</v>
      </c>
      <c r="N657" s="5">
        <v>271582391</v>
      </c>
      <c r="O657" s="2" t="s">
        <v>540</v>
      </c>
      <c r="P657" s="2" t="s">
        <v>37</v>
      </c>
      <c r="Q657" s="4" t="s">
        <v>541</v>
      </c>
    </row>
    <row r="658" spans="1:17" hidden="1" x14ac:dyDescent="0.2">
      <c r="A658" s="2" t="s">
        <v>1490</v>
      </c>
      <c r="B658" s="2" t="s">
        <v>33</v>
      </c>
      <c r="C658" s="2" t="s">
        <v>169</v>
      </c>
      <c r="D658" s="2" t="s">
        <v>20</v>
      </c>
      <c r="E658" s="3">
        <v>98034</v>
      </c>
      <c r="F658" s="4" t="s">
        <v>130</v>
      </c>
      <c r="G658" s="2" t="s">
        <v>1177</v>
      </c>
      <c r="H658" s="2" t="s">
        <v>1178</v>
      </c>
      <c r="I658" s="2" t="s">
        <v>212</v>
      </c>
      <c r="J658" s="2" t="s">
        <v>298</v>
      </c>
      <c r="K658" s="4" t="s">
        <v>27</v>
      </c>
      <c r="L658" s="4" t="s">
        <v>27</v>
      </c>
      <c r="M658" s="4" t="s">
        <v>198</v>
      </c>
      <c r="N658" s="5">
        <v>282041308</v>
      </c>
      <c r="O658" s="2" t="s">
        <v>171</v>
      </c>
      <c r="P658" s="2" t="s">
        <v>37</v>
      </c>
      <c r="Q658" s="4" t="s">
        <v>378</v>
      </c>
    </row>
    <row r="659" spans="1:17" hidden="1" x14ac:dyDescent="0.2">
      <c r="A659" s="2" t="s">
        <v>1491</v>
      </c>
      <c r="B659" s="2" t="s">
        <v>33</v>
      </c>
      <c r="C659" s="2" t="s">
        <v>34</v>
      </c>
      <c r="D659" s="2" t="s">
        <v>20</v>
      </c>
      <c r="E659" s="3">
        <v>98029</v>
      </c>
      <c r="F659" s="4" t="s">
        <v>1492</v>
      </c>
      <c r="G659" s="2" t="s">
        <v>1177</v>
      </c>
      <c r="H659" s="2" t="s">
        <v>1493</v>
      </c>
      <c r="I659" s="2" t="s">
        <v>212</v>
      </c>
      <c r="J659" s="2" t="s">
        <v>213</v>
      </c>
      <c r="K659" s="4" t="s">
        <v>1184</v>
      </c>
      <c r="L659" s="4" t="s">
        <v>1494</v>
      </c>
      <c r="M659" s="4" t="s">
        <v>35</v>
      </c>
      <c r="N659" s="5">
        <v>206424627</v>
      </c>
      <c r="O659" s="2" t="s">
        <v>795</v>
      </c>
      <c r="P659" s="2" t="s">
        <v>37</v>
      </c>
      <c r="Q659" s="4" t="s">
        <v>1100</v>
      </c>
    </row>
    <row r="660" spans="1:17" hidden="1" x14ac:dyDescent="0.2">
      <c r="A660" s="2" t="s">
        <v>1495</v>
      </c>
      <c r="B660" s="2" t="s">
        <v>33</v>
      </c>
      <c r="C660" s="2" t="s">
        <v>451</v>
      </c>
      <c r="D660" s="2" t="s">
        <v>20</v>
      </c>
      <c r="E660" s="3">
        <v>98074</v>
      </c>
      <c r="F660" s="4" t="s">
        <v>227</v>
      </c>
      <c r="G660" s="2" t="s">
        <v>1177</v>
      </c>
      <c r="H660" s="2" t="s">
        <v>1496</v>
      </c>
      <c r="I660" s="2" t="s">
        <v>212</v>
      </c>
      <c r="J660" s="2" t="s">
        <v>213</v>
      </c>
      <c r="K660" s="4" t="s">
        <v>1497</v>
      </c>
      <c r="L660" s="4" t="s">
        <v>1498</v>
      </c>
      <c r="M660" s="4" t="s">
        <v>198</v>
      </c>
      <c r="N660" s="5">
        <v>141388677</v>
      </c>
      <c r="O660" s="2" t="s">
        <v>781</v>
      </c>
      <c r="P660" s="2" t="s">
        <v>37</v>
      </c>
      <c r="Q660" s="4" t="s">
        <v>1499</v>
      </c>
    </row>
    <row r="661" spans="1:17" hidden="1" x14ac:dyDescent="0.2">
      <c r="A661" s="2" t="s">
        <v>1500</v>
      </c>
      <c r="B661" s="2" t="s">
        <v>207</v>
      </c>
      <c r="C661" s="2" t="s">
        <v>499</v>
      </c>
      <c r="D661" s="2" t="s">
        <v>20</v>
      </c>
      <c r="E661" s="3">
        <v>98221</v>
      </c>
      <c r="F661" s="4" t="s">
        <v>227</v>
      </c>
      <c r="G661" s="2" t="s">
        <v>1177</v>
      </c>
      <c r="H661" s="2" t="s">
        <v>1496</v>
      </c>
      <c r="I661" s="2" t="s">
        <v>212</v>
      </c>
      <c r="J661" s="2" t="s">
        <v>213</v>
      </c>
      <c r="K661" s="4" t="s">
        <v>1497</v>
      </c>
      <c r="L661" s="4" t="s">
        <v>1498</v>
      </c>
      <c r="M661" s="4" t="s">
        <v>96</v>
      </c>
      <c r="N661" s="5">
        <v>262672861</v>
      </c>
      <c r="O661" s="2" t="s">
        <v>500</v>
      </c>
      <c r="P661" s="2" t="s">
        <v>30</v>
      </c>
      <c r="Q661" s="4" t="s">
        <v>1501</v>
      </c>
    </row>
    <row r="662" spans="1:17" hidden="1" x14ac:dyDescent="0.2">
      <c r="A662" s="2" t="s">
        <v>1502</v>
      </c>
      <c r="B662" s="2" t="s">
        <v>40</v>
      </c>
      <c r="C662" s="2" t="s">
        <v>784</v>
      </c>
      <c r="D662" s="2" t="s">
        <v>20</v>
      </c>
      <c r="E662" s="3">
        <v>98275</v>
      </c>
      <c r="F662" s="4" t="s">
        <v>227</v>
      </c>
      <c r="G662" s="2" t="s">
        <v>1177</v>
      </c>
      <c r="H662" s="2" t="s">
        <v>1496</v>
      </c>
      <c r="I662" s="2" t="s">
        <v>212</v>
      </c>
      <c r="J662" s="2" t="s">
        <v>213</v>
      </c>
      <c r="K662" s="4" t="s">
        <v>1497</v>
      </c>
      <c r="L662" s="4" t="s">
        <v>1498</v>
      </c>
      <c r="M662" s="4" t="s">
        <v>26</v>
      </c>
      <c r="N662" s="5">
        <v>158250690</v>
      </c>
      <c r="O662" s="2" t="s">
        <v>785</v>
      </c>
      <c r="P662" s="2" t="s">
        <v>30</v>
      </c>
      <c r="Q662" s="4" t="s">
        <v>786</v>
      </c>
    </row>
    <row r="663" spans="1:17" hidden="1" x14ac:dyDescent="0.2">
      <c r="A663" s="2" t="s">
        <v>1503</v>
      </c>
      <c r="B663" s="2" t="s">
        <v>151</v>
      </c>
      <c r="C663" s="2" t="s">
        <v>152</v>
      </c>
      <c r="D663" s="2" t="s">
        <v>20</v>
      </c>
      <c r="E663" s="3">
        <v>98513</v>
      </c>
      <c r="F663" s="4" t="s">
        <v>227</v>
      </c>
      <c r="G663" s="2" t="s">
        <v>1177</v>
      </c>
      <c r="H663" s="2" t="s">
        <v>1496</v>
      </c>
      <c r="I663" s="2" t="s">
        <v>212</v>
      </c>
      <c r="J663" s="2" t="s">
        <v>213</v>
      </c>
      <c r="K663" s="4" t="s">
        <v>1497</v>
      </c>
      <c r="L663" s="4" t="s">
        <v>1498</v>
      </c>
      <c r="M663" s="4" t="s">
        <v>357</v>
      </c>
      <c r="N663" s="5">
        <v>189376253</v>
      </c>
      <c r="O663" s="2" t="s">
        <v>657</v>
      </c>
      <c r="P663" s="2" t="s">
        <v>30</v>
      </c>
      <c r="Q663" s="4" t="s">
        <v>658</v>
      </c>
    </row>
    <row r="664" spans="1:17" hidden="1" x14ac:dyDescent="0.2">
      <c r="A664" s="2" t="s">
        <v>1504</v>
      </c>
      <c r="B664" s="2" t="s">
        <v>40</v>
      </c>
      <c r="C664" s="2" t="s">
        <v>272</v>
      </c>
      <c r="D664" s="2" t="s">
        <v>20</v>
      </c>
      <c r="E664" s="3">
        <v>98271</v>
      </c>
      <c r="F664" s="4" t="s">
        <v>209</v>
      </c>
      <c r="G664" s="2" t="s">
        <v>1177</v>
      </c>
      <c r="H664" s="2" t="s">
        <v>1496</v>
      </c>
      <c r="I664" s="2" t="s">
        <v>212</v>
      </c>
      <c r="J664" s="2" t="s">
        <v>213</v>
      </c>
      <c r="K664" s="4" t="s">
        <v>1505</v>
      </c>
      <c r="L664" s="4" t="s">
        <v>27</v>
      </c>
      <c r="M664" s="4" t="s">
        <v>274</v>
      </c>
      <c r="N664" s="5">
        <v>217982866</v>
      </c>
      <c r="O664" s="2" t="s">
        <v>1506</v>
      </c>
      <c r="P664" s="2" t="s">
        <v>30</v>
      </c>
      <c r="Q664" s="4" t="s">
        <v>1507</v>
      </c>
    </row>
    <row r="665" spans="1:17" hidden="1" x14ac:dyDescent="0.2">
      <c r="A665" s="2" t="s">
        <v>1508</v>
      </c>
      <c r="B665" s="2" t="s">
        <v>40</v>
      </c>
      <c r="C665" s="2" t="s">
        <v>120</v>
      </c>
      <c r="D665" s="2" t="s">
        <v>20</v>
      </c>
      <c r="E665" s="3">
        <v>98292</v>
      </c>
      <c r="F665" s="4" t="s">
        <v>230</v>
      </c>
      <c r="G665" s="2" t="s">
        <v>1177</v>
      </c>
      <c r="H665" s="2" t="s">
        <v>1496</v>
      </c>
      <c r="I665" s="2" t="s">
        <v>212</v>
      </c>
      <c r="J665" s="2" t="s">
        <v>213</v>
      </c>
      <c r="K665" s="4" t="s">
        <v>1497</v>
      </c>
      <c r="L665" s="4" t="s">
        <v>27</v>
      </c>
      <c r="M665" s="4" t="s">
        <v>96</v>
      </c>
      <c r="N665" s="5">
        <v>258059693</v>
      </c>
      <c r="O665" s="2" t="s">
        <v>122</v>
      </c>
      <c r="P665" s="2" t="s">
        <v>30</v>
      </c>
      <c r="Q665" s="4" t="s">
        <v>1509</v>
      </c>
    </row>
    <row r="666" spans="1:17" hidden="1" x14ac:dyDescent="0.2">
      <c r="A666" s="2" t="s">
        <v>1510</v>
      </c>
      <c r="B666" s="2" t="s">
        <v>18</v>
      </c>
      <c r="C666" s="2" t="s">
        <v>561</v>
      </c>
      <c r="D666" s="2" t="s">
        <v>20</v>
      </c>
      <c r="E666" s="3">
        <v>98383</v>
      </c>
      <c r="F666" s="4" t="s">
        <v>209</v>
      </c>
      <c r="G666" s="2" t="s">
        <v>1177</v>
      </c>
      <c r="H666" s="2" t="s">
        <v>1496</v>
      </c>
      <c r="I666" s="2" t="s">
        <v>212</v>
      </c>
      <c r="J666" s="2" t="s">
        <v>213</v>
      </c>
      <c r="K666" s="4" t="s">
        <v>1505</v>
      </c>
      <c r="L666" s="4" t="s">
        <v>27</v>
      </c>
      <c r="M666" s="4" t="s">
        <v>28</v>
      </c>
      <c r="N666" s="5">
        <v>272691345</v>
      </c>
      <c r="O666" s="2" t="s">
        <v>562</v>
      </c>
      <c r="P666" s="2" t="s">
        <v>30</v>
      </c>
      <c r="Q666" s="4" t="s">
        <v>563</v>
      </c>
    </row>
    <row r="667" spans="1:17" hidden="1" x14ac:dyDescent="0.2">
      <c r="A667" s="2" t="s">
        <v>1511</v>
      </c>
      <c r="B667" s="2" t="s">
        <v>48</v>
      </c>
      <c r="C667" s="2" t="s">
        <v>48</v>
      </c>
      <c r="D667" s="2" t="s">
        <v>20</v>
      </c>
      <c r="E667" s="3">
        <v>98901</v>
      </c>
      <c r="F667" s="4" t="s">
        <v>209</v>
      </c>
      <c r="G667" s="2" t="s">
        <v>1177</v>
      </c>
      <c r="H667" s="2" t="s">
        <v>1496</v>
      </c>
      <c r="I667" s="2" t="s">
        <v>212</v>
      </c>
      <c r="J667" s="2" t="s">
        <v>213</v>
      </c>
      <c r="K667" s="4" t="s">
        <v>1505</v>
      </c>
      <c r="L667" s="4" t="s">
        <v>27</v>
      </c>
      <c r="M667" s="4" t="s">
        <v>50</v>
      </c>
      <c r="N667" s="5">
        <v>196516400</v>
      </c>
      <c r="O667" s="2" t="s">
        <v>1258</v>
      </c>
      <c r="P667" s="2" t="s">
        <v>52</v>
      </c>
      <c r="Q667" s="4" t="s">
        <v>1259</v>
      </c>
    </row>
    <row r="668" spans="1:17" hidden="1" x14ac:dyDescent="0.2">
      <c r="A668" s="2" t="s">
        <v>1512</v>
      </c>
      <c r="B668" s="2" t="s">
        <v>151</v>
      </c>
      <c r="C668" s="2" t="s">
        <v>152</v>
      </c>
      <c r="D668" s="2" t="s">
        <v>20</v>
      </c>
      <c r="E668" s="3">
        <v>98506</v>
      </c>
      <c r="F668" s="4" t="s">
        <v>209</v>
      </c>
      <c r="G668" s="2" t="s">
        <v>1177</v>
      </c>
      <c r="H668" s="2" t="s">
        <v>1496</v>
      </c>
      <c r="I668" s="2" t="s">
        <v>212</v>
      </c>
      <c r="J668" s="2" t="s">
        <v>213</v>
      </c>
      <c r="K668" s="4" t="s">
        <v>1505</v>
      </c>
      <c r="L668" s="4" t="s">
        <v>27</v>
      </c>
      <c r="M668" s="4" t="s">
        <v>90</v>
      </c>
      <c r="N668" s="5">
        <v>149213900</v>
      </c>
      <c r="O668" s="2" t="s">
        <v>487</v>
      </c>
      <c r="P668" s="2" t="s">
        <v>30</v>
      </c>
      <c r="Q668" s="4" t="s">
        <v>1513</v>
      </c>
    </row>
    <row r="669" spans="1:17" hidden="1" x14ac:dyDescent="0.2">
      <c r="A669" s="2" t="s">
        <v>1512</v>
      </c>
      <c r="B669" s="2" t="s">
        <v>156</v>
      </c>
      <c r="C669" s="2" t="s">
        <v>1514</v>
      </c>
      <c r="D669" s="2" t="s">
        <v>20</v>
      </c>
      <c r="E669" s="3">
        <v>98532</v>
      </c>
      <c r="F669" s="4" t="s">
        <v>209</v>
      </c>
      <c r="G669" s="2" t="s">
        <v>1177</v>
      </c>
      <c r="H669" s="2" t="s">
        <v>1496</v>
      </c>
      <c r="I669" s="2" t="s">
        <v>212</v>
      </c>
      <c r="J669" s="2" t="s">
        <v>213</v>
      </c>
      <c r="K669" s="4" t="s">
        <v>1505</v>
      </c>
      <c r="L669" s="4" t="s">
        <v>27</v>
      </c>
      <c r="M669" s="4" t="s">
        <v>79</v>
      </c>
      <c r="N669" s="5">
        <v>272089142</v>
      </c>
      <c r="O669" s="2" t="s">
        <v>1515</v>
      </c>
      <c r="P669" s="2" t="s">
        <v>37</v>
      </c>
      <c r="Q669" s="4" t="s">
        <v>1516</v>
      </c>
    </row>
    <row r="670" spans="1:17" hidden="1" x14ac:dyDescent="0.2">
      <c r="A670" s="2" t="s">
        <v>1517</v>
      </c>
      <c r="B670" s="2" t="s">
        <v>55</v>
      </c>
      <c r="C670" s="2" t="s">
        <v>282</v>
      </c>
      <c r="D670" s="2" t="s">
        <v>20</v>
      </c>
      <c r="E670" s="3">
        <v>98671</v>
      </c>
      <c r="F670" s="4" t="s">
        <v>230</v>
      </c>
      <c r="G670" s="2" t="s">
        <v>1177</v>
      </c>
      <c r="H670" s="2" t="s">
        <v>1496</v>
      </c>
      <c r="I670" s="2" t="s">
        <v>212</v>
      </c>
      <c r="J670" s="2" t="s">
        <v>213</v>
      </c>
      <c r="K670" s="4" t="s">
        <v>1497</v>
      </c>
      <c r="L670" s="4" t="s">
        <v>27</v>
      </c>
      <c r="M670" s="4" t="s">
        <v>58</v>
      </c>
      <c r="N670" s="5">
        <v>254026573</v>
      </c>
      <c r="O670" s="2" t="s">
        <v>285</v>
      </c>
      <c r="P670" s="2" t="s">
        <v>353</v>
      </c>
      <c r="Q670" s="4" t="s">
        <v>1127</v>
      </c>
    </row>
    <row r="671" spans="1:17" hidden="1" x14ac:dyDescent="0.2">
      <c r="A671" s="2" t="s">
        <v>1518</v>
      </c>
      <c r="B671" s="2" t="s">
        <v>33</v>
      </c>
      <c r="C671" s="2" t="s">
        <v>83</v>
      </c>
      <c r="D671" s="2" t="s">
        <v>20</v>
      </c>
      <c r="E671" s="3">
        <v>98125</v>
      </c>
      <c r="F671" s="4" t="s">
        <v>209</v>
      </c>
      <c r="G671" s="2" t="s">
        <v>1177</v>
      </c>
      <c r="H671" s="2" t="s">
        <v>1496</v>
      </c>
      <c r="I671" s="2" t="s">
        <v>212</v>
      </c>
      <c r="J671" s="2" t="s">
        <v>213</v>
      </c>
      <c r="K671" s="4" t="s">
        <v>1505</v>
      </c>
      <c r="L671" s="4" t="s">
        <v>27</v>
      </c>
      <c r="M671" s="4" t="s">
        <v>278</v>
      </c>
      <c r="N671" s="5">
        <v>158217762</v>
      </c>
      <c r="O671" s="2" t="s">
        <v>279</v>
      </c>
      <c r="P671" s="2" t="s">
        <v>86</v>
      </c>
      <c r="Q671" s="4" t="s">
        <v>434</v>
      </c>
    </row>
    <row r="672" spans="1:17" hidden="1" x14ac:dyDescent="0.2">
      <c r="A672" s="2" t="s">
        <v>1519</v>
      </c>
      <c r="B672" s="2" t="s">
        <v>331</v>
      </c>
      <c r="C672" s="2" t="s">
        <v>1520</v>
      </c>
      <c r="D672" s="2" t="s">
        <v>20</v>
      </c>
      <c r="E672" s="3">
        <v>99025</v>
      </c>
      <c r="F672" s="4" t="s">
        <v>371</v>
      </c>
      <c r="G672" s="2" t="s">
        <v>1177</v>
      </c>
      <c r="H672" s="2" t="s">
        <v>1496</v>
      </c>
      <c r="I672" s="2" t="s">
        <v>212</v>
      </c>
      <c r="J672" s="2" t="s">
        <v>213</v>
      </c>
      <c r="K672" s="4" t="s">
        <v>1521</v>
      </c>
      <c r="L672" s="4" t="s">
        <v>27</v>
      </c>
      <c r="M672" s="4" t="s">
        <v>1381</v>
      </c>
      <c r="N672" s="5">
        <v>186936704</v>
      </c>
      <c r="O672" s="2" t="s">
        <v>1522</v>
      </c>
      <c r="P672" s="2" t="s">
        <v>334</v>
      </c>
      <c r="Q672" s="4" t="s">
        <v>1523</v>
      </c>
    </row>
    <row r="673" spans="1:17" hidden="1" x14ac:dyDescent="0.2">
      <c r="A673" s="2" t="s">
        <v>1524</v>
      </c>
      <c r="B673" s="2" t="s">
        <v>151</v>
      </c>
      <c r="C673" s="2" t="s">
        <v>152</v>
      </c>
      <c r="D673" s="2" t="s">
        <v>20</v>
      </c>
      <c r="E673" s="3">
        <v>98513</v>
      </c>
      <c r="F673" s="4" t="s">
        <v>209</v>
      </c>
      <c r="G673" s="2" t="s">
        <v>1177</v>
      </c>
      <c r="H673" s="2" t="s">
        <v>1496</v>
      </c>
      <c r="I673" s="2" t="s">
        <v>212</v>
      </c>
      <c r="J673" s="2" t="s">
        <v>213</v>
      </c>
      <c r="K673" s="4" t="s">
        <v>1505</v>
      </c>
      <c r="L673" s="4" t="s">
        <v>27</v>
      </c>
      <c r="M673" s="4" t="s">
        <v>357</v>
      </c>
      <c r="N673" s="5">
        <v>240298572</v>
      </c>
      <c r="O673" s="2" t="s">
        <v>657</v>
      </c>
      <c r="P673" s="2" t="s">
        <v>30</v>
      </c>
      <c r="Q673" s="4" t="s">
        <v>1525</v>
      </c>
    </row>
    <row r="674" spans="1:17" hidden="1" x14ac:dyDescent="0.2">
      <c r="A674" s="2" t="s">
        <v>1526</v>
      </c>
      <c r="B674" s="2" t="s">
        <v>48</v>
      </c>
      <c r="C674" s="2" t="s">
        <v>1527</v>
      </c>
      <c r="D674" s="2" t="s">
        <v>20</v>
      </c>
      <c r="E674" s="3">
        <v>98948</v>
      </c>
      <c r="F674" s="4" t="s">
        <v>371</v>
      </c>
      <c r="G674" s="2" t="s">
        <v>1177</v>
      </c>
      <c r="H674" s="2" t="s">
        <v>1496</v>
      </c>
      <c r="I674" s="2" t="s">
        <v>212</v>
      </c>
      <c r="J674" s="2" t="s">
        <v>213</v>
      </c>
      <c r="K674" s="4" t="s">
        <v>1521</v>
      </c>
      <c r="L674" s="4" t="s">
        <v>27</v>
      </c>
      <c r="M674" s="4" t="s">
        <v>50</v>
      </c>
      <c r="N674" s="5">
        <v>154011287</v>
      </c>
      <c r="O674" s="2" t="s">
        <v>1528</v>
      </c>
      <c r="P674" s="2" t="s">
        <v>52</v>
      </c>
      <c r="Q674" s="4" t="s">
        <v>1529</v>
      </c>
    </row>
    <row r="675" spans="1:17" hidden="1" x14ac:dyDescent="0.2">
      <c r="A675" s="2" t="s">
        <v>1526</v>
      </c>
      <c r="B675" s="2" t="s">
        <v>151</v>
      </c>
      <c r="C675" s="2" t="s">
        <v>152</v>
      </c>
      <c r="D675" s="2" t="s">
        <v>20</v>
      </c>
      <c r="E675" s="3">
        <v>98502</v>
      </c>
      <c r="F675" s="4" t="s">
        <v>371</v>
      </c>
      <c r="G675" s="2" t="s">
        <v>1177</v>
      </c>
      <c r="H675" s="2" t="s">
        <v>1496</v>
      </c>
      <c r="I675" s="2" t="s">
        <v>212</v>
      </c>
      <c r="J675" s="2" t="s">
        <v>213</v>
      </c>
      <c r="K675" s="4" t="s">
        <v>1521</v>
      </c>
      <c r="L675" s="4" t="s">
        <v>27</v>
      </c>
      <c r="M675" s="4" t="s">
        <v>255</v>
      </c>
      <c r="N675" s="5">
        <v>196648210</v>
      </c>
      <c r="O675" s="2" t="s">
        <v>337</v>
      </c>
      <c r="P675" s="2" t="s">
        <v>30</v>
      </c>
      <c r="Q675" s="4" t="s">
        <v>570</v>
      </c>
    </row>
    <row r="676" spans="1:17" hidden="1" x14ac:dyDescent="0.2">
      <c r="A676" s="2" t="s">
        <v>1526</v>
      </c>
      <c r="B676" s="2" t="s">
        <v>33</v>
      </c>
      <c r="C676" s="2" t="s">
        <v>146</v>
      </c>
      <c r="D676" s="2" t="s">
        <v>20</v>
      </c>
      <c r="E676" s="3">
        <v>98005</v>
      </c>
      <c r="F676" s="4" t="s">
        <v>371</v>
      </c>
      <c r="G676" s="2" t="s">
        <v>1177</v>
      </c>
      <c r="H676" s="2" t="s">
        <v>1496</v>
      </c>
      <c r="I676" s="2" t="s">
        <v>212</v>
      </c>
      <c r="J676" s="2" t="s">
        <v>213</v>
      </c>
      <c r="K676" s="4" t="s">
        <v>1521</v>
      </c>
      <c r="L676" s="4" t="s">
        <v>27</v>
      </c>
      <c r="M676" s="4" t="s">
        <v>403</v>
      </c>
      <c r="N676" s="5">
        <v>475129861</v>
      </c>
      <c r="O676" s="2" t="s">
        <v>448</v>
      </c>
      <c r="P676" s="2" t="s">
        <v>37</v>
      </c>
      <c r="Q676" s="4" t="s">
        <v>449</v>
      </c>
    </row>
    <row r="677" spans="1:17" hidden="1" x14ac:dyDescent="0.2">
      <c r="A677" s="2" t="s">
        <v>1530</v>
      </c>
      <c r="B677" s="2" t="s">
        <v>362</v>
      </c>
      <c r="C677" s="2" t="s">
        <v>363</v>
      </c>
      <c r="D677" s="2" t="s">
        <v>20</v>
      </c>
      <c r="E677" s="3">
        <v>98584</v>
      </c>
      <c r="F677" s="4" t="s">
        <v>209</v>
      </c>
      <c r="G677" s="2" t="s">
        <v>1177</v>
      </c>
      <c r="H677" s="2" t="s">
        <v>1496</v>
      </c>
      <c r="I677" s="2" t="s">
        <v>212</v>
      </c>
      <c r="J677" s="2" t="s">
        <v>213</v>
      </c>
      <c r="K677" s="4" t="s">
        <v>1505</v>
      </c>
      <c r="L677" s="4" t="s">
        <v>27</v>
      </c>
      <c r="M677" s="4" t="s">
        <v>255</v>
      </c>
      <c r="N677" s="5">
        <v>349976224</v>
      </c>
      <c r="O677" s="2" t="s">
        <v>364</v>
      </c>
      <c r="P677" s="2" t="s">
        <v>365</v>
      </c>
      <c r="Q677" s="4" t="s">
        <v>366</v>
      </c>
    </row>
    <row r="678" spans="1:17" hidden="1" x14ac:dyDescent="0.2">
      <c r="A678" s="2" t="s">
        <v>1531</v>
      </c>
      <c r="B678" s="2" t="s">
        <v>33</v>
      </c>
      <c r="C678" s="2" t="s">
        <v>1532</v>
      </c>
      <c r="D678" s="2" t="s">
        <v>20</v>
      </c>
      <c r="E678" s="3">
        <v>98024</v>
      </c>
      <c r="F678" s="4" t="s">
        <v>42</v>
      </c>
      <c r="G678" s="2" t="s">
        <v>1177</v>
      </c>
      <c r="H678" s="2" t="s">
        <v>1496</v>
      </c>
      <c r="I678" s="2" t="s">
        <v>212</v>
      </c>
      <c r="J678" s="2" t="s">
        <v>298</v>
      </c>
      <c r="K678" s="4" t="s">
        <v>27</v>
      </c>
      <c r="L678" s="4" t="s">
        <v>27</v>
      </c>
      <c r="M678" s="4" t="s">
        <v>35</v>
      </c>
      <c r="N678" s="5">
        <v>134940368</v>
      </c>
      <c r="O678" s="2" t="s">
        <v>1533</v>
      </c>
      <c r="P678" s="2" t="s">
        <v>37</v>
      </c>
      <c r="Q678" s="4" t="s">
        <v>1534</v>
      </c>
    </row>
    <row r="679" spans="1:17" hidden="1" x14ac:dyDescent="0.2">
      <c r="A679" s="2" t="s">
        <v>1535</v>
      </c>
      <c r="B679" s="2" t="s">
        <v>151</v>
      </c>
      <c r="C679" s="2" t="s">
        <v>152</v>
      </c>
      <c r="D679" s="2" t="s">
        <v>20</v>
      </c>
      <c r="E679" s="3">
        <v>98506</v>
      </c>
      <c r="F679" s="4" t="s">
        <v>230</v>
      </c>
      <c r="G679" s="2" t="s">
        <v>1177</v>
      </c>
      <c r="H679" s="2" t="s">
        <v>1496</v>
      </c>
      <c r="I679" s="2" t="s">
        <v>212</v>
      </c>
      <c r="J679" s="2" t="s">
        <v>213</v>
      </c>
      <c r="K679" s="4" t="s">
        <v>1497</v>
      </c>
      <c r="L679" s="4" t="s">
        <v>27</v>
      </c>
      <c r="M679" s="4" t="s">
        <v>90</v>
      </c>
      <c r="N679" s="5">
        <v>129126371</v>
      </c>
      <c r="O679" s="2" t="s">
        <v>487</v>
      </c>
      <c r="P679" s="2" t="s">
        <v>30</v>
      </c>
      <c r="Q679" s="4" t="s">
        <v>1352</v>
      </c>
    </row>
    <row r="680" spans="1:17" hidden="1" x14ac:dyDescent="0.2">
      <c r="A680" s="2" t="s">
        <v>1536</v>
      </c>
      <c r="B680" s="2" t="s">
        <v>207</v>
      </c>
      <c r="C680" s="2" t="s">
        <v>208</v>
      </c>
      <c r="D680" s="2" t="s">
        <v>20</v>
      </c>
      <c r="E680" s="3">
        <v>98273</v>
      </c>
      <c r="F680" s="4" t="s">
        <v>273</v>
      </c>
      <c r="G680" s="2" t="s">
        <v>1177</v>
      </c>
      <c r="H680" s="2" t="s">
        <v>1496</v>
      </c>
      <c r="I680" s="2" t="s">
        <v>212</v>
      </c>
      <c r="J680" s="2" t="s">
        <v>213</v>
      </c>
      <c r="K680" s="4" t="s">
        <v>1505</v>
      </c>
      <c r="L680" s="4" t="s">
        <v>27</v>
      </c>
      <c r="M680" s="4" t="s">
        <v>409</v>
      </c>
      <c r="N680" s="5">
        <v>254797854</v>
      </c>
      <c r="O680" s="2" t="s">
        <v>1537</v>
      </c>
      <c r="P680" s="2" t="s">
        <v>30</v>
      </c>
      <c r="Q680" s="4" t="s">
        <v>1538</v>
      </c>
    </row>
    <row r="681" spans="1:17" hidden="1" x14ac:dyDescent="0.2">
      <c r="A681" s="2" t="s">
        <v>1539</v>
      </c>
      <c r="B681" s="2" t="s">
        <v>151</v>
      </c>
      <c r="C681" s="2" t="s">
        <v>152</v>
      </c>
      <c r="D681" s="2" t="s">
        <v>20</v>
      </c>
      <c r="E681" s="3">
        <v>98502</v>
      </c>
      <c r="F681" s="4" t="s">
        <v>230</v>
      </c>
      <c r="G681" s="2" t="s">
        <v>1177</v>
      </c>
      <c r="H681" s="2" t="s">
        <v>1496</v>
      </c>
      <c r="I681" s="2" t="s">
        <v>212</v>
      </c>
      <c r="J681" s="2" t="s">
        <v>213</v>
      </c>
      <c r="K681" s="4" t="s">
        <v>1497</v>
      </c>
      <c r="L681" s="4" t="s">
        <v>27</v>
      </c>
      <c r="M681" s="4" t="s">
        <v>255</v>
      </c>
      <c r="N681" s="5">
        <v>166186233</v>
      </c>
      <c r="O681" s="2" t="s">
        <v>337</v>
      </c>
      <c r="P681" s="2" t="s">
        <v>30</v>
      </c>
      <c r="Q681" s="4" t="s">
        <v>790</v>
      </c>
    </row>
    <row r="682" spans="1:17" hidden="1" x14ac:dyDescent="0.2">
      <c r="A682" s="2" t="s">
        <v>1540</v>
      </c>
      <c r="B682" s="2" t="s">
        <v>40</v>
      </c>
      <c r="C682" s="2" t="s">
        <v>383</v>
      </c>
      <c r="D682" s="2" t="s">
        <v>20</v>
      </c>
      <c r="E682" s="3">
        <v>98208</v>
      </c>
      <c r="F682" s="4" t="s">
        <v>209</v>
      </c>
      <c r="G682" s="2" t="s">
        <v>1177</v>
      </c>
      <c r="H682" s="2" t="s">
        <v>1496</v>
      </c>
      <c r="I682" s="2" t="s">
        <v>212</v>
      </c>
      <c r="J682" s="2" t="s">
        <v>213</v>
      </c>
      <c r="K682" s="4" t="s">
        <v>1505</v>
      </c>
      <c r="L682" s="4" t="s">
        <v>27</v>
      </c>
      <c r="M682" s="4" t="s">
        <v>116</v>
      </c>
      <c r="N682" s="5">
        <v>475732358</v>
      </c>
      <c r="O682" s="2" t="s">
        <v>384</v>
      </c>
      <c r="P682" s="2" t="s">
        <v>30</v>
      </c>
      <c r="Q682" s="4" t="s">
        <v>1541</v>
      </c>
    </row>
    <row r="683" spans="1:17" hidden="1" x14ac:dyDescent="0.2">
      <c r="A683" s="2" t="s">
        <v>1542</v>
      </c>
      <c r="B683" s="2" t="s">
        <v>40</v>
      </c>
      <c r="C683" s="2" t="s">
        <v>89</v>
      </c>
      <c r="D683" s="2" t="s">
        <v>20</v>
      </c>
      <c r="E683" s="3">
        <v>98012</v>
      </c>
      <c r="F683" s="4" t="s">
        <v>408</v>
      </c>
      <c r="G683" s="2" t="s">
        <v>1177</v>
      </c>
      <c r="H683" s="2" t="s">
        <v>1496</v>
      </c>
      <c r="I683" s="2" t="s">
        <v>212</v>
      </c>
      <c r="J683" s="2" t="s">
        <v>213</v>
      </c>
      <c r="K683" s="4" t="s">
        <v>1543</v>
      </c>
      <c r="L683" s="4" t="s">
        <v>27</v>
      </c>
      <c r="M683" s="4" t="s">
        <v>116</v>
      </c>
      <c r="N683" s="5">
        <v>8861128</v>
      </c>
      <c r="O683" s="2" t="s">
        <v>91</v>
      </c>
      <c r="P683" s="2" t="s">
        <v>30</v>
      </c>
      <c r="Q683" s="4" t="s">
        <v>521</v>
      </c>
    </row>
    <row r="684" spans="1:17" hidden="1" x14ac:dyDescent="0.2">
      <c r="A684" s="2" t="s">
        <v>1544</v>
      </c>
      <c r="B684" s="2" t="s">
        <v>40</v>
      </c>
      <c r="C684" s="2" t="s">
        <v>73</v>
      </c>
      <c r="D684" s="2" t="s">
        <v>20</v>
      </c>
      <c r="E684" s="3">
        <v>98036</v>
      </c>
      <c r="F684" s="4" t="s">
        <v>230</v>
      </c>
      <c r="G684" s="2" t="s">
        <v>1177</v>
      </c>
      <c r="H684" s="2" t="s">
        <v>1496</v>
      </c>
      <c r="I684" s="2" t="s">
        <v>212</v>
      </c>
      <c r="J684" s="2" t="s">
        <v>213</v>
      </c>
      <c r="K684" s="4" t="s">
        <v>1497</v>
      </c>
      <c r="L684" s="4" t="s">
        <v>27</v>
      </c>
      <c r="M684" s="4" t="s">
        <v>74</v>
      </c>
      <c r="N684" s="5">
        <v>264654967</v>
      </c>
      <c r="O684" s="2" t="s">
        <v>75</v>
      </c>
      <c r="P684" s="2" t="s">
        <v>30</v>
      </c>
      <c r="Q684" s="4" t="s">
        <v>1545</v>
      </c>
    </row>
    <row r="685" spans="1:17" hidden="1" x14ac:dyDescent="0.2">
      <c r="A685" s="2" t="s">
        <v>1546</v>
      </c>
      <c r="B685" s="2" t="s">
        <v>40</v>
      </c>
      <c r="C685" s="2" t="s">
        <v>40</v>
      </c>
      <c r="D685" s="2" t="s">
        <v>20</v>
      </c>
      <c r="E685" s="3">
        <v>98290</v>
      </c>
      <c r="F685" s="4" t="s">
        <v>273</v>
      </c>
      <c r="G685" s="2" t="s">
        <v>1177</v>
      </c>
      <c r="H685" s="2" t="s">
        <v>1496</v>
      </c>
      <c r="I685" s="2" t="s">
        <v>212</v>
      </c>
      <c r="J685" s="2" t="s">
        <v>213</v>
      </c>
      <c r="K685" s="4" t="s">
        <v>1505</v>
      </c>
      <c r="L685" s="4" t="s">
        <v>27</v>
      </c>
      <c r="M685" s="4" t="s">
        <v>44</v>
      </c>
      <c r="N685" s="5">
        <v>228536416</v>
      </c>
      <c r="O685" s="2" t="s">
        <v>117</v>
      </c>
      <c r="P685" s="2" t="s">
        <v>30</v>
      </c>
      <c r="Q685" s="4" t="s">
        <v>1547</v>
      </c>
    </row>
    <row r="686" spans="1:17" hidden="1" x14ac:dyDescent="0.2">
      <c r="A686" s="2" t="s">
        <v>1548</v>
      </c>
      <c r="B686" s="2" t="s">
        <v>33</v>
      </c>
      <c r="C686" s="2" t="s">
        <v>89</v>
      </c>
      <c r="D686" s="2" t="s">
        <v>20</v>
      </c>
      <c r="E686" s="3">
        <v>98034</v>
      </c>
      <c r="F686" s="4" t="s">
        <v>371</v>
      </c>
      <c r="G686" s="2" t="s">
        <v>1177</v>
      </c>
      <c r="H686" s="2" t="s">
        <v>1496</v>
      </c>
      <c r="I686" s="2" t="s">
        <v>212</v>
      </c>
      <c r="J686" s="2" t="s">
        <v>213</v>
      </c>
      <c r="K686" s="4" t="s">
        <v>1521</v>
      </c>
      <c r="L686" s="4" t="s">
        <v>27</v>
      </c>
      <c r="M686" s="4" t="s">
        <v>198</v>
      </c>
      <c r="N686" s="5">
        <v>475992653</v>
      </c>
      <c r="O686" s="2" t="s">
        <v>171</v>
      </c>
      <c r="P686" s="2" t="s">
        <v>37</v>
      </c>
      <c r="Q686" s="4" t="s">
        <v>923</v>
      </c>
    </row>
    <row r="687" spans="1:17" hidden="1" x14ac:dyDescent="0.2">
      <c r="A687" s="2" t="s">
        <v>1548</v>
      </c>
      <c r="B687" s="2" t="s">
        <v>33</v>
      </c>
      <c r="C687" s="2" t="s">
        <v>83</v>
      </c>
      <c r="D687" s="2" t="s">
        <v>20</v>
      </c>
      <c r="E687" s="3">
        <v>98199</v>
      </c>
      <c r="F687" s="4" t="s">
        <v>371</v>
      </c>
      <c r="G687" s="2" t="s">
        <v>1177</v>
      </c>
      <c r="H687" s="2" t="s">
        <v>1496</v>
      </c>
      <c r="I687" s="2" t="s">
        <v>212</v>
      </c>
      <c r="J687" s="2" t="s">
        <v>213</v>
      </c>
      <c r="K687" s="4" t="s">
        <v>1521</v>
      </c>
      <c r="L687" s="4" t="s">
        <v>27</v>
      </c>
      <c r="M687" s="4" t="s">
        <v>84</v>
      </c>
      <c r="N687" s="5">
        <v>476248307</v>
      </c>
      <c r="O687" s="2" t="s">
        <v>380</v>
      </c>
      <c r="P687" s="2" t="s">
        <v>86</v>
      </c>
      <c r="Q687" s="4" t="s">
        <v>413</v>
      </c>
    </row>
    <row r="688" spans="1:17" hidden="1" x14ac:dyDescent="0.2">
      <c r="A688" s="2" t="s">
        <v>1549</v>
      </c>
      <c r="B688" s="2" t="s">
        <v>48</v>
      </c>
      <c r="C688" s="2" t="s">
        <v>48</v>
      </c>
      <c r="D688" s="2" t="s">
        <v>20</v>
      </c>
      <c r="E688" s="3">
        <v>98902</v>
      </c>
      <c r="F688" s="4" t="s">
        <v>408</v>
      </c>
      <c r="G688" s="2" t="s">
        <v>1177</v>
      </c>
      <c r="H688" s="2" t="s">
        <v>1496</v>
      </c>
      <c r="I688" s="2" t="s">
        <v>212</v>
      </c>
      <c r="J688" s="2" t="s">
        <v>213</v>
      </c>
      <c r="K688" s="4" t="s">
        <v>1543</v>
      </c>
      <c r="L688" s="4" t="s">
        <v>27</v>
      </c>
      <c r="M688" s="4" t="s">
        <v>50</v>
      </c>
      <c r="N688" s="5">
        <v>474882180</v>
      </c>
      <c r="O688" s="2" t="s">
        <v>421</v>
      </c>
      <c r="P688" s="2" t="s">
        <v>52</v>
      </c>
      <c r="Q688" s="4" t="s">
        <v>1550</v>
      </c>
    </row>
    <row r="689" spans="1:17" hidden="1" x14ac:dyDescent="0.2">
      <c r="A689" s="2" t="s">
        <v>1551</v>
      </c>
      <c r="B689" s="2" t="s">
        <v>40</v>
      </c>
      <c r="C689" s="2" t="s">
        <v>268</v>
      </c>
      <c r="D689" s="2" t="s">
        <v>20</v>
      </c>
      <c r="E689" s="3">
        <v>98026</v>
      </c>
      <c r="F689" s="4" t="s">
        <v>273</v>
      </c>
      <c r="G689" s="2" t="s">
        <v>1177</v>
      </c>
      <c r="H689" s="2" t="s">
        <v>1496</v>
      </c>
      <c r="I689" s="2" t="s">
        <v>212</v>
      </c>
      <c r="J689" s="2" t="s">
        <v>213</v>
      </c>
      <c r="K689" s="4" t="s">
        <v>1505</v>
      </c>
      <c r="L689" s="4" t="s">
        <v>27</v>
      </c>
      <c r="M689" s="4" t="s">
        <v>26</v>
      </c>
      <c r="N689" s="5">
        <v>204828767</v>
      </c>
      <c r="O689" s="2" t="s">
        <v>640</v>
      </c>
      <c r="P689" s="2" t="s">
        <v>30</v>
      </c>
      <c r="Q689" s="4" t="s">
        <v>497</v>
      </c>
    </row>
    <row r="690" spans="1:17" hidden="1" x14ac:dyDescent="0.2">
      <c r="A690" s="2" t="s">
        <v>1551</v>
      </c>
      <c r="B690" s="2" t="s">
        <v>33</v>
      </c>
      <c r="C690" s="2" t="s">
        <v>83</v>
      </c>
      <c r="D690" s="2" t="s">
        <v>20</v>
      </c>
      <c r="E690" s="3">
        <v>98102</v>
      </c>
      <c r="F690" s="4" t="s">
        <v>273</v>
      </c>
      <c r="G690" s="2" t="s">
        <v>1177</v>
      </c>
      <c r="H690" s="2" t="s">
        <v>1496</v>
      </c>
      <c r="I690" s="2" t="s">
        <v>212</v>
      </c>
      <c r="J690" s="2" t="s">
        <v>213</v>
      </c>
      <c r="K690" s="4" t="s">
        <v>1505</v>
      </c>
      <c r="L690" s="4" t="s">
        <v>27</v>
      </c>
      <c r="M690" s="4" t="s">
        <v>436</v>
      </c>
      <c r="N690" s="5">
        <v>316332929</v>
      </c>
      <c r="O690" s="2" t="s">
        <v>1552</v>
      </c>
      <c r="P690" s="2" t="s">
        <v>86</v>
      </c>
      <c r="Q690" s="4" t="s">
        <v>1553</v>
      </c>
    </row>
    <row r="691" spans="1:17" hidden="1" x14ac:dyDescent="0.2">
      <c r="A691" s="2" t="s">
        <v>1554</v>
      </c>
      <c r="B691" s="2" t="s">
        <v>40</v>
      </c>
      <c r="C691" s="2" t="s">
        <v>40</v>
      </c>
      <c r="D691" s="2" t="s">
        <v>20</v>
      </c>
      <c r="E691" s="3">
        <v>98290</v>
      </c>
      <c r="F691" s="4" t="s">
        <v>371</v>
      </c>
      <c r="G691" s="2" t="s">
        <v>1177</v>
      </c>
      <c r="H691" s="2" t="s">
        <v>1496</v>
      </c>
      <c r="I691" s="2" t="s">
        <v>212</v>
      </c>
      <c r="J691" s="2" t="s">
        <v>213</v>
      </c>
      <c r="K691" s="4" t="s">
        <v>1521</v>
      </c>
      <c r="L691" s="4" t="s">
        <v>27</v>
      </c>
      <c r="M691" s="4" t="s">
        <v>116</v>
      </c>
      <c r="N691" s="5">
        <v>267926368</v>
      </c>
      <c r="O691" s="2" t="s">
        <v>117</v>
      </c>
      <c r="P691" s="2" t="s">
        <v>30</v>
      </c>
      <c r="Q691" s="4" t="s">
        <v>118</v>
      </c>
    </row>
    <row r="692" spans="1:17" hidden="1" x14ac:dyDescent="0.2">
      <c r="A692" s="2" t="s">
        <v>1554</v>
      </c>
      <c r="B692" s="2" t="s">
        <v>40</v>
      </c>
      <c r="C692" s="2" t="s">
        <v>268</v>
      </c>
      <c r="D692" s="2" t="s">
        <v>20</v>
      </c>
      <c r="E692" s="3">
        <v>98026</v>
      </c>
      <c r="F692" s="4" t="s">
        <v>371</v>
      </c>
      <c r="G692" s="2" t="s">
        <v>1177</v>
      </c>
      <c r="H692" s="2" t="s">
        <v>1496</v>
      </c>
      <c r="I692" s="2" t="s">
        <v>212</v>
      </c>
      <c r="J692" s="2" t="s">
        <v>213</v>
      </c>
      <c r="K692" s="4" t="s">
        <v>1521</v>
      </c>
      <c r="L692" s="4" t="s">
        <v>27</v>
      </c>
      <c r="M692" s="4" t="s">
        <v>26</v>
      </c>
      <c r="N692" s="5">
        <v>286581200</v>
      </c>
      <c r="O692" s="2" t="s">
        <v>640</v>
      </c>
      <c r="P692" s="2" t="s">
        <v>30</v>
      </c>
      <c r="Q692" s="4" t="s">
        <v>1555</v>
      </c>
    </row>
    <row r="693" spans="1:17" hidden="1" x14ac:dyDescent="0.2">
      <c r="A693" s="2" t="s">
        <v>1556</v>
      </c>
      <c r="B693" s="2" t="s">
        <v>40</v>
      </c>
      <c r="C693" s="2" t="s">
        <v>784</v>
      </c>
      <c r="D693" s="2" t="s">
        <v>20</v>
      </c>
      <c r="E693" s="3">
        <v>98275</v>
      </c>
      <c r="F693" s="4" t="s">
        <v>408</v>
      </c>
      <c r="G693" s="2" t="s">
        <v>1177</v>
      </c>
      <c r="H693" s="2" t="s">
        <v>1496</v>
      </c>
      <c r="I693" s="2" t="s">
        <v>212</v>
      </c>
      <c r="J693" s="2" t="s">
        <v>213</v>
      </c>
      <c r="K693" s="4" t="s">
        <v>1543</v>
      </c>
      <c r="L693" s="4" t="s">
        <v>27</v>
      </c>
      <c r="M693" s="4" t="s">
        <v>26</v>
      </c>
      <c r="N693" s="5">
        <v>236424583</v>
      </c>
      <c r="O693" s="2" t="s">
        <v>785</v>
      </c>
      <c r="P693" s="2" t="s">
        <v>30</v>
      </c>
      <c r="Q693" s="4" t="s">
        <v>786</v>
      </c>
    </row>
    <row r="694" spans="1:17" hidden="1" x14ac:dyDescent="0.2">
      <c r="A694" s="2" t="s">
        <v>1557</v>
      </c>
      <c r="B694" s="2" t="s">
        <v>33</v>
      </c>
      <c r="C694" s="2" t="s">
        <v>669</v>
      </c>
      <c r="D694" s="2" t="s">
        <v>20</v>
      </c>
      <c r="E694" s="3">
        <v>98052</v>
      </c>
      <c r="F694" s="4" t="s">
        <v>408</v>
      </c>
      <c r="G694" s="2" t="s">
        <v>1177</v>
      </c>
      <c r="H694" s="2" t="s">
        <v>1496</v>
      </c>
      <c r="I694" s="2" t="s">
        <v>212</v>
      </c>
      <c r="J694" s="2" t="s">
        <v>213</v>
      </c>
      <c r="K694" s="4" t="s">
        <v>1543</v>
      </c>
      <c r="L694" s="4" t="s">
        <v>27</v>
      </c>
      <c r="M694" s="4" t="s">
        <v>147</v>
      </c>
      <c r="N694" s="5">
        <v>478027903</v>
      </c>
      <c r="O694" s="2" t="s">
        <v>670</v>
      </c>
      <c r="P694" s="2" t="s">
        <v>37</v>
      </c>
      <c r="Q694" s="4" t="s">
        <v>684</v>
      </c>
    </row>
    <row r="695" spans="1:17" hidden="1" x14ac:dyDescent="0.2">
      <c r="A695" s="2" t="s">
        <v>1558</v>
      </c>
      <c r="B695" s="2" t="s">
        <v>40</v>
      </c>
      <c r="C695" s="2" t="s">
        <v>40</v>
      </c>
      <c r="D695" s="2" t="s">
        <v>20</v>
      </c>
      <c r="E695" s="3">
        <v>98290</v>
      </c>
      <c r="F695" s="4" t="s">
        <v>209</v>
      </c>
      <c r="G695" s="2" t="s">
        <v>1177</v>
      </c>
      <c r="H695" s="2" t="s">
        <v>1496</v>
      </c>
      <c r="I695" s="2" t="s">
        <v>212</v>
      </c>
      <c r="J695" s="2" t="s">
        <v>213</v>
      </c>
      <c r="K695" s="4" t="s">
        <v>1505</v>
      </c>
      <c r="L695" s="4" t="s">
        <v>27</v>
      </c>
      <c r="M695" s="4" t="s">
        <v>116</v>
      </c>
      <c r="N695" s="5">
        <v>171866313</v>
      </c>
      <c r="O695" s="2" t="s">
        <v>117</v>
      </c>
      <c r="P695" s="2" t="s">
        <v>30</v>
      </c>
      <c r="Q695" s="4" t="s">
        <v>118</v>
      </c>
    </row>
    <row r="696" spans="1:17" hidden="1" x14ac:dyDescent="0.2">
      <c r="A696" s="2" t="s">
        <v>1559</v>
      </c>
      <c r="B696" s="2" t="s">
        <v>18</v>
      </c>
      <c r="C696" s="2" t="s">
        <v>100</v>
      </c>
      <c r="D696" s="2" t="s">
        <v>20</v>
      </c>
      <c r="E696" s="3">
        <v>98366</v>
      </c>
      <c r="F696" s="4" t="s">
        <v>371</v>
      </c>
      <c r="G696" s="2" t="s">
        <v>1177</v>
      </c>
      <c r="H696" s="2" t="s">
        <v>1496</v>
      </c>
      <c r="I696" s="2" t="s">
        <v>212</v>
      </c>
      <c r="J696" s="2" t="s">
        <v>213</v>
      </c>
      <c r="K696" s="4" t="s">
        <v>1521</v>
      </c>
      <c r="L696" s="4" t="s">
        <v>27</v>
      </c>
      <c r="M696" s="4" t="s">
        <v>101</v>
      </c>
      <c r="N696" s="5">
        <v>177571971</v>
      </c>
      <c r="O696" s="2" t="s">
        <v>102</v>
      </c>
      <c r="P696" s="2" t="s">
        <v>30</v>
      </c>
      <c r="Q696" s="4" t="s">
        <v>536</v>
      </c>
    </row>
    <row r="697" spans="1:17" hidden="1" x14ac:dyDescent="0.2">
      <c r="A697" s="2" t="s">
        <v>1560</v>
      </c>
      <c r="B697" s="2" t="s">
        <v>313</v>
      </c>
      <c r="C697" s="2" t="s">
        <v>313</v>
      </c>
      <c r="D697" s="2" t="s">
        <v>20</v>
      </c>
      <c r="E697" s="3">
        <v>99362</v>
      </c>
      <c r="F697" s="4" t="s">
        <v>401</v>
      </c>
      <c r="G697" s="2" t="s">
        <v>1177</v>
      </c>
      <c r="H697" s="2" t="s">
        <v>1496</v>
      </c>
      <c r="I697" s="2" t="s">
        <v>212</v>
      </c>
      <c r="J697" s="2" t="s">
        <v>213</v>
      </c>
      <c r="K697" s="4" t="s">
        <v>1561</v>
      </c>
      <c r="L697" s="4" t="s">
        <v>27</v>
      </c>
      <c r="M697" s="4" t="s">
        <v>314</v>
      </c>
      <c r="N697" s="5">
        <v>127229105</v>
      </c>
      <c r="O697" s="2" t="s">
        <v>315</v>
      </c>
      <c r="P697" s="2" t="s">
        <v>52</v>
      </c>
      <c r="Q697" s="4" t="s">
        <v>1342</v>
      </c>
    </row>
    <row r="698" spans="1:17" hidden="1" x14ac:dyDescent="0.2">
      <c r="A698" s="2" t="s">
        <v>1560</v>
      </c>
      <c r="B698" s="2" t="s">
        <v>443</v>
      </c>
      <c r="C698" s="2" t="s">
        <v>469</v>
      </c>
      <c r="D698" s="2" t="s">
        <v>20</v>
      </c>
      <c r="E698" s="3">
        <v>98250</v>
      </c>
      <c r="F698" s="4" t="s">
        <v>401</v>
      </c>
      <c r="G698" s="2" t="s">
        <v>1177</v>
      </c>
      <c r="H698" s="2" t="s">
        <v>1496</v>
      </c>
      <c r="I698" s="2" t="s">
        <v>212</v>
      </c>
      <c r="J698" s="2" t="s">
        <v>213</v>
      </c>
      <c r="K698" s="4" t="s">
        <v>1561</v>
      </c>
      <c r="L698" s="4" t="s">
        <v>27</v>
      </c>
      <c r="M698" s="4" t="s">
        <v>409</v>
      </c>
      <c r="N698" s="5">
        <v>6397107</v>
      </c>
      <c r="O698" s="2" t="s">
        <v>470</v>
      </c>
      <c r="P698" s="2" t="s">
        <v>446</v>
      </c>
      <c r="Q698" s="4" t="s">
        <v>1562</v>
      </c>
    </row>
    <row r="699" spans="1:17" hidden="1" x14ac:dyDescent="0.2">
      <c r="A699" s="2" t="s">
        <v>1563</v>
      </c>
      <c r="B699" s="2" t="s">
        <v>18</v>
      </c>
      <c r="C699" s="2" t="s">
        <v>100</v>
      </c>
      <c r="D699" s="2" t="s">
        <v>20</v>
      </c>
      <c r="E699" s="3">
        <v>98367</v>
      </c>
      <c r="F699" s="4" t="s">
        <v>371</v>
      </c>
      <c r="G699" s="2" t="s">
        <v>1177</v>
      </c>
      <c r="H699" s="2" t="s">
        <v>1496</v>
      </c>
      <c r="I699" s="2" t="s">
        <v>212</v>
      </c>
      <c r="J699" s="2" t="s">
        <v>213</v>
      </c>
      <c r="K699" s="4" t="s">
        <v>1521</v>
      </c>
      <c r="L699" s="4" t="s">
        <v>27</v>
      </c>
      <c r="M699" s="4" t="s">
        <v>101</v>
      </c>
      <c r="N699" s="5">
        <v>475154907</v>
      </c>
      <c r="O699" s="2" t="s">
        <v>259</v>
      </c>
      <c r="P699" s="2" t="s">
        <v>30</v>
      </c>
      <c r="Q699" s="4" t="s">
        <v>1564</v>
      </c>
    </row>
    <row r="700" spans="1:17" hidden="1" x14ac:dyDescent="0.2">
      <c r="A700" s="2" t="s">
        <v>1565</v>
      </c>
      <c r="B700" s="2" t="s">
        <v>40</v>
      </c>
      <c r="C700" s="2" t="s">
        <v>89</v>
      </c>
      <c r="D700" s="2" t="s">
        <v>20</v>
      </c>
      <c r="E700" s="3">
        <v>98012</v>
      </c>
      <c r="F700" s="4" t="s">
        <v>408</v>
      </c>
      <c r="G700" s="2" t="s">
        <v>1177</v>
      </c>
      <c r="H700" s="2" t="s">
        <v>1496</v>
      </c>
      <c r="I700" s="2" t="s">
        <v>212</v>
      </c>
      <c r="J700" s="2" t="s">
        <v>213</v>
      </c>
      <c r="K700" s="4" t="s">
        <v>1543</v>
      </c>
      <c r="L700" s="4" t="s">
        <v>27</v>
      </c>
      <c r="M700" s="4" t="s">
        <v>116</v>
      </c>
      <c r="N700" s="5">
        <v>249931048</v>
      </c>
      <c r="O700" s="2" t="s">
        <v>91</v>
      </c>
      <c r="P700" s="2" t="s">
        <v>30</v>
      </c>
      <c r="Q700" s="4" t="s">
        <v>521</v>
      </c>
    </row>
    <row r="701" spans="1:17" hidden="1" x14ac:dyDescent="0.2">
      <c r="A701" s="2" t="s">
        <v>1566</v>
      </c>
      <c r="B701" s="2" t="s">
        <v>33</v>
      </c>
      <c r="C701" s="2" t="s">
        <v>83</v>
      </c>
      <c r="D701" s="2" t="s">
        <v>20</v>
      </c>
      <c r="E701" s="3">
        <v>98125</v>
      </c>
      <c r="F701" s="4" t="s">
        <v>209</v>
      </c>
      <c r="G701" s="2" t="s">
        <v>1177</v>
      </c>
      <c r="H701" s="2" t="s">
        <v>1496</v>
      </c>
      <c r="I701" s="2" t="s">
        <v>212</v>
      </c>
      <c r="J701" s="2" t="s">
        <v>213</v>
      </c>
      <c r="K701" s="4" t="s">
        <v>1505</v>
      </c>
      <c r="L701" s="4" t="s">
        <v>27</v>
      </c>
      <c r="M701" s="4" t="s">
        <v>278</v>
      </c>
      <c r="N701" s="5">
        <v>9949922</v>
      </c>
      <c r="O701" s="2" t="s">
        <v>279</v>
      </c>
      <c r="P701" s="2" t="s">
        <v>86</v>
      </c>
      <c r="Q701" s="4" t="s">
        <v>613</v>
      </c>
    </row>
    <row r="702" spans="1:17" hidden="1" x14ac:dyDescent="0.2">
      <c r="A702" s="2" t="s">
        <v>1567</v>
      </c>
      <c r="B702" s="2" t="s">
        <v>33</v>
      </c>
      <c r="C702" s="2" t="s">
        <v>139</v>
      </c>
      <c r="D702" s="2" t="s">
        <v>20</v>
      </c>
      <c r="E702" s="3">
        <v>98059</v>
      </c>
      <c r="F702" s="4" t="s">
        <v>209</v>
      </c>
      <c r="G702" s="2" t="s">
        <v>1177</v>
      </c>
      <c r="H702" s="2" t="s">
        <v>1496</v>
      </c>
      <c r="I702" s="2" t="s">
        <v>212</v>
      </c>
      <c r="J702" s="2" t="s">
        <v>213</v>
      </c>
      <c r="K702" s="4" t="s">
        <v>1505</v>
      </c>
      <c r="L702" s="4" t="s">
        <v>27</v>
      </c>
      <c r="M702" s="4" t="s">
        <v>140</v>
      </c>
      <c r="N702" s="5">
        <v>174494631</v>
      </c>
      <c r="O702" s="2" t="s">
        <v>587</v>
      </c>
      <c r="P702" s="2" t="s">
        <v>37</v>
      </c>
      <c r="Q702" s="4" t="s">
        <v>588</v>
      </c>
    </row>
    <row r="703" spans="1:17" hidden="1" x14ac:dyDescent="0.2">
      <c r="A703" s="2" t="s">
        <v>1568</v>
      </c>
      <c r="B703" s="2" t="s">
        <v>151</v>
      </c>
      <c r="C703" s="2" t="s">
        <v>250</v>
      </c>
      <c r="D703" s="2" t="s">
        <v>20</v>
      </c>
      <c r="E703" s="3">
        <v>98501</v>
      </c>
      <c r="F703" s="4" t="s">
        <v>371</v>
      </c>
      <c r="G703" s="2" t="s">
        <v>1177</v>
      </c>
      <c r="H703" s="2" t="s">
        <v>1496</v>
      </c>
      <c r="I703" s="2" t="s">
        <v>212</v>
      </c>
      <c r="J703" s="2" t="s">
        <v>213</v>
      </c>
      <c r="K703" s="4" t="s">
        <v>1521</v>
      </c>
      <c r="L703" s="4" t="s">
        <v>27</v>
      </c>
      <c r="M703" s="4" t="s">
        <v>90</v>
      </c>
      <c r="N703" s="5">
        <v>209855187</v>
      </c>
      <c r="O703" s="2" t="s">
        <v>153</v>
      </c>
      <c r="P703" s="2" t="s">
        <v>30</v>
      </c>
      <c r="Q703" s="4" t="s">
        <v>251</v>
      </c>
    </row>
    <row r="704" spans="1:17" hidden="1" x14ac:dyDescent="0.2">
      <c r="A704" s="2" t="s">
        <v>1569</v>
      </c>
      <c r="B704" s="2" t="s">
        <v>33</v>
      </c>
      <c r="C704" s="2" t="s">
        <v>1056</v>
      </c>
      <c r="D704" s="2" t="s">
        <v>20</v>
      </c>
      <c r="E704" s="3">
        <v>98042</v>
      </c>
      <c r="F704" s="4" t="s">
        <v>230</v>
      </c>
      <c r="G704" s="2" t="s">
        <v>1177</v>
      </c>
      <c r="H704" s="2" t="s">
        <v>1496</v>
      </c>
      <c r="I704" s="2" t="s">
        <v>212</v>
      </c>
      <c r="J704" s="2" t="s">
        <v>213</v>
      </c>
      <c r="K704" s="4" t="s">
        <v>1497</v>
      </c>
      <c r="L704" s="4" t="s">
        <v>27</v>
      </c>
      <c r="M704" s="4" t="s">
        <v>35</v>
      </c>
      <c r="N704" s="5">
        <v>288697055</v>
      </c>
      <c r="O704" s="2" t="s">
        <v>1398</v>
      </c>
      <c r="P704" s="2" t="s">
        <v>37</v>
      </c>
      <c r="Q704" s="4" t="s">
        <v>1570</v>
      </c>
    </row>
    <row r="705" spans="1:17" hidden="1" x14ac:dyDescent="0.2">
      <c r="A705" s="2" t="s">
        <v>1571</v>
      </c>
      <c r="B705" s="2" t="s">
        <v>151</v>
      </c>
      <c r="C705" s="2" t="s">
        <v>566</v>
      </c>
      <c r="D705" s="2" t="s">
        <v>20</v>
      </c>
      <c r="E705" s="3">
        <v>98516</v>
      </c>
      <c r="F705" s="4" t="s">
        <v>209</v>
      </c>
      <c r="G705" s="2" t="s">
        <v>1177</v>
      </c>
      <c r="H705" s="2" t="s">
        <v>1496</v>
      </c>
      <c r="I705" s="2" t="s">
        <v>212</v>
      </c>
      <c r="J705" s="2" t="s">
        <v>213</v>
      </c>
      <c r="K705" s="4" t="s">
        <v>1505</v>
      </c>
      <c r="L705" s="4" t="s">
        <v>27</v>
      </c>
      <c r="M705" s="4" t="s">
        <v>90</v>
      </c>
      <c r="N705" s="5">
        <v>349844813</v>
      </c>
      <c r="O705" s="2" t="s">
        <v>746</v>
      </c>
      <c r="P705" s="2" t="s">
        <v>30</v>
      </c>
      <c r="Q705" s="4" t="s">
        <v>1572</v>
      </c>
    </row>
    <row r="706" spans="1:17" hidden="1" x14ac:dyDescent="0.2">
      <c r="A706" s="2" t="s">
        <v>1573</v>
      </c>
      <c r="B706" s="2" t="s">
        <v>33</v>
      </c>
      <c r="C706" s="2" t="s">
        <v>83</v>
      </c>
      <c r="D706" s="2" t="s">
        <v>20</v>
      </c>
      <c r="E706" s="3">
        <v>98125</v>
      </c>
      <c r="F706" s="4" t="s">
        <v>21</v>
      </c>
      <c r="G706" s="2" t="s">
        <v>1177</v>
      </c>
      <c r="H706" s="2" t="s">
        <v>1496</v>
      </c>
      <c r="I706" s="2" t="s">
        <v>212</v>
      </c>
      <c r="J706" s="2" t="s">
        <v>298</v>
      </c>
      <c r="K706" s="4" t="s">
        <v>27</v>
      </c>
      <c r="L706" s="4" t="s">
        <v>27</v>
      </c>
      <c r="M706" s="4" t="s">
        <v>278</v>
      </c>
      <c r="N706" s="5">
        <v>233738144</v>
      </c>
      <c r="O706" s="2" t="s">
        <v>279</v>
      </c>
      <c r="P706" s="2" t="s">
        <v>86</v>
      </c>
      <c r="Q706" s="4" t="s">
        <v>1574</v>
      </c>
    </row>
    <row r="707" spans="1:17" hidden="1" x14ac:dyDescent="0.2">
      <c r="A707" s="2" t="s">
        <v>1575</v>
      </c>
      <c r="B707" s="2" t="s">
        <v>33</v>
      </c>
      <c r="C707" s="2" t="s">
        <v>1391</v>
      </c>
      <c r="D707" s="2" t="s">
        <v>20</v>
      </c>
      <c r="E707" s="3">
        <v>98039</v>
      </c>
      <c r="F707" s="4" t="s">
        <v>121</v>
      </c>
      <c r="G707" s="2" t="s">
        <v>1177</v>
      </c>
      <c r="H707" s="2" t="s">
        <v>1496</v>
      </c>
      <c r="I707" s="2" t="s">
        <v>212</v>
      </c>
      <c r="J707" s="2" t="s">
        <v>298</v>
      </c>
      <c r="K707" s="4" t="s">
        <v>27</v>
      </c>
      <c r="L707" s="4" t="s">
        <v>27</v>
      </c>
      <c r="M707" s="4" t="s">
        <v>147</v>
      </c>
      <c r="N707" s="5">
        <v>265762402</v>
      </c>
      <c r="O707" s="2" t="s">
        <v>1392</v>
      </c>
      <c r="P707" s="2" t="s">
        <v>37</v>
      </c>
      <c r="Q707" s="4" t="s">
        <v>1393</v>
      </c>
    </row>
    <row r="708" spans="1:17" hidden="1" x14ac:dyDescent="0.2">
      <c r="A708" s="2" t="s">
        <v>1576</v>
      </c>
      <c r="B708" s="2" t="s">
        <v>33</v>
      </c>
      <c r="C708" s="2" t="s">
        <v>34</v>
      </c>
      <c r="D708" s="2" t="s">
        <v>20</v>
      </c>
      <c r="E708" s="3">
        <v>98029</v>
      </c>
      <c r="F708" s="4" t="s">
        <v>121</v>
      </c>
      <c r="G708" s="2" t="s">
        <v>1177</v>
      </c>
      <c r="H708" s="2" t="s">
        <v>1496</v>
      </c>
      <c r="I708" s="2" t="s">
        <v>212</v>
      </c>
      <c r="J708" s="2" t="s">
        <v>298</v>
      </c>
      <c r="K708" s="4" t="s">
        <v>27</v>
      </c>
      <c r="L708" s="4" t="s">
        <v>27</v>
      </c>
      <c r="M708" s="4" t="s">
        <v>35</v>
      </c>
      <c r="N708" s="5">
        <v>277950872</v>
      </c>
      <c r="O708" s="2" t="s">
        <v>795</v>
      </c>
      <c r="P708" s="2" t="s">
        <v>37</v>
      </c>
      <c r="Q708" s="4" t="s">
        <v>1100</v>
      </c>
    </row>
    <row r="709" spans="1:17" hidden="1" x14ac:dyDescent="0.2">
      <c r="A709" s="2" t="s">
        <v>1577</v>
      </c>
      <c r="B709" s="2" t="s">
        <v>48</v>
      </c>
      <c r="C709" s="2" t="s">
        <v>1189</v>
      </c>
      <c r="D709" s="2" t="s">
        <v>20</v>
      </c>
      <c r="E709" s="3">
        <v>98936</v>
      </c>
      <c r="F709" s="4" t="s">
        <v>21</v>
      </c>
      <c r="G709" s="2" t="s">
        <v>1177</v>
      </c>
      <c r="H709" s="2" t="s">
        <v>1496</v>
      </c>
      <c r="I709" s="2" t="s">
        <v>212</v>
      </c>
      <c r="J709" s="2" t="s">
        <v>298</v>
      </c>
      <c r="K709" s="4" t="s">
        <v>27</v>
      </c>
      <c r="L709" s="4" t="s">
        <v>27</v>
      </c>
      <c r="M709" s="4" t="s">
        <v>50</v>
      </c>
      <c r="N709" s="5">
        <v>236432542</v>
      </c>
      <c r="O709" s="2" t="s">
        <v>1190</v>
      </c>
      <c r="P709" s="2" t="s">
        <v>52</v>
      </c>
      <c r="Q709" s="4" t="s">
        <v>1191</v>
      </c>
    </row>
    <row r="710" spans="1:17" hidden="1" x14ac:dyDescent="0.2">
      <c r="A710" s="2" t="s">
        <v>1578</v>
      </c>
      <c r="B710" s="2" t="s">
        <v>18</v>
      </c>
      <c r="C710" s="2" t="s">
        <v>218</v>
      </c>
      <c r="D710" s="2" t="s">
        <v>20</v>
      </c>
      <c r="E710" s="3">
        <v>98311</v>
      </c>
      <c r="F710" s="4" t="s">
        <v>57</v>
      </c>
      <c r="G710" s="2" t="s">
        <v>1177</v>
      </c>
      <c r="H710" s="2" t="s">
        <v>1496</v>
      </c>
      <c r="I710" s="2" t="s">
        <v>212</v>
      </c>
      <c r="J710" s="2" t="s">
        <v>298</v>
      </c>
      <c r="K710" s="4" t="s">
        <v>27</v>
      </c>
      <c r="L710" s="4" t="s">
        <v>27</v>
      </c>
      <c r="M710" s="4" t="s">
        <v>28</v>
      </c>
      <c r="N710" s="5">
        <v>196425127</v>
      </c>
      <c r="O710" s="2" t="s">
        <v>222</v>
      </c>
      <c r="P710" s="2" t="s">
        <v>30</v>
      </c>
      <c r="Q710" s="4" t="s">
        <v>1579</v>
      </c>
    </row>
    <row r="711" spans="1:17" hidden="1" x14ac:dyDescent="0.2">
      <c r="A711" s="2" t="s">
        <v>1578</v>
      </c>
      <c r="B711" s="2" t="s">
        <v>33</v>
      </c>
      <c r="C711" s="2" t="s">
        <v>83</v>
      </c>
      <c r="D711" s="2" t="s">
        <v>20</v>
      </c>
      <c r="E711" s="3">
        <v>98116</v>
      </c>
      <c r="F711" s="4" t="s">
        <v>57</v>
      </c>
      <c r="G711" s="2" t="s">
        <v>1177</v>
      </c>
      <c r="H711" s="2" t="s">
        <v>1496</v>
      </c>
      <c r="I711" s="2" t="s">
        <v>212</v>
      </c>
      <c r="J711" s="2" t="s">
        <v>298</v>
      </c>
      <c r="K711" s="4" t="s">
        <v>27</v>
      </c>
      <c r="L711" s="4" t="s">
        <v>27</v>
      </c>
      <c r="M711" s="4" t="s">
        <v>319</v>
      </c>
      <c r="N711" s="5">
        <v>277868195</v>
      </c>
      <c r="O711" s="2" t="s">
        <v>1034</v>
      </c>
      <c r="P711" s="2" t="s">
        <v>86</v>
      </c>
      <c r="Q711" s="4" t="s">
        <v>1436</v>
      </c>
    </row>
    <row r="712" spans="1:17" hidden="1" x14ac:dyDescent="0.2">
      <c r="A712" s="2" t="s">
        <v>1580</v>
      </c>
      <c r="B712" s="2" t="s">
        <v>873</v>
      </c>
      <c r="C712" s="2" t="s">
        <v>1581</v>
      </c>
      <c r="D712" s="2" t="s">
        <v>20</v>
      </c>
      <c r="E712" s="3">
        <v>98922</v>
      </c>
      <c r="F712" s="4" t="s">
        <v>42</v>
      </c>
      <c r="G712" s="2" t="s">
        <v>1177</v>
      </c>
      <c r="H712" s="2" t="s">
        <v>1496</v>
      </c>
      <c r="I712" s="2" t="s">
        <v>212</v>
      </c>
      <c r="J712" s="2" t="s">
        <v>298</v>
      </c>
      <c r="K712" s="4" t="s">
        <v>27</v>
      </c>
      <c r="L712" s="4" t="s">
        <v>27</v>
      </c>
      <c r="M712" s="4" t="s">
        <v>264</v>
      </c>
      <c r="N712" s="5">
        <v>175942700</v>
      </c>
      <c r="O712" s="2" t="s">
        <v>1582</v>
      </c>
      <c r="P712" s="2" t="s">
        <v>30</v>
      </c>
      <c r="Q712" s="4" t="s">
        <v>1583</v>
      </c>
    </row>
    <row r="713" spans="1:17" hidden="1" x14ac:dyDescent="0.2">
      <c r="A713" s="2" t="s">
        <v>1584</v>
      </c>
      <c r="B713" s="2" t="s">
        <v>33</v>
      </c>
      <c r="C713" s="2" t="s">
        <v>34</v>
      </c>
      <c r="D713" s="2" t="s">
        <v>20</v>
      </c>
      <c r="E713" s="3">
        <v>98027</v>
      </c>
      <c r="F713" s="4" t="s">
        <v>219</v>
      </c>
      <c r="G713" s="2" t="s">
        <v>1177</v>
      </c>
      <c r="H713" s="2" t="s">
        <v>1496</v>
      </c>
      <c r="I713" s="2" t="s">
        <v>212</v>
      </c>
      <c r="J713" s="2" t="s">
        <v>213</v>
      </c>
      <c r="K713" s="4" t="s">
        <v>1497</v>
      </c>
      <c r="L713" s="4" t="s">
        <v>1498</v>
      </c>
      <c r="M713" s="4" t="s">
        <v>35</v>
      </c>
      <c r="N713" s="5">
        <v>178040334</v>
      </c>
      <c r="O713" s="2" t="s">
        <v>36</v>
      </c>
      <c r="P713" s="2" t="s">
        <v>37</v>
      </c>
      <c r="Q713" s="4" t="s">
        <v>1585</v>
      </c>
    </row>
    <row r="714" spans="1:17" hidden="1" x14ac:dyDescent="0.2">
      <c r="A714" s="2" t="s">
        <v>1586</v>
      </c>
      <c r="B714" s="2" t="s">
        <v>151</v>
      </c>
      <c r="C714" s="2" t="s">
        <v>152</v>
      </c>
      <c r="D714" s="2" t="s">
        <v>20</v>
      </c>
      <c r="E714" s="3">
        <v>98516</v>
      </c>
      <c r="F714" s="4" t="s">
        <v>219</v>
      </c>
      <c r="G714" s="2" t="s">
        <v>1177</v>
      </c>
      <c r="H714" s="2" t="s">
        <v>1496</v>
      </c>
      <c r="I714" s="2" t="s">
        <v>212</v>
      </c>
      <c r="J714" s="2" t="s">
        <v>213</v>
      </c>
      <c r="K714" s="4" t="s">
        <v>1497</v>
      </c>
      <c r="L714" s="4" t="s">
        <v>1498</v>
      </c>
      <c r="M714" s="4" t="s">
        <v>90</v>
      </c>
      <c r="N714" s="5">
        <v>187558416</v>
      </c>
      <c r="O714" s="2" t="s">
        <v>746</v>
      </c>
      <c r="P714" s="2" t="s">
        <v>30</v>
      </c>
      <c r="Q714" s="4" t="s">
        <v>747</v>
      </c>
    </row>
    <row r="715" spans="1:17" hidden="1" x14ac:dyDescent="0.2">
      <c r="A715" s="2" t="s">
        <v>1587</v>
      </c>
      <c r="B715" s="2" t="s">
        <v>18</v>
      </c>
      <c r="C715" s="2" t="s">
        <v>218</v>
      </c>
      <c r="D715" s="2" t="s">
        <v>20</v>
      </c>
      <c r="E715" s="3">
        <v>98312</v>
      </c>
      <c r="F715" s="4" t="s">
        <v>230</v>
      </c>
      <c r="G715" s="2" t="s">
        <v>1177</v>
      </c>
      <c r="H715" s="2" t="s">
        <v>1496</v>
      </c>
      <c r="I715" s="2" t="s">
        <v>212</v>
      </c>
      <c r="J715" s="2" t="s">
        <v>213</v>
      </c>
      <c r="K715" s="4" t="s">
        <v>1497</v>
      </c>
      <c r="L715" s="4" t="s">
        <v>27</v>
      </c>
      <c r="M715" s="4" t="s">
        <v>101</v>
      </c>
      <c r="N715" s="5">
        <v>237052427</v>
      </c>
      <c r="O715" s="2" t="s">
        <v>1180</v>
      </c>
      <c r="P715" s="2" t="s">
        <v>30</v>
      </c>
      <c r="Q715" s="4" t="s">
        <v>1444</v>
      </c>
    </row>
    <row r="716" spans="1:17" hidden="1" x14ac:dyDescent="0.2">
      <c r="A716" s="2" t="s">
        <v>1588</v>
      </c>
      <c r="B716" s="2" t="s">
        <v>40</v>
      </c>
      <c r="C716" s="2" t="s">
        <v>784</v>
      </c>
      <c r="D716" s="2" t="s">
        <v>20</v>
      </c>
      <c r="E716" s="3">
        <v>98275</v>
      </c>
      <c r="F716" s="4" t="s">
        <v>230</v>
      </c>
      <c r="G716" s="2" t="s">
        <v>1177</v>
      </c>
      <c r="H716" s="2" t="s">
        <v>1496</v>
      </c>
      <c r="I716" s="2" t="s">
        <v>212</v>
      </c>
      <c r="J716" s="2" t="s">
        <v>213</v>
      </c>
      <c r="K716" s="4" t="s">
        <v>1497</v>
      </c>
      <c r="L716" s="4" t="s">
        <v>27</v>
      </c>
      <c r="M716" s="4" t="s">
        <v>26</v>
      </c>
      <c r="N716" s="5">
        <v>238385255</v>
      </c>
      <c r="O716" s="2" t="s">
        <v>785</v>
      </c>
      <c r="P716" s="2" t="s">
        <v>30</v>
      </c>
      <c r="Q716" s="4" t="s">
        <v>786</v>
      </c>
    </row>
    <row r="717" spans="1:17" hidden="1" x14ac:dyDescent="0.2">
      <c r="A717" s="2" t="s">
        <v>1588</v>
      </c>
      <c r="B717" s="2" t="s">
        <v>33</v>
      </c>
      <c r="C717" s="2" t="s">
        <v>1589</v>
      </c>
      <c r="D717" s="2" t="s">
        <v>20</v>
      </c>
      <c r="E717" s="3">
        <v>98042</v>
      </c>
      <c r="F717" s="4" t="s">
        <v>230</v>
      </c>
      <c r="G717" s="2" t="s">
        <v>1177</v>
      </c>
      <c r="H717" s="2" t="s">
        <v>1496</v>
      </c>
      <c r="I717" s="2" t="s">
        <v>212</v>
      </c>
      <c r="J717" s="2" t="s">
        <v>213</v>
      </c>
      <c r="K717" s="4" t="s">
        <v>1497</v>
      </c>
      <c r="L717" s="4" t="s">
        <v>27</v>
      </c>
      <c r="M717" s="4" t="s">
        <v>69</v>
      </c>
      <c r="N717" s="5">
        <v>136859838</v>
      </c>
      <c r="O717" s="2" t="s">
        <v>1398</v>
      </c>
      <c r="P717" s="2" t="s">
        <v>37</v>
      </c>
      <c r="Q717" s="4" t="s">
        <v>1590</v>
      </c>
    </row>
    <row r="718" spans="1:17" hidden="1" x14ac:dyDescent="0.2">
      <c r="A718" s="2" t="s">
        <v>1591</v>
      </c>
      <c r="B718" s="2" t="s">
        <v>40</v>
      </c>
      <c r="C718" s="2" t="s">
        <v>89</v>
      </c>
      <c r="D718" s="2" t="s">
        <v>20</v>
      </c>
      <c r="E718" s="3">
        <v>98021</v>
      </c>
      <c r="F718" s="4" t="s">
        <v>230</v>
      </c>
      <c r="G718" s="2" t="s">
        <v>1177</v>
      </c>
      <c r="H718" s="2" t="s">
        <v>1496</v>
      </c>
      <c r="I718" s="2" t="s">
        <v>212</v>
      </c>
      <c r="J718" s="2" t="s">
        <v>213</v>
      </c>
      <c r="K718" s="4" t="s">
        <v>1497</v>
      </c>
      <c r="L718" s="4" t="s">
        <v>27</v>
      </c>
      <c r="M718" s="4" t="s">
        <v>170</v>
      </c>
      <c r="N718" s="5">
        <v>199402794</v>
      </c>
      <c r="O718" s="2" t="s">
        <v>247</v>
      </c>
      <c r="P718" s="2" t="s">
        <v>30</v>
      </c>
      <c r="Q718" s="4" t="s">
        <v>248</v>
      </c>
    </row>
    <row r="719" spans="1:17" hidden="1" x14ac:dyDescent="0.2">
      <c r="A719" s="2" t="s">
        <v>1592</v>
      </c>
      <c r="B719" s="2" t="s">
        <v>48</v>
      </c>
      <c r="C719" s="2" t="s">
        <v>1140</v>
      </c>
      <c r="D719" s="2" t="s">
        <v>20</v>
      </c>
      <c r="E719" s="3">
        <v>98942</v>
      </c>
      <c r="F719" s="4" t="s">
        <v>230</v>
      </c>
      <c r="G719" s="2" t="s">
        <v>1177</v>
      </c>
      <c r="H719" s="2" t="s">
        <v>1496</v>
      </c>
      <c r="I719" s="2" t="s">
        <v>212</v>
      </c>
      <c r="J719" s="2" t="s">
        <v>213</v>
      </c>
      <c r="K719" s="4" t="s">
        <v>1497</v>
      </c>
      <c r="L719" s="4" t="s">
        <v>27</v>
      </c>
      <c r="M719" s="4" t="s">
        <v>50</v>
      </c>
      <c r="N719" s="5">
        <v>258112970</v>
      </c>
      <c r="O719" s="2" t="s">
        <v>1141</v>
      </c>
      <c r="P719" s="2" t="s">
        <v>52</v>
      </c>
      <c r="Q719" s="4" t="s">
        <v>1142</v>
      </c>
    </row>
    <row r="720" spans="1:17" hidden="1" x14ac:dyDescent="0.2">
      <c r="A720" s="2" t="s">
        <v>1593</v>
      </c>
      <c r="B720" s="2" t="s">
        <v>40</v>
      </c>
      <c r="C720" s="2" t="s">
        <v>1367</v>
      </c>
      <c r="D720" s="2" t="s">
        <v>20</v>
      </c>
      <c r="E720" s="3">
        <v>98012</v>
      </c>
      <c r="F720" s="4" t="s">
        <v>209</v>
      </c>
      <c r="G720" s="2" t="s">
        <v>1177</v>
      </c>
      <c r="H720" s="2" t="s">
        <v>1594</v>
      </c>
      <c r="I720" s="2" t="s">
        <v>212</v>
      </c>
      <c r="J720" s="2" t="s">
        <v>213</v>
      </c>
      <c r="K720" s="4" t="s">
        <v>1595</v>
      </c>
      <c r="L720" s="4" t="s">
        <v>27</v>
      </c>
      <c r="M720" s="4" t="s">
        <v>116</v>
      </c>
      <c r="N720" s="5">
        <v>230862306</v>
      </c>
      <c r="O720" s="2" t="s">
        <v>91</v>
      </c>
      <c r="P720" s="2" t="s">
        <v>30</v>
      </c>
      <c r="Q720" s="4" t="s">
        <v>1368</v>
      </c>
    </row>
    <row r="721" spans="1:17" hidden="1" x14ac:dyDescent="0.2">
      <c r="A721" s="2" t="s">
        <v>1596</v>
      </c>
      <c r="B721" s="2" t="s">
        <v>33</v>
      </c>
      <c r="C721" s="2" t="s">
        <v>669</v>
      </c>
      <c r="D721" s="2" t="s">
        <v>20</v>
      </c>
      <c r="E721" s="3">
        <v>98053</v>
      </c>
      <c r="F721" s="4" t="s">
        <v>401</v>
      </c>
      <c r="G721" s="2" t="s">
        <v>1177</v>
      </c>
      <c r="H721" s="2" t="s">
        <v>1594</v>
      </c>
      <c r="I721" s="2" t="s">
        <v>212</v>
      </c>
      <c r="J721" s="2" t="s">
        <v>213</v>
      </c>
      <c r="K721" s="4" t="s">
        <v>1597</v>
      </c>
      <c r="L721" s="4" t="s">
        <v>27</v>
      </c>
      <c r="M721" s="4" t="s">
        <v>198</v>
      </c>
      <c r="N721" s="5">
        <v>3561995</v>
      </c>
      <c r="O721" s="2" t="s">
        <v>1002</v>
      </c>
      <c r="P721" s="2" t="s">
        <v>37</v>
      </c>
      <c r="Q721" s="4" t="s">
        <v>1598</v>
      </c>
    </row>
    <row r="722" spans="1:17" hidden="1" x14ac:dyDescent="0.2">
      <c r="A722" s="2" t="s">
        <v>1599</v>
      </c>
      <c r="B722" s="2" t="s">
        <v>33</v>
      </c>
      <c r="C722" s="2" t="s">
        <v>318</v>
      </c>
      <c r="D722" s="2" t="s">
        <v>20</v>
      </c>
      <c r="E722" s="3">
        <v>98168</v>
      </c>
      <c r="F722" s="4" t="s">
        <v>273</v>
      </c>
      <c r="G722" s="2" t="s">
        <v>1177</v>
      </c>
      <c r="H722" s="2" t="s">
        <v>1594</v>
      </c>
      <c r="I722" s="2" t="s">
        <v>212</v>
      </c>
      <c r="J722" s="2" t="s">
        <v>213</v>
      </c>
      <c r="K722" s="4" t="s">
        <v>1595</v>
      </c>
      <c r="L722" s="4" t="s">
        <v>27</v>
      </c>
      <c r="M722" s="4" t="s">
        <v>909</v>
      </c>
      <c r="N722" s="5">
        <v>114388263</v>
      </c>
      <c r="O722" s="2" t="s">
        <v>397</v>
      </c>
      <c r="P722" s="2" t="s">
        <v>86</v>
      </c>
      <c r="Q722" s="4" t="s">
        <v>1600</v>
      </c>
    </row>
    <row r="723" spans="1:17" hidden="1" x14ac:dyDescent="0.2">
      <c r="A723" s="2" t="s">
        <v>1601</v>
      </c>
      <c r="B723" s="2" t="s">
        <v>40</v>
      </c>
      <c r="C723" s="2" t="s">
        <v>73</v>
      </c>
      <c r="D723" s="2" t="s">
        <v>20</v>
      </c>
      <c r="E723" s="3">
        <v>98036</v>
      </c>
      <c r="F723" s="4" t="s">
        <v>273</v>
      </c>
      <c r="G723" s="2" t="s">
        <v>1177</v>
      </c>
      <c r="H723" s="2" t="s">
        <v>1594</v>
      </c>
      <c r="I723" s="2" t="s">
        <v>212</v>
      </c>
      <c r="J723" s="2" t="s">
        <v>213</v>
      </c>
      <c r="K723" s="4" t="s">
        <v>1595</v>
      </c>
      <c r="L723" s="4" t="s">
        <v>27</v>
      </c>
      <c r="M723" s="4" t="s">
        <v>26</v>
      </c>
      <c r="N723" s="5">
        <v>349046701</v>
      </c>
      <c r="O723" s="2" t="s">
        <v>75</v>
      </c>
      <c r="P723" s="2" t="s">
        <v>30</v>
      </c>
      <c r="Q723" s="4" t="s">
        <v>345</v>
      </c>
    </row>
    <row r="724" spans="1:17" hidden="1" x14ac:dyDescent="0.2">
      <c r="A724" s="2" t="s">
        <v>1602</v>
      </c>
      <c r="B724" s="2" t="s">
        <v>33</v>
      </c>
      <c r="C724" s="2" t="s">
        <v>169</v>
      </c>
      <c r="D724" s="2" t="s">
        <v>20</v>
      </c>
      <c r="E724" s="3">
        <v>98033</v>
      </c>
      <c r="F724" s="4" t="s">
        <v>401</v>
      </c>
      <c r="G724" s="2" t="s">
        <v>1177</v>
      </c>
      <c r="H724" s="2" t="s">
        <v>1594</v>
      </c>
      <c r="I724" s="2" t="s">
        <v>212</v>
      </c>
      <c r="J724" s="2" t="s">
        <v>213</v>
      </c>
      <c r="K724" s="4" t="s">
        <v>1597</v>
      </c>
      <c r="L724" s="4" t="s">
        <v>27</v>
      </c>
      <c r="M724" s="4" t="s">
        <v>198</v>
      </c>
      <c r="N724" s="5">
        <v>103252845</v>
      </c>
      <c r="O724" s="2" t="s">
        <v>204</v>
      </c>
      <c r="P724" s="2" t="s">
        <v>37</v>
      </c>
      <c r="Q724" s="4" t="s">
        <v>205</v>
      </c>
    </row>
    <row r="725" spans="1:17" hidden="1" x14ac:dyDescent="0.2">
      <c r="A725" s="2" t="s">
        <v>1603</v>
      </c>
      <c r="B725" s="2" t="s">
        <v>40</v>
      </c>
      <c r="C725" s="2" t="s">
        <v>40</v>
      </c>
      <c r="D725" s="2" t="s">
        <v>20</v>
      </c>
      <c r="E725" s="3">
        <v>98296</v>
      </c>
      <c r="F725" s="4" t="s">
        <v>401</v>
      </c>
      <c r="G725" s="2" t="s">
        <v>1177</v>
      </c>
      <c r="H725" s="2" t="s">
        <v>1594</v>
      </c>
      <c r="I725" s="2" t="s">
        <v>212</v>
      </c>
      <c r="J725" s="2" t="s">
        <v>213</v>
      </c>
      <c r="K725" s="4" t="s">
        <v>1597</v>
      </c>
      <c r="L725" s="4" t="s">
        <v>27</v>
      </c>
      <c r="M725" s="4" t="s">
        <v>170</v>
      </c>
      <c r="N725" s="5">
        <v>249693839</v>
      </c>
      <c r="O725" s="2" t="s">
        <v>294</v>
      </c>
      <c r="P725" s="2" t="s">
        <v>30</v>
      </c>
      <c r="Q725" s="4" t="s">
        <v>881</v>
      </c>
    </row>
    <row r="726" spans="1:17" hidden="1" x14ac:dyDescent="0.2">
      <c r="A726" s="2" t="s">
        <v>1604</v>
      </c>
      <c r="B726" s="2" t="s">
        <v>33</v>
      </c>
      <c r="C726" s="2" t="s">
        <v>146</v>
      </c>
      <c r="D726" s="2" t="s">
        <v>20</v>
      </c>
      <c r="E726" s="3">
        <v>98005</v>
      </c>
      <c r="F726" s="4" t="s">
        <v>401</v>
      </c>
      <c r="G726" s="2" t="s">
        <v>1177</v>
      </c>
      <c r="H726" s="2" t="s">
        <v>1594</v>
      </c>
      <c r="I726" s="2" t="s">
        <v>212</v>
      </c>
      <c r="J726" s="2" t="s">
        <v>213</v>
      </c>
      <c r="K726" s="4" t="s">
        <v>1597</v>
      </c>
      <c r="L726" s="4" t="s">
        <v>27</v>
      </c>
      <c r="M726" s="4" t="s">
        <v>403</v>
      </c>
      <c r="N726" s="5">
        <v>6304763</v>
      </c>
      <c r="O726" s="2" t="s">
        <v>448</v>
      </c>
      <c r="P726" s="2" t="s">
        <v>37</v>
      </c>
      <c r="Q726" s="4" t="s">
        <v>1605</v>
      </c>
    </row>
    <row r="727" spans="1:17" hidden="1" x14ac:dyDescent="0.2">
      <c r="A727" s="2" t="s">
        <v>1606</v>
      </c>
      <c r="B727" s="2" t="s">
        <v>33</v>
      </c>
      <c r="C727" s="2" t="s">
        <v>139</v>
      </c>
      <c r="D727" s="2" t="s">
        <v>20</v>
      </c>
      <c r="E727" s="3">
        <v>98055</v>
      </c>
      <c r="F727" s="4" t="s">
        <v>401</v>
      </c>
      <c r="G727" s="2" t="s">
        <v>1177</v>
      </c>
      <c r="H727" s="2" t="s">
        <v>1594</v>
      </c>
      <c r="I727" s="2" t="s">
        <v>212</v>
      </c>
      <c r="J727" s="2" t="s">
        <v>213</v>
      </c>
      <c r="K727" s="4" t="s">
        <v>1597</v>
      </c>
      <c r="L727" s="4" t="s">
        <v>27</v>
      </c>
      <c r="M727" s="4" t="s">
        <v>909</v>
      </c>
      <c r="N727" s="5">
        <v>260690769</v>
      </c>
      <c r="O727" s="2" t="s">
        <v>889</v>
      </c>
      <c r="P727" s="2" t="s">
        <v>37</v>
      </c>
      <c r="Q727" s="4" t="s">
        <v>1296</v>
      </c>
    </row>
    <row r="728" spans="1:17" hidden="1" x14ac:dyDescent="0.2">
      <c r="A728" s="2" t="s">
        <v>1607</v>
      </c>
      <c r="B728" s="2" t="s">
        <v>33</v>
      </c>
      <c r="C728" s="2" t="s">
        <v>146</v>
      </c>
      <c r="D728" s="2" t="s">
        <v>20</v>
      </c>
      <c r="E728" s="3">
        <v>98004</v>
      </c>
      <c r="F728" s="4" t="s">
        <v>408</v>
      </c>
      <c r="G728" s="2" t="s">
        <v>1177</v>
      </c>
      <c r="H728" s="2" t="s">
        <v>1594</v>
      </c>
      <c r="I728" s="2" t="s">
        <v>212</v>
      </c>
      <c r="J728" s="2" t="s">
        <v>213</v>
      </c>
      <c r="K728" s="4" t="s">
        <v>1608</v>
      </c>
      <c r="L728" s="4" t="s">
        <v>27</v>
      </c>
      <c r="M728" s="4" t="s">
        <v>147</v>
      </c>
      <c r="N728" s="5">
        <v>102073086</v>
      </c>
      <c r="O728" s="2" t="s">
        <v>148</v>
      </c>
      <c r="P728" s="2" t="s">
        <v>37</v>
      </c>
      <c r="Q728" s="4" t="s">
        <v>149</v>
      </c>
    </row>
    <row r="729" spans="1:17" hidden="1" x14ac:dyDescent="0.2">
      <c r="A729" s="2" t="s">
        <v>1609</v>
      </c>
      <c r="B729" s="2" t="s">
        <v>362</v>
      </c>
      <c r="C729" s="2" t="s">
        <v>363</v>
      </c>
      <c r="D729" s="2" t="s">
        <v>20</v>
      </c>
      <c r="E729" s="3">
        <v>98584</v>
      </c>
      <c r="F729" s="4" t="s">
        <v>401</v>
      </c>
      <c r="G729" s="2" t="s">
        <v>1177</v>
      </c>
      <c r="H729" s="2" t="s">
        <v>1594</v>
      </c>
      <c r="I729" s="2" t="s">
        <v>212</v>
      </c>
      <c r="J729" s="2" t="s">
        <v>213</v>
      </c>
      <c r="K729" s="4" t="s">
        <v>1608</v>
      </c>
      <c r="L729" s="4" t="s">
        <v>27</v>
      </c>
      <c r="M729" s="4" t="s">
        <v>255</v>
      </c>
      <c r="N729" s="5">
        <v>275577641</v>
      </c>
      <c r="O729" s="2" t="s">
        <v>364</v>
      </c>
      <c r="P729" s="2" t="s">
        <v>365</v>
      </c>
      <c r="Q729" s="4" t="s">
        <v>366</v>
      </c>
    </row>
    <row r="730" spans="1:17" hidden="1" x14ac:dyDescent="0.2">
      <c r="A730" s="2" t="s">
        <v>1610</v>
      </c>
      <c r="B730" s="2" t="s">
        <v>40</v>
      </c>
      <c r="C730" s="2" t="s">
        <v>268</v>
      </c>
      <c r="D730" s="2" t="s">
        <v>20</v>
      </c>
      <c r="E730" s="3">
        <v>98020</v>
      </c>
      <c r="F730" s="4" t="s">
        <v>273</v>
      </c>
      <c r="G730" s="2" t="s">
        <v>1177</v>
      </c>
      <c r="H730" s="2" t="s">
        <v>1594</v>
      </c>
      <c r="I730" s="2" t="s">
        <v>212</v>
      </c>
      <c r="J730" s="2" t="s">
        <v>213</v>
      </c>
      <c r="K730" s="4" t="s">
        <v>1595</v>
      </c>
      <c r="L730" s="4" t="s">
        <v>27</v>
      </c>
      <c r="M730" s="4" t="s">
        <v>26</v>
      </c>
      <c r="N730" s="5">
        <v>252939879</v>
      </c>
      <c r="O730" s="2" t="s">
        <v>269</v>
      </c>
      <c r="P730" s="2" t="s">
        <v>30</v>
      </c>
      <c r="Q730" s="4" t="s">
        <v>531</v>
      </c>
    </row>
    <row r="731" spans="1:17" hidden="1" x14ac:dyDescent="0.2">
      <c r="A731" s="2" t="s">
        <v>1611</v>
      </c>
      <c r="B731" s="2" t="s">
        <v>33</v>
      </c>
      <c r="C731" s="2" t="s">
        <v>1056</v>
      </c>
      <c r="D731" s="2" t="s">
        <v>20</v>
      </c>
      <c r="E731" s="3">
        <v>98031</v>
      </c>
      <c r="F731" s="4" t="s">
        <v>371</v>
      </c>
      <c r="G731" s="2" t="s">
        <v>1177</v>
      </c>
      <c r="H731" s="2" t="s">
        <v>1594</v>
      </c>
      <c r="I731" s="2" t="s">
        <v>212</v>
      </c>
      <c r="J731" s="2" t="s">
        <v>213</v>
      </c>
      <c r="K731" s="4" t="s">
        <v>350</v>
      </c>
      <c r="L731" s="4" t="s">
        <v>27</v>
      </c>
      <c r="M731" s="4" t="s">
        <v>69</v>
      </c>
      <c r="N731" s="5">
        <v>276969668</v>
      </c>
      <c r="O731" s="2" t="s">
        <v>1057</v>
      </c>
      <c r="P731" s="2" t="s">
        <v>37</v>
      </c>
      <c r="Q731" s="4" t="s">
        <v>1612</v>
      </c>
    </row>
    <row r="732" spans="1:17" hidden="1" x14ac:dyDescent="0.2">
      <c r="A732" s="2" t="s">
        <v>1613</v>
      </c>
      <c r="B732" s="2" t="s">
        <v>33</v>
      </c>
      <c r="C732" s="2" t="s">
        <v>620</v>
      </c>
      <c r="D732" s="2" t="s">
        <v>20</v>
      </c>
      <c r="E732" s="3">
        <v>98056</v>
      </c>
      <c r="F732" s="4" t="s">
        <v>371</v>
      </c>
      <c r="G732" s="2" t="s">
        <v>1177</v>
      </c>
      <c r="H732" s="2" t="s">
        <v>1594</v>
      </c>
      <c r="I732" s="2" t="s">
        <v>212</v>
      </c>
      <c r="J732" s="2" t="s">
        <v>213</v>
      </c>
      <c r="K732" s="4" t="s">
        <v>350</v>
      </c>
      <c r="L732" s="4" t="s">
        <v>27</v>
      </c>
      <c r="M732" s="4" t="s">
        <v>403</v>
      </c>
      <c r="N732" s="5">
        <v>277875496</v>
      </c>
      <c r="O732" s="2" t="s">
        <v>593</v>
      </c>
      <c r="P732" s="2" t="s">
        <v>37</v>
      </c>
      <c r="Q732" s="4" t="s">
        <v>1614</v>
      </c>
    </row>
    <row r="733" spans="1:17" hidden="1" x14ac:dyDescent="0.2">
      <c r="A733" s="2" t="s">
        <v>1615</v>
      </c>
      <c r="B733" s="2" t="s">
        <v>40</v>
      </c>
      <c r="C733" s="2" t="s">
        <v>383</v>
      </c>
      <c r="D733" s="2" t="s">
        <v>20</v>
      </c>
      <c r="E733" s="3">
        <v>98201</v>
      </c>
      <c r="F733" s="4" t="s">
        <v>273</v>
      </c>
      <c r="G733" s="2" t="s">
        <v>1177</v>
      </c>
      <c r="H733" s="2" t="s">
        <v>1594</v>
      </c>
      <c r="I733" s="2" t="s">
        <v>212</v>
      </c>
      <c r="J733" s="2" t="s">
        <v>213</v>
      </c>
      <c r="K733" s="4" t="s">
        <v>1595</v>
      </c>
      <c r="L733" s="4" t="s">
        <v>27</v>
      </c>
      <c r="M733" s="4" t="s">
        <v>274</v>
      </c>
      <c r="N733" s="5">
        <v>122175511</v>
      </c>
      <c r="O733" s="2" t="s">
        <v>1161</v>
      </c>
      <c r="P733" s="2" t="s">
        <v>30</v>
      </c>
      <c r="Q733" s="4" t="s">
        <v>1616</v>
      </c>
    </row>
    <row r="734" spans="1:17" hidden="1" x14ac:dyDescent="0.2">
      <c r="A734" s="2" t="s">
        <v>1617</v>
      </c>
      <c r="B734" s="2" t="s">
        <v>33</v>
      </c>
      <c r="C734" s="2" t="s">
        <v>83</v>
      </c>
      <c r="D734" s="2" t="s">
        <v>20</v>
      </c>
      <c r="E734" s="3">
        <v>98125</v>
      </c>
      <c r="F734" s="4" t="s">
        <v>408</v>
      </c>
      <c r="G734" s="2" t="s">
        <v>1177</v>
      </c>
      <c r="H734" s="2" t="s">
        <v>1594</v>
      </c>
      <c r="I734" s="2" t="s">
        <v>212</v>
      </c>
      <c r="J734" s="2" t="s">
        <v>213</v>
      </c>
      <c r="K734" s="4" t="s">
        <v>1608</v>
      </c>
      <c r="L734" s="4" t="s">
        <v>27</v>
      </c>
      <c r="M734" s="4" t="s">
        <v>278</v>
      </c>
      <c r="N734" s="5">
        <v>133793404</v>
      </c>
      <c r="O734" s="2" t="s">
        <v>279</v>
      </c>
      <c r="P734" s="2" t="s">
        <v>37</v>
      </c>
      <c r="Q734" s="4" t="s">
        <v>434</v>
      </c>
    </row>
    <row r="735" spans="1:17" hidden="1" x14ac:dyDescent="0.2">
      <c r="A735" s="2" t="s">
        <v>1618</v>
      </c>
      <c r="B735" s="2" t="s">
        <v>48</v>
      </c>
      <c r="C735" s="2" t="s">
        <v>48</v>
      </c>
      <c r="D735" s="2" t="s">
        <v>20</v>
      </c>
      <c r="E735" s="3">
        <v>98903</v>
      </c>
      <c r="F735" s="4" t="s">
        <v>371</v>
      </c>
      <c r="G735" s="2" t="s">
        <v>1177</v>
      </c>
      <c r="H735" s="2" t="s">
        <v>1594</v>
      </c>
      <c r="I735" s="2" t="s">
        <v>212</v>
      </c>
      <c r="J735" s="2" t="s">
        <v>213</v>
      </c>
      <c r="K735" s="4" t="s">
        <v>350</v>
      </c>
      <c r="L735" s="4" t="s">
        <v>27</v>
      </c>
      <c r="M735" s="4" t="s">
        <v>323</v>
      </c>
      <c r="N735" s="5">
        <v>209125255</v>
      </c>
      <c r="O735" s="2" t="s">
        <v>324</v>
      </c>
      <c r="P735" s="2" t="s">
        <v>52</v>
      </c>
      <c r="Q735" s="4" t="s">
        <v>325</v>
      </c>
    </row>
    <row r="736" spans="1:17" hidden="1" x14ac:dyDescent="0.2">
      <c r="A736" s="2" t="s">
        <v>1619</v>
      </c>
      <c r="B736" s="2" t="s">
        <v>33</v>
      </c>
      <c r="C736" s="2" t="s">
        <v>669</v>
      </c>
      <c r="D736" s="2" t="s">
        <v>20</v>
      </c>
      <c r="E736" s="3">
        <v>98052</v>
      </c>
      <c r="F736" s="4" t="s">
        <v>401</v>
      </c>
      <c r="G736" s="2" t="s">
        <v>1177</v>
      </c>
      <c r="H736" s="2" t="s">
        <v>1594</v>
      </c>
      <c r="I736" s="2" t="s">
        <v>212</v>
      </c>
      <c r="J736" s="2" t="s">
        <v>213</v>
      </c>
      <c r="K736" s="4" t="s">
        <v>1597</v>
      </c>
      <c r="L736" s="4" t="s">
        <v>27</v>
      </c>
      <c r="M736" s="4" t="s">
        <v>147</v>
      </c>
      <c r="N736" s="5">
        <v>7863481</v>
      </c>
      <c r="O736" s="2" t="s">
        <v>670</v>
      </c>
      <c r="P736" s="2" t="s">
        <v>37</v>
      </c>
      <c r="Q736" s="4" t="s">
        <v>721</v>
      </c>
    </row>
    <row r="737" spans="1:17" hidden="1" x14ac:dyDescent="0.2">
      <c r="A737" s="2" t="s">
        <v>1620</v>
      </c>
      <c r="B737" s="2" t="s">
        <v>40</v>
      </c>
      <c r="C737" s="2" t="s">
        <v>1385</v>
      </c>
      <c r="D737" s="2" t="s">
        <v>20</v>
      </c>
      <c r="E737" s="3">
        <v>98272</v>
      </c>
      <c r="F737" s="4" t="s">
        <v>273</v>
      </c>
      <c r="G737" s="2" t="s">
        <v>1177</v>
      </c>
      <c r="H737" s="2" t="s">
        <v>1594</v>
      </c>
      <c r="I737" s="2" t="s">
        <v>212</v>
      </c>
      <c r="J737" s="2" t="s">
        <v>213</v>
      </c>
      <c r="K737" s="4" t="s">
        <v>1595</v>
      </c>
      <c r="L737" s="4" t="s">
        <v>27</v>
      </c>
      <c r="M737" s="4" t="s">
        <v>44</v>
      </c>
      <c r="N737" s="5">
        <v>224949889</v>
      </c>
      <c r="O737" s="2" t="s">
        <v>1386</v>
      </c>
      <c r="P737" s="2" t="s">
        <v>30</v>
      </c>
      <c r="Q737" s="4" t="s">
        <v>1387</v>
      </c>
    </row>
    <row r="738" spans="1:17" hidden="1" x14ac:dyDescent="0.2">
      <c r="A738" s="2" t="s">
        <v>1621</v>
      </c>
      <c r="B738" s="2" t="s">
        <v>33</v>
      </c>
      <c r="C738" s="2" t="s">
        <v>83</v>
      </c>
      <c r="D738" s="2" t="s">
        <v>20</v>
      </c>
      <c r="E738" s="3">
        <v>98116</v>
      </c>
      <c r="F738" s="4" t="s">
        <v>408</v>
      </c>
      <c r="G738" s="2" t="s">
        <v>1177</v>
      </c>
      <c r="H738" s="2" t="s">
        <v>1594</v>
      </c>
      <c r="I738" s="2" t="s">
        <v>212</v>
      </c>
      <c r="J738" s="2" t="s">
        <v>213</v>
      </c>
      <c r="K738" s="4" t="s">
        <v>1608</v>
      </c>
      <c r="L738" s="4" t="s">
        <v>27</v>
      </c>
      <c r="M738" s="4" t="s">
        <v>319</v>
      </c>
      <c r="N738" s="5">
        <v>282968647</v>
      </c>
      <c r="O738" s="2" t="s">
        <v>1034</v>
      </c>
      <c r="P738" s="2" t="s">
        <v>86</v>
      </c>
      <c r="Q738" s="4" t="s">
        <v>1622</v>
      </c>
    </row>
    <row r="739" spans="1:17" hidden="1" x14ac:dyDescent="0.2">
      <c r="A739" s="2" t="s">
        <v>1623</v>
      </c>
      <c r="B739" s="2" t="s">
        <v>262</v>
      </c>
      <c r="C739" s="2" t="s">
        <v>263</v>
      </c>
      <c r="D739" s="2" t="s">
        <v>20</v>
      </c>
      <c r="E739" s="3">
        <v>98837</v>
      </c>
      <c r="F739" s="4" t="s">
        <v>371</v>
      </c>
      <c r="G739" s="2" t="s">
        <v>1177</v>
      </c>
      <c r="H739" s="2" t="s">
        <v>1594</v>
      </c>
      <c r="I739" s="2" t="s">
        <v>212</v>
      </c>
      <c r="J739" s="2" t="s">
        <v>213</v>
      </c>
      <c r="K739" s="4" t="s">
        <v>350</v>
      </c>
      <c r="L739" s="4" t="s">
        <v>27</v>
      </c>
      <c r="M739" s="4" t="s">
        <v>264</v>
      </c>
      <c r="N739" s="5">
        <v>168598034</v>
      </c>
      <c r="O739" s="2" t="s">
        <v>265</v>
      </c>
      <c r="P739" s="2" t="s">
        <v>266</v>
      </c>
      <c r="Q739" s="4" t="s">
        <v>618</v>
      </c>
    </row>
    <row r="740" spans="1:17" hidden="1" x14ac:dyDescent="0.2">
      <c r="A740" s="2" t="s">
        <v>1624</v>
      </c>
      <c r="B740" s="2" t="s">
        <v>48</v>
      </c>
      <c r="C740" s="2" t="s">
        <v>48</v>
      </c>
      <c r="D740" s="2" t="s">
        <v>20</v>
      </c>
      <c r="E740" s="3">
        <v>98903</v>
      </c>
      <c r="F740" s="4" t="s">
        <v>273</v>
      </c>
      <c r="G740" s="2" t="s">
        <v>1177</v>
      </c>
      <c r="H740" s="2" t="s">
        <v>1594</v>
      </c>
      <c r="I740" s="2" t="s">
        <v>212</v>
      </c>
      <c r="J740" s="2" t="s">
        <v>213</v>
      </c>
      <c r="K740" s="4" t="s">
        <v>1595</v>
      </c>
      <c r="L740" s="4" t="s">
        <v>27</v>
      </c>
      <c r="M740" s="4" t="s">
        <v>323</v>
      </c>
      <c r="N740" s="5">
        <v>261035071</v>
      </c>
      <c r="O740" s="2" t="s">
        <v>324</v>
      </c>
      <c r="P740" s="2" t="s">
        <v>52</v>
      </c>
      <c r="Q740" s="4" t="s">
        <v>1625</v>
      </c>
    </row>
    <row r="741" spans="1:17" hidden="1" x14ac:dyDescent="0.2">
      <c r="A741" s="2" t="s">
        <v>1626</v>
      </c>
      <c r="B741" s="2" t="s">
        <v>207</v>
      </c>
      <c r="C741" s="2" t="s">
        <v>208</v>
      </c>
      <c r="D741" s="2" t="s">
        <v>20</v>
      </c>
      <c r="E741" s="3">
        <v>98274</v>
      </c>
      <c r="F741" s="4" t="s">
        <v>371</v>
      </c>
      <c r="G741" s="2" t="s">
        <v>1177</v>
      </c>
      <c r="H741" s="2" t="s">
        <v>1594</v>
      </c>
      <c r="I741" s="2" t="s">
        <v>212</v>
      </c>
      <c r="J741" s="2" t="s">
        <v>213</v>
      </c>
      <c r="K741" s="4" t="s">
        <v>350</v>
      </c>
      <c r="L741" s="4" t="s">
        <v>27</v>
      </c>
      <c r="M741" s="4" t="s">
        <v>96</v>
      </c>
      <c r="N741" s="5">
        <v>475226090</v>
      </c>
      <c r="O741" s="2" t="s">
        <v>215</v>
      </c>
      <c r="P741" s="2" t="s">
        <v>30</v>
      </c>
      <c r="Q741" s="4" t="s">
        <v>216</v>
      </c>
    </row>
    <row r="742" spans="1:17" hidden="1" x14ac:dyDescent="0.2">
      <c r="A742" s="2" t="s">
        <v>1627</v>
      </c>
      <c r="B742" s="2" t="s">
        <v>331</v>
      </c>
      <c r="C742" s="2" t="s">
        <v>331</v>
      </c>
      <c r="D742" s="2" t="s">
        <v>20</v>
      </c>
      <c r="E742" s="3">
        <v>99224</v>
      </c>
      <c r="F742" s="4" t="s">
        <v>42</v>
      </c>
      <c r="G742" s="2" t="s">
        <v>1177</v>
      </c>
      <c r="H742" s="2" t="s">
        <v>1628</v>
      </c>
      <c r="I742" s="2" t="s">
        <v>212</v>
      </c>
      <c r="J742" s="2" t="s">
        <v>298</v>
      </c>
      <c r="K742" s="4" t="s">
        <v>27</v>
      </c>
      <c r="L742" s="4" t="s">
        <v>27</v>
      </c>
      <c r="M742" s="4" t="s">
        <v>332</v>
      </c>
      <c r="N742" s="5">
        <v>183301576</v>
      </c>
      <c r="O742" s="2" t="s">
        <v>1629</v>
      </c>
      <c r="P742" s="2" t="s">
        <v>393</v>
      </c>
      <c r="Q742" s="4" t="s">
        <v>1630</v>
      </c>
    </row>
    <row r="743" spans="1:17" hidden="1" x14ac:dyDescent="0.2">
      <c r="A743" s="2" t="s">
        <v>1631</v>
      </c>
      <c r="B743" s="2" t="s">
        <v>33</v>
      </c>
      <c r="C743" s="2" t="s">
        <v>186</v>
      </c>
      <c r="D743" s="2" t="s">
        <v>20</v>
      </c>
      <c r="E743" s="3">
        <v>98023</v>
      </c>
      <c r="F743" s="4" t="s">
        <v>42</v>
      </c>
      <c r="G743" s="2" t="s">
        <v>1177</v>
      </c>
      <c r="H743" s="2" t="s">
        <v>1628</v>
      </c>
      <c r="I743" s="2" t="s">
        <v>212</v>
      </c>
      <c r="J743" s="2" t="s">
        <v>298</v>
      </c>
      <c r="K743" s="4" t="s">
        <v>27</v>
      </c>
      <c r="L743" s="4" t="s">
        <v>27</v>
      </c>
      <c r="M743" s="4" t="s">
        <v>187</v>
      </c>
      <c r="N743" s="5">
        <v>182441689</v>
      </c>
      <c r="O743" s="2" t="s">
        <v>188</v>
      </c>
      <c r="P743" s="2" t="s">
        <v>37</v>
      </c>
      <c r="Q743" s="4" t="s">
        <v>1238</v>
      </c>
    </row>
    <row r="744" spans="1:17" hidden="1" x14ac:dyDescent="0.2">
      <c r="A744" s="2" t="s">
        <v>1632</v>
      </c>
      <c r="B744" s="2" t="s">
        <v>1633</v>
      </c>
      <c r="C744" s="2" t="s">
        <v>1634</v>
      </c>
      <c r="D744" s="2" t="s">
        <v>20</v>
      </c>
      <c r="E744" s="3">
        <v>99301</v>
      </c>
      <c r="F744" s="4" t="s">
        <v>42</v>
      </c>
      <c r="G744" s="2" t="s">
        <v>1177</v>
      </c>
      <c r="H744" s="2" t="s">
        <v>1628</v>
      </c>
      <c r="I744" s="2" t="s">
        <v>212</v>
      </c>
      <c r="J744" s="2" t="s">
        <v>298</v>
      </c>
      <c r="K744" s="4" t="s">
        <v>27</v>
      </c>
      <c r="L744" s="4" t="s">
        <v>27</v>
      </c>
      <c r="M744" s="4" t="s">
        <v>1071</v>
      </c>
      <c r="N744" s="5">
        <v>151303330</v>
      </c>
      <c r="O744" s="2" t="s">
        <v>1635</v>
      </c>
      <c r="P744" s="2" t="s">
        <v>1636</v>
      </c>
      <c r="Q744" s="4" t="s">
        <v>1637</v>
      </c>
    </row>
    <row r="745" spans="1:17" hidden="1" x14ac:dyDescent="0.2">
      <c r="A745" s="2" t="s">
        <v>1638</v>
      </c>
      <c r="B745" s="2" t="s">
        <v>33</v>
      </c>
      <c r="C745" s="2" t="s">
        <v>83</v>
      </c>
      <c r="D745" s="2" t="s">
        <v>20</v>
      </c>
      <c r="E745" s="3">
        <v>98116</v>
      </c>
      <c r="F745" s="4" t="s">
        <v>42</v>
      </c>
      <c r="G745" s="2" t="s">
        <v>1177</v>
      </c>
      <c r="H745" s="2" t="s">
        <v>1628</v>
      </c>
      <c r="I745" s="2" t="s">
        <v>212</v>
      </c>
      <c r="J745" s="2" t="s">
        <v>298</v>
      </c>
      <c r="K745" s="4" t="s">
        <v>27</v>
      </c>
      <c r="L745" s="4" t="s">
        <v>27</v>
      </c>
      <c r="M745" s="4" t="s">
        <v>319</v>
      </c>
      <c r="N745" s="5">
        <v>152571688</v>
      </c>
      <c r="O745" s="2" t="s">
        <v>1034</v>
      </c>
      <c r="P745" s="2" t="s">
        <v>86</v>
      </c>
      <c r="Q745" s="4" t="s">
        <v>1035</v>
      </c>
    </row>
    <row r="746" spans="1:17" hidden="1" x14ac:dyDescent="0.2">
      <c r="A746" s="2" t="s">
        <v>1639</v>
      </c>
      <c r="B746" s="2" t="s">
        <v>33</v>
      </c>
      <c r="C746" s="2" t="s">
        <v>146</v>
      </c>
      <c r="D746" s="2" t="s">
        <v>20</v>
      </c>
      <c r="E746" s="3">
        <v>98005</v>
      </c>
      <c r="F746" s="4" t="s">
        <v>42</v>
      </c>
      <c r="G746" s="2" t="s">
        <v>1177</v>
      </c>
      <c r="H746" s="2" t="s">
        <v>1628</v>
      </c>
      <c r="I746" s="2" t="s">
        <v>212</v>
      </c>
      <c r="J746" s="2" t="s">
        <v>298</v>
      </c>
      <c r="K746" s="4" t="s">
        <v>27</v>
      </c>
      <c r="L746" s="4" t="s">
        <v>27</v>
      </c>
      <c r="M746" s="4" t="s">
        <v>147</v>
      </c>
      <c r="N746" s="5">
        <v>271114770</v>
      </c>
      <c r="O746" s="2" t="s">
        <v>448</v>
      </c>
      <c r="P746" s="2" t="s">
        <v>37</v>
      </c>
      <c r="Q746" s="4" t="s">
        <v>195</v>
      </c>
    </row>
    <row r="747" spans="1:17" hidden="1" x14ac:dyDescent="0.2">
      <c r="A747" s="2" t="s">
        <v>1640</v>
      </c>
      <c r="B747" s="2" t="s">
        <v>40</v>
      </c>
      <c r="C747" s="2" t="s">
        <v>1385</v>
      </c>
      <c r="D747" s="2" t="s">
        <v>20</v>
      </c>
      <c r="E747" s="3">
        <v>98272</v>
      </c>
      <c r="F747" s="4" t="s">
        <v>42</v>
      </c>
      <c r="G747" s="2" t="s">
        <v>1177</v>
      </c>
      <c r="H747" s="2" t="s">
        <v>1628</v>
      </c>
      <c r="I747" s="2" t="s">
        <v>212</v>
      </c>
      <c r="J747" s="2" t="s">
        <v>298</v>
      </c>
      <c r="K747" s="4" t="s">
        <v>27</v>
      </c>
      <c r="L747" s="4" t="s">
        <v>27</v>
      </c>
      <c r="M747" s="4" t="s">
        <v>44</v>
      </c>
      <c r="N747" s="5">
        <v>260821823</v>
      </c>
      <c r="O747" s="2" t="s">
        <v>1386</v>
      </c>
      <c r="P747" s="2" t="s">
        <v>30</v>
      </c>
      <c r="Q747" s="4" t="s">
        <v>1387</v>
      </c>
    </row>
    <row r="748" spans="1:17" hidden="1" x14ac:dyDescent="0.2">
      <c r="A748" s="2" t="s">
        <v>1640</v>
      </c>
      <c r="B748" s="2" t="s">
        <v>40</v>
      </c>
      <c r="C748" s="2" t="s">
        <v>41</v>
      </c>
      <c r="D748" s="2" t="s">
        <v>20</v>
      </c>
      <c r="E748" s="3">
        <v>98223</v>
      </c>
      <c r="F748" s="4" t="s">
        <v>42</v>
      </c>
      <c r="G748" s="2" t="s">
        <v>1177</v>
      </c>
      <c r="H748" s="2" t="s">
        <v>1628</v>
      </c>
      <c r="I748" s="2" t="s">
        <v>212</v>
      </c>
      <c r="J748" s="2" t="s">
        <v>298</v>
      </c>
      <c r="K748" s="4" t="s">
        <v>27</v>
      </c>
      <c r="L748" s="4" t="s">
        <v>27</v>
      </c>
      <c r="M748" s="4" t="s">
        <v>44</v>
      </c>
      <c r="N748" s="5">
        <v>132170244</v>
      </c>
      <c r="O748" s="2" t="s">
        <v>45</v>
      </c>
      <c r="P748" s="2" t="s">
        <v>30</v>
      </c>
      <c r="Q748" s="4" t="s">
        <v>46</v>
      </c>
    </row>
    <row r="749" spans="1:17" hidden="1" x14ac:dyDescent="0.2">
      <c r="A749" s="2" t="s">
        <v>1640</v>
      </c>
      <c r="B749" s="2" t="s">
        <v>33</v>
      </c>
      <c r="C749" s="2" t="s">
        <v>186</v>
      </c>
      <c r="D749" s="2" t="s">
        <v>20</v>
      </c>
      <c r="E749" s="3">
        <v>98023</v>
      </c>
      <c r="F749" s="4" t="s">
        <v>42</v>
      </c>
      <c r="G749" s="2" t="s">
        <v>1177</v>
      </c>
      <c r="H749" s="2" t="s">
        <v>1628</v>
      </c>
      <c r="I749" s="2" t="s">
        <v>212</v>
      </c>
      <c r="J749" s="2" t="s">
        <v>298</v>
      </c>
      <c r="K749" s="4" t="s">
        <v>27</v>
      </c>
      <c r="L749" s="4" t="s">
        <v>27</v>
      </c>
      <c r="M749" s="4" t="s">
        <v>187</v>
      </c>
      <c r="N749" s="5">
        <v>148409936</v>
      </c>
      <c r="O749" s="2" t="s">
        <v>188</v>
      </c>
      <c r="P749" s="2" t="s">
        <v>37</v>
      </c>
      <c r="Q749" s="4" t="s">
        <v>740</v>
      </c>
    </row>
    <row r="750" spans="1:17" hidden="1" x14ac:dyDescent="0.2">
      <c r="A750" s="2" t="s">
        <v>1640</v>
      </c>
      <c r="B750" s="2" t="s">
        <v>33</v>
      </c>
      <c r="C750" s="2" t="s">
        <v>169</v>
      </c>
      <c r="D750" s="2" t="s">
        <v>20</v>
      </c>
      <c r="E750" s="3">
        <v>98034</v>
      </c>
      <c r="F750" s="4" t="s">
        <v>42</v>
      </c>
      <c r="G750" s="2" t="s">
        <v>1177</v>
      </c>
      <c r="H750" s="2" t="s">
        <v>1628</v>
      </c>
      <c r="I750" s="2" t="s">
        <v>212</v>
      </c>
      <c r="J750" s="2" t="s">
        <v>298</v>
      </c>
      <c r="K750" s="4" t="s">
        <v>27</v>
      </c>
      <c r="L750" s="4" t="s">
        <v>27</v>
      </c>
      <c r="M750" s="4" t="s">
        <v>170</v>
      </c>
      <c r="N750" s="5">
        <v>141985056</v>
      </c>
      <c r="O750" s="2" t="s">
        <v>171</v>
      </c>
      <c r="P750" s="2" t="s">
        <v>37</v>
      </c>
      <c r="Q750" s="4" t="s">
        <v>172</v>
      </c>
    </row>
    <row r="751" spans="1:17" hidden="1" x14ac:dyDescent="0.2">
      <c r="A751" s="2" t="s">
        <v>1641</v>
      </c>
      <c r="B751" s="2" t="s">
        <v>40</v>
      </c>
      <c r="C751" s="2" t="s">
        <v>89</v>
      </c>
      <c r="D751" s="2" t="s">
        <v>20</v>
      </c>
      <c r="E751" s="3">
        <v>98012</v>
      </c>
      <c r="F751" s="4" t="s">
        <v>401</v>
      </c>
      <c r="G751" s="2" t="s">
        <v>1177</v>
      </c>
      <c r="H751" s="2" t="s">
        <v>1628</v>
      </c>
      <c r="I751" s="2" t="s">
        <v>212</v>
      </c>
      <c r="J751" s="2" t="s">
        <v>213</v>
      </c>
      <c r="K751" s="4" t="s">
        <v>1642</v>
      </c>
      <c r="L751" s="4" t="s">
        <v>27</v>
      </c>
      <c r="M751" s="4" t="s">
        <v>170</v>
      </c>
      <c r="N751" s="5">
        <v>111592477</v>
      </c>
      <c r="O751" s="2" t="s">
        <v>91</v>
      </c>
      <c r="P751" s="2" t="s">
        <v>30</v>
      </c>
      <c r="Q751" s="4" t="s">
        <v>1643</v>
      </c>
    </row>
    <row r="752" spans="1:17" hidden="1" x14ac:dyDescent="0.2">
      <c r="A752" s="2" t="s">
        <v>1641</v>
      </c>
      <c r="B752" s="2" t="s">
        <v>110</v>
      </c>
      <c r="C752" s="2" t="s">
        <v>307</v>
      </c>
      <c r="D752" s="2" t="s">
        <v>20</v>
      </c>
      <c r="E752" s="3">
        <v>98406</v>
      </c>
      <c r="F752" s="4" t="s">
        <v>401</v>
      </c>
      <c r="G752" s="2" t="s">
        <v>1177</v>
      </c>
      <c r="H752" s="2" t="s">
        <v>1628</v>
      </c>
      <c r="I752" s="2" t="s">
        <v>212</v>
      </c>
      <c r="J752" s="2" t="s">
        <v>213</v>
      </c>
      <c r="K752" s="4" t="s">
        <v>1642</v>
      </c>
      <c r="L752" s="4" t="s">
        <v>27</v>
      </c>
      <c r="M752" s="4" t="s">
        <v>308</v>
      </c>
      <c r="N752" s="5">
        <v>124418395</v>
      </c>
      <c r="O752" s="2" t="s">
        <v>988</v>
      </c>
      <c r="P752" s="2" t="s">
        <v>310</v>
      </c>
      <c r="Q752" s="4" t="s">
        <v>1644</v>
      </c>
    </row>
    <row r="753" spans="1:17" hidden="1" x14ac:dyDescent="0.2">
      <c r="A753" s="2" t="s">
        <v>1645</v>
      </c>
      <c r="B753" s="2" t="s">
        <v>33</v>
      </c>
      <c r="C753" s="2" t="s">
        <v>620</v>
      </c>
      <c r="D753" s="2" t="s">
        <v>20</v>
      </c>
      <c r="E753" s="3">
        <v>98056</v>
      </c>
      <c r="F753" s="4" t="s">
        <v>42</v>
      </c>
      <c r="G753" s="2" t="s">
        <v>1177</v>
      </c>
      <c r="H753" s="2" t="s">
        <v>1628</v>
      </c>
      <c r="I753" s="2" t="s">
        <v>212</v>
      </c>
      <c r="J753" s="2" t="s">
        <v>298</v>
      </c>
      <c r="K753" s="4" t="s">
        <v>27</v>
      </c>
      <c r="L753" s="4" t="s">
        <v>27</v>
      </c>
      <c r="M753" s="4" t="s">
        <v>403</v>
      </c>
      <c r="N753" s="5">
        <v>142513689</v>
      </c>
      <c r="O753" s="2" t="s">
        <v>593</v>
      </c>
      <c r="P753" s="2" t="s">
        <v>37</v>
      </c>
      <c r="Q753" s="4" t="s">
        <v>1646</v>
      </c>
    </row>
    <row r="754" spans="1:17" hidden="1" x14ac:dyDescent="0.2">
      <c r="A754" s="2" t="s">
        <v>1647</v>
      </c>
      <c r="B754" s="2" t="s">
        <v>40</v>
      </c>
      <c r="C754" s="2" t="s">
        <v>197</v>
      </c>
      <c r="D754" s="2" t="s">
        <v>20</v>
      </c>
      <c r="E754" s="3">
        <v>98072</v>
      </c>
      <c r="F754" s="4" t="s">
        <v>401</v>
      </c>
      <c r="G754" s="2" t="s">
        <v>1177</v>
      </c>
      <c r="H754" s="2" t="s">
        <v>1628</v>
      </c>
      <c r="I754" s="2" t="s">
        <v>212</v>
      </c>
      <c r="J754" s="2" t="s">
        <v>213</v>
      </c>
      <c r="K754" s="4" t="s">
        <v>1642</v>
      </c>
      <c r="L754" s="4" t="s">
        <v>27</v>
      </c>
      <c r="M754" s="4" t="s">
        <v>170</v>
      </c>
      <c r="N754" s="5">
        <v>113007681</v>
      </c>
      <c r="O754" s="2" t="s">
        <v>199</v>
      </c>
      <c r="P754" s="2" t="s">
        <v>30</v>
      </c>
      <c r="Q754" s="4" t="s">
        <v>994</v>
      </c>
    </row>
    <row r="755" spans="1:17" hidden="1" x14ac:dyDescent="0.2">
      <c r="A755" s="2" t="s">
        <v>1648</v>
      </c>
      <c r="B755" s="2" t="s">
        <v>33</v>
      </c>
      <c r="C755" s="2" t="s">
        <v>146</v>
      </c>
      <c r="D755" s="2" t="s">
        <v>20</v>
      </c>
      <c r="E755" s="3">
        <v>98004</v>
      </c>
      <c r="F755" s="4" t="s">
        <v>42</v>
      </c>
      <c r="G755" s="2" t="s">
        <v>1177</v>
      </c>
      <c r="H755" s="2" t="s">
        <v>1628</v>
      </c>
      <c r="I755" s="2" t="s">
        <v>212</v>
      </c>
      <c r="J755" s="2" t="s">
        <v>298</v>
      </c>
      <c r="K755" s="4" t="s">
        <v>27</v>
      </c>
      <c r="L755" s="4" t="s">
        <v>27</v>
      </c>
      <c r="M755" s="4" t="s">
        <v>403</v>
      </c>
      <c r="N755" s="5">
        <v>175605391</v>
      </c>
      <c r="O755" s="2" t="s">
        <v>148</v>
      </c>
      <c r="P755" s="2" t="s">
        <v>37</v>
      </c>
      <c r="Q755" s="4" t="s">
        <v>1250</v>
      </c>
    </row>
    <row r="756" spans="1:17" hidden="1" x14ac:dyDescent="0.2">
      <c r="A756" s="2" t="s">
        <v>1648</v>
      </c>
      <c r="B756" s="2" t="s">
        <v>33</v>
      </c>
      <c r="C756" s="2" t="s">
        <v>186</v>
      </c>
      <c r="D756" s="2" t="s">
        <v>20</v>
      </c>
      <c r="E756" s="3">
        <v>98003</v>
      </c>
      <c r="F756" s="4" t="s">
        <v>42</v>
      </c>
      <c r="G756" s="2" t="s">
        <v>1177</v>
      </c>
      <c r="H756" s="2" t="s">
        <v>1628</v>
      </c>
      <c r="I756" s="2" t="s">
        <v>212</v>
      </c>
      <c r="J756" s="2" t="s">
        <v>298</v>
      </c>
      <c r="K756" s="4" t="s">
        <v>27</v>
      </c>
      <c r="L756" s="4" t="s">
        <v>27</v>
      </c>
      <c r="M756" s="4" t="s">
        <v>187</v>
      </c>
      <c r="N756" s="5">
        <v>148614154</v>
      </c>
      <c r="O756" s="2" t="s">
        <v>458</v>
      </c>
      <c r="P756" s="2" t="s">
        <v>37</v>
      </c>
      <c r="Q756" s="4" t="s">
        <v>1649</v>
      </c>
    </row>
    <row r="757" spans="1:17" hidden="1" x14ac:dyDescent="0.2">
      <c r="A757" s="2" t="s">
        <v>1650</v>
      </c>
      <c r="B757" s="2" t="s">
        <v>33</v>
      </c>
      <c r="C757" s="2" t="s">
        <v>186</v>
      </c>
      <c r="D757" s="2" t="s">
        <v>20</v>
      </c>
      <c r="E757" s="3">
        <v>98023</v>
      </c>
      <c r="F757" s="4" t="s">
        <v>42</v>
      </c>
      <c r="G757" s="2" t="s">
        <v>1177</v>
      </c>
      <c r="H757" s="2" t="s">
        <v>1628</v>
      </c>
      <c r="I757" s="2" t="s">
        <v>212</v>
      </c>
      <c r="J757" s="2" t="s">
        <v>298</v>
      </c>
      <c r="K757" s="4" t="s">
        <v>27</v>
      </c>
      <c r="L757" s="4" t="s">
        <v>27</v>
      </c>
      <c r="M757" s="4" t="s">
        <v>187</v>
      </c>
      <c r="N757" s="5">
        <v>272623424</v>
      </c>
      <c r="O757" s="2" t="s">
        <v>188</v>
      </c>
      <c r="P757" s="2" t="s">
        <v>37</v>
      </c>
      <c r="Q757" s="4" t="s">
        <v>1649</v>
      </c>
    </row>
    <row r="758" spans="1:17" hidden="1" x14ac:dyDescent="0.2">
      <c r="A758" s="2" t="s">
        <v>1650</v>
      </c>
      <c r="B758" s="2" t="s">
        <v>33</v>
      </c>
      <c r="C758" s="2" t="s">
        <v>139</v>
      </c>
      <c r="D758" s="2" t="s">
        <v>20</v>
      </c>
      <c r="E758" s="3">
        <v>98056</v>
      </c>
      <c r="F758" s="4" t="s">
        <v>42</v>
      </c>
      <c r="G758" s="2" t="s">
        <v>1177</v>
      </c>
      <c r="H758" s="2" t="s">
        <v>1628</v>
      </c>
      <c r="I758" s="2" t="s">
        <v>212</v>
      </c>
      <c r="J758" s="2" t="s">
        <v>298</v>
      </c>
      <c r="K758" s="4" t="s">
        <v>27</v>
      </c>
      <c r="L758" s="4" t="s">
        <v>27</v>
      </c>
      <c r="M758" s="4" t="s">
        <v>140</v>
      </c>
      <c r="N758" s="5">
        <v>268332844</v>
      </c>
      <c r="O758" s="2" t="s">
        <v>593</v>
      </c>
      <c r="P758" s="2" t="s">
        <v>37</v>
      </c>
      <c r="Q758" s="4" t="s">
        <v>1651</v>
      </c>
    </row>
    <row r="759" spans="1:17" hidden="1" x14ac:dyDescent="0.2">
      <c r="A759" s="2" t="s">
        <v>1652</v>
      </c>
      <c r="B759" s="2" t="s">
        <v>151</v>
      </c>
      <c r="C759" s="2" t="s">
        <v>152</v>
      </c>
      <c r="D759" s="2" t="s">
        <v>20</v>
      </c>
      <c r="E759" s="3">
        <v>98502</v>
      </c>
      <c r="F759" s="4" t="s">
        <v>401</v>
      </c>
      <c r="G759" s="2" t="s">
        <v>1177</v>
      </c>
      <c r="H759" s="2" t="s">
        <v>1628</v>
      </c>
      <c r="I759" s="2" t="s">
        <v>212</v>
      </c>
      <c r="J759" s="2" t="s">
        <v>213</v>
      </c>
      <c r="K759" s="4" t="s">
        <v>1642</v>
      </c>
      <c r="L759" s="4" t="s">
        <v>27</v>
      </c>
      <c r="M759" s="4" t="s">
        <v>90</v>
      </c>
      <c r="N759" s="5">
        <v>117818424</v>
      </c>
      <c r="O759" s="2" t="s">
        <v>337</v>
      </c>
      <c r="P759" s="2" t="s">
        <v>30</v>
      </c>
      <c r="Q759" s="4" t="s">
        <v>1653</v>
      </c>
    </row>
    <row r="760" spans="1:17" hidden="1" x14ac:dyDescent="0.2">
      <c r="A760" s="2" t="s">
        <v>1652</v>
      </c>
      <c r="B760" s="2" t="s">
        <v>40</v>
      </c>
      <c r="C760" s="2" t="s">
        <v>268</v>
      </c>
      <c r="D760" s="2" t="s">
        <v>20</v>
      </c>
      <c r="E760" s="3">
        <v>98026</v>
      </c>
      <c r="F760" s="4" t="s">
        <v>401</v>
      </c>
      <c r="G760" s="2" t="s">
        <v>1177</v>
      </c>
      <c r="H760" s="2" t="s">
        <v>1628</v>
      </c>
      <c r="I760" s="2" t="s">
        <v>212</v>
      </c>
      <c r="J760" s="2" t="s">
        <v>213</v>
      </c>
      <c r="K760" s="4" t="s">
        <v>1642</v>
      </c>
      <c r="L760" s="4" t="s">
        <v>27</v>
      </c>
      <c r="M760" s="4" t="s">
        <v>26</v>
      </c>
      <c r="N760" s="5">
        <v>255119693</v>
      </c>
      <c r="O760" s="2" t="s">
        <v>640</v>
      </c>
      <c r="P760" s="2" t="s">
        <v>30</v>
      </c>
      <c r="Q760" s="4" t="s">
        <v>813</v>
      </c>
    </row>
    <row r="761" spans="1:17" hidden="1" x14ac:dyDescent="0.2">
      <c r="A761" s="2" t="s">
        <v>1654</v>
      </c>
      <c r="B761" s="2" t="s">
        <v>151</v>
      </c>
      <c r="C761" s="2" t="s">
        <v>566</v>
      </c>
      <c r="D761" s="2" t="s">
        <v>20</v>
      </c>
      <c r="E761" s="3">
        <v>98503</v>
      </c>
      <c r="F761" s="4" t="s">
        <v>42</v>
      </c>
      <c r="G761" s="2" t="s">
        <v>1177</v>
      </c>
      <c r="H761" s="2" t="s">
        <v>1628</v>
      </c>
      <c r="I761" s="2" t="s">
        <v>212</v>
      </c>
      <c r="J761" s="2" t="s">
        <v>298</v>
      </c>
      <c r="K761" s="4" t="s">
        <v>27</v>
      </c>
      <c r="L761" s="4" t="s">
        <v>27</v>
      </c>
      <c r="M761" s="4" t="s">
        <v>90</v>
      </c>
      <c r="N761" s="5">
        <v>177558510</v>
      </c>
      <c r="O761" s="2" t="s">
        <v>567</v>
      </c>
      <c r="P761" s="2" t="s">
        <v>30</v>
      </c>
      <c r="Q761" s="4" t="s">
        <v>1655</v>
      </c>
    </row>
    <row r="762" spans="1:17" hidden="1" x14ac:dyDescent="0.2">
      <c r="A762" s="2" t="s">
        <v>1654</v>
      </c>
      <c r="B762" s="2" t="s">
        <v>33</v>
      </c>
      <c r="C762" s="2" t="s">
        <v>1056</v>
      </c>
      <c r="D762" s="2" t="s">
        <v>20</v>
      </c>
      <c r="E762" s="3">
        <v>98030</v>
      </c>
      <c r="F762" s="4" t="s">
        <v>42</v>
      </c>
      <c r="G762" s="2" t="s">
        <v>1177</v>
      </c>
      <c r="H762" s="2" t="s">
        <v>1628</v>
      </c>
      <c r="I762" s="2" t="s">
        <v>212</v>
      </c>
      <c r="J762" s="2" t="s">
        <v>298</v>
      </c>
      <c r="K762" s="4" t="s">
        <v>27</v>
      </c>
      <c r="L762" s="4" t="s">
        <v>27</v>
      </c>
      <c r="M762" s="4" t="s">
        <v>69</v>
      </c>
      <c r="N762" s="5">
        <v>181027157</v>
      </c>
      <c r="O762" s="2" t="s">
        <v>1344</v>
      </c>
      <c r="P762" s="2" t="s">
        <v>37</v>
      </c>
      <c r="Q762" s="4" t="s">
        <v>1656</v>
      </c>
    </row>
    <row r="763" spans="1:17" hidden="1" x14ac:dyDescent="0.2">
      <c r="A763" s="2" t="s">
        <v>1657</v>
      </c>
      <c r="B763" s="2" t="s">
        <v>40</v>
      </c>
      <c r="C763" s="2" t="s">
        <v>1367</v>
      </c>
      <c r="D763" s="2" t="s">
        <v>20</v>
      </c>
      <c r="E763" s="3">
        <v>98012</v>
      </c>
      <c r="F763" s="4" t="s">
        <v>401</v>
      </c>
      <c r="G763" s="2" t="s">
        <v>1177</v>
      </c>
      <c r="H763" s="2" t="s">
        <v>1628</v>
      </c>
      <c r="I763" s="2" t="s">
        <v>212</v>
      </c>
      <c r="J763" s="2" t="s">
        <v>213</v>
      </c>
      <c r="K763" s="4" t="s">
        <v>1642</v>
      </c>
      <c r="L763" s="4" t="s">
        <v>27</v>
      </c>
      <c r="M763" s="4" t="s">
        <v>116</v>
      </c>
      <c r="N763" s="5">
        <v>269811055</v>
      </c>
      <c r="O763" s="2" t="s">
        <v>91</v>
      </c>
      <c r="P763" s="2" t="s">
        <v>30</v>
      </c>
      <c r="Q763" s="4" t="s">
        <v>1368</v>
      </c>
    </row>
    <row r="764" spans="1:17" hidden="1" x14ac:dyDescent="0.2">
      <c r="A764" s="2" t="s">
        <v>1657</v>
      </c>
      <c r="B764" s="2" t="s">
        <v>873</v>
      </c>
      <c r="C764" s="2" t="s">
        <v>874</v>
      </c>
      <c r="D764" s="2" t="s">
        <v>20</v>
      </c>
      <c r="E764" s="3">
        <v>98926</v>
      </c>
      <c r="F764" s="4" t="s">
        <v>401</v>
      </c>
      <c r="G764" s="2" t="s">
        <v>1177</v>
      </c>
      <c r="H764" s="2" t="s">
        <v>1628</v>
      </c>
      <c r="I764" s="2" t="s">
        <v>212</v>
      </c>
      <c r="J764" s="2" t="s">
        <v>213</v>
      </c>
      <c r="K764" s="4" t="s">
        <v>1642</v>
      </c>
      <c r="L764" s="4" t="s">
        <v>27</v>
      </c>
      <c r="M764" s="4" t="s">
        <v>264</v>
      </c>
      <c r="N764" s="5">
        <v>109743966</v>
      </c>
      <c r="O764" s="2" t="s">
        <v>875</v>
      </c>
      <c r="P764" s="2" t="s">
        <v>30</v>
      </c>
      <c r="Q764" s="4" t="s">
        <v>1658</v>
      </c>
    </row>
    <row r="765" spans="1:17" hidden="1" x14ac:dyDescent="0.2">
      <c r="A765" s="2" t="s">
        <v>1657</v>
      </c>
      <c r="B765" s="2" t="s">
        <v>33</v>
      </c>
      <c r="C765" s="2" t="s">
        <v>83</v>
      </c>
      <c r="D765" s="2" t="s">
        <v>20</v>
      </c>
      <c r="E765" s="3">
        <v>98101</v>
      </c>
      <c r="F765" s="4" t="s">
        <v>401</v>
      </c>
      <c r="G765" s="2" t="s">
        <v>1177</v>
      </c>
      <c r="H765" s="2" t="s">
        <v>1628</v>
      </c>
      <c r="I765" s="2" t="s">
        <v>212</v>
      </c>
      <c r="J765" s="2" t="s">
        <v>213</v>
      </c>
      <c r="K765" s="4" t="s">
        <v>1642</v>
      </c>
      <c r="L765" s="4" t="s">
        <v>27</v>
      </c>
      <c r="M765" s="4" t="s">
        <v>436</v>
      </c>
      <c r="N765" s="5">
        <v>144098104</v>
      </c>
      <c r="O765" s="2" t="s">
        <v>1235</v>
      </c>
      <c r="P765" s="2" t="s">
        <v>86</v>
      </c>
      <c r="Q765" s="4" t="s">
        <v>1659</v>
      </c>
    </row>
    <row r="766" spans="1:17" hidden="1" x14ac:dyDescent="0.2">
      <c r="A766" s="2" t="s">
        <v>1660</v>
      </c>
      <c r="B766" s="2" t="s">
        <v>33</v>
      </c>
      <c r="C766" s="2" t="s">
        <v>146</v>
      </c>
      <c r="D766" s="2" t="s">
        <v>20</v>
      </c>
      <c r="E766" s="3">
        <v>98007</v>
      </c>
      <c r="F766" s="4" t="s">
        <v>42</v>
      </c>
      <c r="G766" s="2" t="s">
        <v>1177</v>
      </c>
      <c r="H766" s="2" t="s">
        <v>1628</v>
      </c>
      <c r="I766" s="2" t="s">
        <v>212</v>
      </c>
      <c r="J766" s="2" t="s">
        <v>298</v>
      </c>
      <c r="K766" s="4" t="s">
        <v>27</v>
      </c>
      <c r="L766" s="4" t="s">
        <v>27</v>
      </c>
      <c r="M766" s="4" t="s">
        <v>147</v>
      </c>
      <c r="N766" s="5">
        <v>157655648</v>
      </c>
      <c r="O766" s="2" t="s">
        <v>753</v>
      </c>
      <c r="P766" s="2" t="s">
        <v>37</v>
      </c>
      <c r="Q766" s="4" t="s">
        <v>791</v>
      </c>
    </row>
    <row r="767" spans="1:17" hidden="1" x14ac:dyDescent="0.2">
      <c r="A767" s="2" t="s">
        <v>1660</v>
      </c>
      <c r="B767" s="2" t="s">
        <v>55</v>
      </c>
      <c r="C767" s="2" t="s">
        <v>800</v>
      </c>
      <c r="D767" s="2" t="s">
        <v>20</v>
      </c>
      <c r="E767" s="3">
        <v>98642</v>
      </c>
      <c r="F767" s="4" t="s">
        <v>42</v>
      </c>
      <c r="G767" s="2" t="s">
        <v>1177</v>
      </c>
      <c r="H767" s="2" t="s">
        <v>1628</v>
      </c>
      <c r="I767" s="2" t="s">
        <v>212</v>
      </c>
      <c r="J767" s="2" t="s">
        <v>298</v>
      </c>
      <c r="K767" s="4" t="s">
        <v>27</v>
      </c>
      <c r="L767" s="4" t="s">
        <v>27</v>
      </c>
      <c r="M767" s="4" t="s">
        <v>58</v>
      </c>
      <c r="N767" s="5">
        <v>177578544</v>
      </c>
      <c r="O767" s="2" t="s">
        <v>801</v>
      </c>
      <c r="P767" s="2" t="s">
        <v>60</v>
      </c>
      <c r="Q767" s="4" t="s">
        <v>1661</v>
      </c>
    </row>
    <row r="768" spans="1:17" hidden="1" x14ac:dyDescent="0.2">
      <c r="A768" s="2" t="s">
        <v>1660</v>
      </c>
      <c r="B768" s="2" t="s">
        <v>33</v>
      </c>
      <c r="C768" s="2" t="s">
        <v>186</v>
      </c>
      <c r="D768" s="2" t="s">
        <v>20</v>
      </c>
      <c r="E768" s="3">
        <v>98023</v>
      </c>
      <c r="F768" s="4" t="s">
        <v>42</v>
      </c>
      <c r="G768" s="2" t="s">
        <v>1177</v>
      </c>
      <c r="H768" s="2" t="s">
        <v>1628</v>
      </c>
      <c r="I768" s="2" t="s">
        <v>212</v>
      </c>
      <c r="J768" s="2" t="s">
        <v>298</v>
      </c>
      <c r="K768" s="4" t="s">
        <v>27</v>
      </c>
      <c r="L768" s="4" t="s">
        <v>27</v>
      </c>
      <c r="M768" s="4" t="s">
        <v>187</v>
      </c>
      <c r="N768" s="5">
        <v>166229801</v>
      </c>
      <c r="O768" s="2" t="s">
        <v>188</v>
      </c>
      <c r="P768" s="2" t="s">
        <v>37</v>
      </c>
      <c r="Q768" s="4" t="s">
        <v>1662</v>
      </c>
    </row>
    <row r="769" spans="1:17" hidden="1" x14ac:dyDescent="0.2">
      <c r="A769" s="2" t="s">
        <v>1663</v>
      </c>
      <c r="B769" s="2" t="s">
        <v>94</v>
      </c>
      <c r="C769" s="2" t="s">
        <v>387</v>
      </c>
      <c r="D769" s="2" t="s">
        <v>20</v>
      </c>
      <c r="E769" s="3">
        <v>98236</v>
      </c>
      <c r="F769" s="4" t="s">
        <v>401</v>
      </c>
      <c r="G769" s="2" t="s">
        <v>1177</v>
      </c>
      <c r="H769" s="2" t="s">
        <v>1628</v>
      </c>
      <c r="I769" s="2" t="s">
        <v>212</v>
      </c>
      <c r="J769" s="2" t="s">
        <v>213</v>
      </c>
      <c r="K769" s="4" t="s">
        <v>1642</v>
      </c>
      <c r="L769" s="4" t="s">
        <v>27</v>
      </c>
      <c r="M769" s="4" t="s">
        <v>96</v>
      </c>
      <c r="N769" s="5">
        <v>125931403</v>
      </c>
      <c r="O769" s="2" t="s">
        <v>388</v>
      </c>
      <c r="P769" s="2" t="s">
        <v>30</v>
      </c>
      <c r="Q769" s="4" t="s">
        <v>389</v>
      </c>
    </row>
    <row r="770" spans="1:17" hidden="1" x14ac:dyDescent="0.2">
      <c r="A770" s="2" t="s">
        <v>1664</v>
      </c>
      <c r="B770" s="2" t="s">
        <v>506</v>
      </c>
      <c r="C770" s="2" t="s">
        <v>1665</v>
      </c>
      <c r="D770" s="2" t="s">
        <v>20</v>
      </c>
      <c r="E770" s="3">
        <v>98368</v>
      </c>
      <c r="F770" s="4" t="s">
        <v>42</v>
      </c>
      <c r="G770" s="2" t="s">
        <v>1177</v>
      </c>
      <c r="H770" s="2" t="s">
        <v>1628</v>
      </c>
      <c r="I770" s="2" t="s">
        <v>212</v>
      </c>
      <c r="J770" s="2" t="s">
        <v>298</v>
      </c>
      <c r="K770" s="4" t="s">
        <v>27</v>
      </c>
      <c r="L770" s="4" t="s">
        <v>27</v>
      </c>
      <c r="M770" s="4" t="s">
        <v>509</v>
      </c>
      <c r="N770" s="5">
        <v>220701561</v>
      </c>
      <c r="O770" s="2" t="s">
        <v>1666</v>
      </c>
      <c r="P770" s="2" t="s">
        <v>511</v>
      </c>
      <c r="Q770" s="4" t="s">
        <v>1667</v>
      </c>
    </row>
    <row r="771" spans="1:17" hidden="1" x14ac:dyDescent="0.2">
      <c r="A771" s="2" t="s">
        <v>1664</v>
      </c>
      <c r="B771" s="2" t="s">
        <v>33</v>
      </c>
      <c r="C771" s="2" t="s">
        <v>83</v>
      </c>
      <c r="D771" s="2" t="s">
        <v>20</v>
      </c>
      <c r="E771" s="3">
        <v>98109</v>
      </c>
      <c r="F771" s="4" t="s">
        <v>42</v>
      </c>
      <c r="G771" s="2" t="s">
        <v>1177</v>
      </c>
      <c r="H771" s="2" t="s">
        <v>1628</v>
      </c>
      <c r="I771" s="2" t="s">
        <v>212</v>
      </c>
      <c r="J771" s="2" t="s">
        <v>298</v>
      </c>
      <c r="K771" s="4" t="s">
        <v>27</v>
      </c>
      <c r="L771" s="4" t="s">
        <v>27</v>
      </c>
      <c r="M771" s="4" t="s">
        <v>436</v>
      </c>
      <c r="N771" s="5">
        <v>272087728</v>
      </c>
      <c r="O771" s="2" t="s">
        <v>437</v>
      </c>
      <c r="P771" s="2" t="s">
        <v>86</v>
      </c>
      <c r="Q771" s="4" t="s">
        <v>1090</v>
      </c>
    </row>
    <row r="772" spans="1:17" hidden="1" x14ac:dyDescent="0.2">
      <c r="A772" s="2" t="s">
        <v>1668</v>
      </c>
      <c r="B772" s="2" t="s">
        <v>175</v>
      </c>
      <c r="C772" s="2" t="s">
        <v>175</v>
      </c>
      <c r="D772" s="2" t="s">
        <v>20</v>
      </c>
      <c r="E772" s="3">
        <v>98816</v>
      </c>
      <c r="F772" s="4" t="s">
        <v>401</v>
      </c>
      <c r="G772" s="2" t="s">
        <v>1177</v>
      </c>
      <c r="H772" s="2" t="s">
        <v>1628</v>
      </c>
      <c r="I772" s="2" t="s">
        <v>212</v>
      </c>
      <c r="J772" s="2" t="s">
        <v>213</v>
      </c>
      <c r="K772" s="4" t="s">
        <v>1642</v>
      </c>
      <c r="L772" s="4" t="s">
        <v>27</v>
      </c>
      <c r="M772" s="4" t="s">
        <v>177</v>
      </c>
      <c r="N772" s="5">
        <v>112406542</v>
      </c>
      <c r="O772" s="2" t="s">
        <v>1669</v>
      </c>
      <c r="P772" s="2" t="s">
        <v>179</v>
      </c>
      <c r="Q772" s="4" t="s">
        <v>1670</v>
      </c>
    </row>
    <row r="773" spans="1:17" hidden="1" x14ac:dyDescent="0.2">
      <c r="A773" s="2" t="s">
        <v>1671</v>
      </c>
      <c r="B773" s="2" t="s">
        <v>33</v>
      </c>
      <c r="C773" s="2" t="s">
        <v>83</v>
      </c>
      <c r="D773" s="2" t="s">
        <v>20</v>
      </c>
      <c r="E773" s="3">
        <v>98125</v>
      </c>
      <c r="F773" s="4" t="s">
        <v>42</v>
      </c>
      <c r="G773" s="2" t="s">
        <v>1177</v>
      </c>
      <c r="H773" s="2" t="s">
        <v>1628</v>
      </c>
      <c r="I773" s="2" t="s">
        <v>212</v>
      </c>
      <c r="J773" s="2" t="s">
        <v>298</v>
      </c>
      <c r="K773" s="4" t="s">
        <v>27</v>
      </c>
      <c r="L773" s="4" t="s">
        <v>27</v>
      </c>
      <c r="M773" s="4" t="s">
        <v>278</v>
      </c>
      <c r="N773" s="5">
        <v>148976621</v>
      </c>
      <c r="O773" s="2" t="s">
        <v>279</v>
      </c>
      <c r="P773" s="2" t="s">
        <v>86</v>
      </c>
      <c r="Q773" s="4" t="s">
        <v>434</v>
      </c>
    </row>
    <row r="774" spans="1:17" hidden="1" x14ac:dyDescent="0.2">
      <c r="A774" s="2" t="s">
        <v>1671</v>
      </c>
      <c r="B774" s="2" t="s">
        <v>33</v>
      </c>
      <c r="C774" s="2" t="s">
        <v>83</v>
      </c>
      <c r="D774" s="2" t="s">
        <v>20</v>
      </c>
      <c r="E774" s="3">
        <v>98109</v>
      </c>
      <c r="F774" s="4" t="s">
        <v>42</v>
      </c>
      <c r="G774" s="2" t="s">
        <v>1177</v>
      </c>
      <c r="H774" s="2" t="s">
        <v>1628</v>
      </c>
      <c r="I774" s="2" t="s">
        <v>212</v>
      </c>
      <c r="J774" s="2" t="s">
        <v>298</v>
      </c>
      <c r="K774" s="4" t="s">
        <v>27</v>
      </c>
      <c r="L774" s="4" t="s">
        <v>27</v>
      </c>
      <c r="M774" s="4" t="s">
        <v>84</v>
      </c>
      <c r="N774" s="5">
        <v>137341004</v>
      </c>
      <c r="O774" s="2" t="s">
        <v>437</v>
      </c>
      <c r="P774" s="2" t="s">
        <v>86</v>
      </c>
      <c r="Q774" s="4" t="s">
        <v>629</v>
      </c>
    </row>
    <row r="775" spans="1:17" hidden="1" x14ac:dyDescent="0.2">
      <c r="A775" s="2" t="s">
        <v>1671</v>
      </c>
      <c r="B775" s="2" t="s">
        <v>33</v>
      </c>
      <c r="C775" s="2" t="s">
        <v>83</v>
      </c>
      <c r="D775" s="2" t="s">
        <v>20</v>
      </c>
      <c r="E775" s="3">
        <v>98109</v>
      </c>
      <c r="F775" s="4" t="s">
        <v>42</v>
      </c>
      <c r="G775" s="2" t="s">
        <v>1177</v>
      </c>
      <c r="H775" s="2" t="s">
        <v>1628</v>
      </c>
      <c r="I775" s="2" t="s">
        <v>212</v>
      </c>
      <c r="J775" s="2" t="s">
        <v>298</v>
      </c>
      <c r="K775" s="4" t="s">
        <v>27</v>
      </c>
      <c r="L775" s="4" t="s">
        <v>27</v>
      </c>
      <c r="M775" s="4" t="s">
        <v>436</v>
      </c>
      <c r="N775" s="5">
        <v>151246896</v>
      </c>
      <c r="O775" s="2" t="s">
        <v>437</v>
      </c>
      <c r="P775" s="2" t="s">
        <v>86</v>
      </c>
      <c r="Q775" s="4" t="s">
        <v>1090</v>
      </c>
    </row>
    <row r="776" spans="1:17" hidden="1" x14ac:dyDescent="0.2">
      <c r="A776" s="2" t="s">
        <v>1672</v>
      </c>
      <c r="B776" s="2" t="s">
        <v>33</v>
      </c>
      <c r="C776" s="2" t="s">
        <v>669</v>
      </c>
      <c r="D776" s="2" t="s">
        <v>20</v>
      </c>
      <c r="E776" s="3">
        <v>98052</v>
      </c>
      <c r="F776" s="4" t="s">
        <v>401</v>
      </c>
      <c r="G776" s="2" t="s">
        <v>1177</v>
      </c>
      <c r="H776" s="2" t="s">
        <v>1628</v>
      </c>
      <c r="I776" s="2" t="s">
        <v>212</v>
      </c>
      <c r="J776" s="2" t="s">
        <v>213</v>
      </c>
      <c r="K776" s="4" t="s">
        <v>1642</v>
      </c>
      <c r="L776" s="4" t="s">
        <v>27</v>
      </c>
      <c r="M776" s="4" t="s">
        <v>198</v>
      </c>
      <c r="N776" s="5">
        <v>127391246</v>
      </c>
      <c r="O776" s="2" t="s">
        <v>670</v>
      </c>
      <c r="P776" s="2" t="s">
        <v>37</v>
      </c>
      <c r="Q776" s="4" t="s">
        <v>1673</v>
      </c>
    </row>
    <row r="777" spans="1:17" hidden="1" x14ac:dyDescent="0.2">
      <c r="A777" s="2" t="s">
        <v>1672</v>
      </c>
      <c r="B777" s="2" t="s">
        <v>33</v>
      </c>
      <c r="C777" s="2" t="s">
        <v>146</v>
      </c>
      <c r="D777" s="2" t="s">
        <v>20</v>
      </c>
      <c r="E777" s="3">
        <v>98004</v>
      </c>
      <c r="F777" s="4" t="s">
        <v>401</v>
      </c>
      <c r="G777" s="2" t="s">
        <v>1177</v>
      </c>
      <c r="H777" s="2" t="s">
        <v>1628</v>
      </c>
      <c r="I777" s="2" t="s">
        <v>212</v>
      </c>
      <c r="J777" s="2" t="s">
        <v>213</v>
      </c>
      <c r="K777" s="4" t="s">
        <v>1642</v>
      </c>
      <c r="L777" s="4" t="s">
        <v>27</v>
      </c>
      <c r="M777" s="4" t="s">
        <v>147</v>
      </c>
      <c r="N777" s="5">
        <v>238042066</v>
      </c>
      <c r="O777" s="2" t="s">
        <v>148</v>
      </c>
      <c r="P777" s="2" t="s">
        <v>37</v>
      </c>
      <c r="Q777" s="4" t="s">
        <v>1193</v>
      </c>
    </row>
    <row r="778" spans="1:17" hidden="1" x14ac:dyDescent="0.2">
      <c r="A778" s="2" t="s">
        <v>1674</v>
      </c>
      <c r="B778" s="2" t="s">
        <v>48</v>
      </c>
      <c r="C778" s="2" t="s">
        <v>1140</v>
      </c>
      <c r="D778" s="2" t="s">
        <v>20</v>
      </c>
      <c r="E778" s="3">
        <v>98942</v>
      </c>
      <c r="F778" s="4" t="s">
        <v>42</v>
      </c>
      <c r="G778" s="2" t="s">
        <v>1177</v>
      </c>
      <c r="H778" s="2" t="s">
        <v>1628</v>
      </c>
      <c r="I778" s="2" t="s">
        <v>212</v>
      </c>
      <c r="J778" s="2" t="s">
        <v>298</v>
      </c>
      <c r="K778" s="4" t="s">
        <v>27</v>
      </c>
      <c r="L778" s="4" t="s">
        <v>27</v>
      </c>
      <c r="M778" s="4" t="s">
        <v>50</v>
      </c>
      <c r="N778" s="5">
        <v>236581355</v>
      </c>
      <c r="O778" s="2" t="s">
        <v>1141</v>
      </c>
      <c r="P778" s="2" t="s">
        <v>52</v>
      </c>
      <c r="Q778" s="4" t="s">
        <v>1142</v>
      </c>
    </row>
    <row r="779" spans="1:17" hidden="1" x14ac:dyDescent="0.2">
      <c r="A779" s="2" t="s">
        <v>1674</v>
      </c>
      <c r="B779" s="2" t="s">
        <v>33</v>
      </c>
      <c r="C779" s="2" t="s">
        <v>186</v>
      </c>
      <c r="D779" s="2" t="s">
        <v>20</v>
      </c>
      <c r="E779" s="3">
        <v>98023</v>
      </c>
      <c r="F779" s="4" t="s">
        <v>42</v>
      </c>
      <c r="G779" s="2" t="s">
        <v>1177</v>
      </c>
      <c r="H779" s="2" t="s">
        <v>1628</v>
      </c>
      <c r="I779" s="2" t="s">
        <v>212</v>
      </c>
      <c r="J779" s="2" t="s">
        <v>298</v>
      </c>
      <c r="K779" s="4" t="s">
        <v>27</v>
      </c>
      <c r="L779" s="4" t="s">
        <v>27</v>
      </c>
      <c r="M779" s="4" t="s">
        <v>187</v>
      </c>
      <c r="N779" s="5">
        <v>280422285</v>
      </c>
      <c r="O779" s="2" t="s">
        <v>188</v>
      </c>
      <c r="P779" s="2" t="s">
        <v>37</v>
      </c>
      <c r="Q779" s="4" t="s">
        <v>1675</v>
      </c>
    </row>
    <row r="780" spans="1:17" hidden="1" x14ac:dyDescent="0.2">
      <c r="A780" s="2" t="s">
        <v>1674</v>
      </c>
      <c r="B780" s="2" t="s">
        <v>33</v>
      </c>
      <c r="C780" s="2" t="s">
        <v>139</v>
      </c>
      <c r="D780" s="2" t="s">
        <v>20</v>
      </c>
      <c r="E780" s="3">
        <v>98056</v>
      </c>
      <c r="F780" s="4" t="s">
        <v>42</v>
      </c>
      <c r="G780" s="2" t="s">
        <v>1177</v>
      </c>
      <c r="H780" s="2" t="s">
        <v>1628</v>
      </c>
      <c r="I780" s="2" t="s">
        <v>212</v>
      </c>
      <c r="J780" s="2" t="s">
        <v>298</v>
      </c>
      <c r="K780" s="4" t="s">
        <v>27</v>
      </c>
      <c r="L780" s="4" t="s">
        <v>27</v>
      </c>
      <c r="M780" s="4" t="s">
        <v>403</v>
      </c>
      <c r="N780" s="5">
        <v>179341802</v>
      </c>
      <c r="O780" s="2" t="s">
        <v>593</v>
      </c>
      <c r="P780" s="2" t="s">
        <v>37</v>
      </c>
      <c r="Q780" s="4" t="s">
        <v>1614</v>
      </c>
    </row>
    <row r="781" spans="1:17" hidden="1" x14ac:dyDescent="0.2">
      <c r="A781" s="2" t="s">
        <v>1674</v>
      </c>
      <c r="B781" s="2" t="s">
        <v>55</v>
      </c>
      <c r="C781" s="2" t="s">
        <v>63</v>
      </c>
      <c r="D781" s="2" t="s">
        <v>20</v>
      </c>
      <c r="E781" s="3">
        <v>98686</v>
      </c>
      <c r="F781" s="4" t="s">
        <v>42</v>
      </c>
      <c r="G781" s="2" t="s">
        <v>1177</v>
      </c>
      <c r="H781" s="2" t="s">
        <v>1628</v>
      </c>
      <c r="I781" s="2" t="s">
        <v>212</v>
      </c>
      <c r="J781" s="2" t="s">
        <v>298</v>
      </c>
      <c r="K781" s="4" t="s">
        <v>27</v>
      </c>
      <c r="L781" s="4" t="s">
        <v>27</v>
      </c>
      <c r="M781" s="4" t="s">
        <v>64</v>
      </c>
      <c r="N781" s="5">
        <v>180503123</v>
      </c>
      <c r="O781" s="2" t="s">
        <v>1145</v>
      </c>
      <c r="P781" s="2" t="s">
        <v>60</v>
      </c>
      <c r="Q781" s="4" t="s">
        <v>1146</v>
      </c>
    </row>
    <row r="782" spans="1:17" hidden="1" x14ac:dyDescent="0.2">
      <c r="A782" s="2" t="s">
        <v>1674</v>
      </c>
      <c r="B782" s="2" t="s">
        <v>33</v>
      </c>
      <c r="C782" s="2" t="s">
        <v>83</v>
      </c>
      <c r="D782" s="2" t="s">
        <v>20</v>
      </c>
      <c r="E782" s="3">
        <v>98115</v>
      </c>
      <c r="F782" s="4" t="s">
        <v>42</v>
      </c>
      <c r="G782" s="2" t="s">
        <v>1177</v>
      </c>
      <c r="H782" s="2" t="s">
        <v>1628</v>
      </c>
      <c r="I782" s="2" t="s">
        <v>212</v>
      </c>
      <c r="J782" s="2" t="s">
        <v>298</v>
      </c>
      <c r="K782" s="4" t="s">
        <v>27</v>
      </c>
      <c r="L782" s="4" t="s">
        <v>27</v>
      </c>
      <c r="M782" s="4" t="s">
        <v>278</v>
      </c>
      <c r="N782" s="5">
        <v>142050324</v>
      </c>
      <c r="O782" s="2" t="s">
        <v>828</v>
      </c>
      <c r="P782" s="2" t="s">
        <v>86</v>
      </c>
      <c r="Q782" s="4" t="s">
        <v>1676</v>
      </c>
    </row>
    <row r="783" spans="1:17" hidden="1" x14ac:dyDescent="0.2">
      <c r="A783" s="2" t="s">
        <v>1677</v>
      </c>
      <c r="B783" s="2" t="s">
        <v>40</v>
      </c>
      <c r="C783" s="2" t="s">
        <v>268</v>
      </c>
      <c r="D783" s="2" t="s">
        <v>20</v>
      </c>
      <c r="E783" s="3">
        <v>98026</v>
      </c>
      <c r="F783" s="4" t="s">
        <v>401</v>
      </c>
      <c r="G783" s="2" t="s">
        <v>1177</v>
      </c>
      <c r="H783" s="2" t="s">
        <v>1628</v>
      </c>
      <c r="I783" s="2" t="s">
        <v>212</v>
      </c>
      <c r="J783" s="2" t="s">
        <v>213</v>
      </c>
      <c r="K783" s="4" t="s">
        <v>1642</v>
      </c>
      <c r="L783" s="4" t="s">
        <v>27</v>
      </c>
      <c r="M783" s="4" t="s">
        <v>26</v>
      </c>
      <c r="N783" s="5">
        <v>110978696</v>
      </c>
      <c r="O783" s="2" t="s">
        <v>640</v>
      </c>
      <c r="P783" s="2" t="s">
        <v>30</v>
      </c>
      <c r="Q783" s="4" t="s">
        <v>1678</v>
      </c>
    </row>
    <row r="784" spans="1:17" hidden="1" x14ac:dyDescent="0.2">
      <c r="A784" s="2" t="s">
        <v>1677</v>
      </c>
      <c r="B784" s="2" t="s">
        <v>110</v>
      </c>
      <c r="C784" s="2" t="s">
        <v>634</v>
      </c>
      <c r="D784" s="2" t="s">
        <v>20</v>
      </c>
      <c r="E784" s="3">
        <v>98332</v>
      </c>
      <c r="F784" s="4" t="s">
        <v>401</v>
      </c>
      <c r="G784" s="2" t="s">
        <v>1177</v>
      </c>
      <c r="H784" s="2" t="s">
        <v>1628</v>
      </c>
      <c r="I784" s="2" t="s">
        <v>212</v>
      </c>
      <c r="J784" s="2" t="s">
        <v>213</v>
      </c>
      <c r="K784" s="4" t="s">
        <v>1642</v>
      </c>
      <c r="L784" s="4" t="s">
        <v>27</v>
      </c>
      <c r="M784" s="4" t="s">
        <v>101</v>
      </c>
      <c r="N784" s="5">
        <v>117820888</v>
      </c>
      <c r="O784" s="2" t="s">
        <v>1420</v>
      </c>
      <c r="P784" s="2" t="s">
        <v>310</v>
      </c>
      <c r="Q784" s="4" t="s">
        <v>1679</v>
      </c>
    </row>
    <row r="785" spans="1:17" hidden="1" x14ac:dyDescent="0.2">
      <c r="A785" s="2" t="s">
        <v>1680</v>
      </c>
      <c r="B785" s="2" t="s">
        <v>40</v>
      </c>
      <c r="C785" s="2" t="s">
        <v>40</v>
      </c>
      <c r="D785" s="2" t="s">
        <v>20</v>
      </c>
      <c r="E785" s="3">
        <v>98290</v>
      </c>
      <c r="F785" s="4" t="s">
        <v>401</v>
      </c>
      <c r="G785" s="2" t="s">
        <v>1177</v>
      </c>
      <c r="H785" s="2" t="s">
        <v>1628</v>
      </c>
      <c r="I785" s="2" t="s">
        <v>212</v>
      </c>
      <c r="J785" s="2" t="s">
        <v>213</v>
      </c>
      <c r="K785" s="4" t="s">
        <v>1642</v>
      </c>
      <c r="L785" s="4" t="s">
        <v>27</v>
      </c>
      <c r="M785" s="4" t="s">
        <v>116</v>
      </c>
      <c r="N785" s="5">
        <v>262259161</v>
      </c>
      <c r="O785" s="2" t="s">
        <v>117</v>
      </c>
      <c r="P785" s="2" t="s">
        <v>30</v>
      </c>
      <c r="Q785" s="4" t="s">
        <v>288</v>
      </c>
    </row>
    <row r="786" spans="1:17" hidden="1" x14ac:dyDescent="0.2">
      <c r="A786" s="2" t="s">
        <v>1681</v>
      </c>
      <c r="B786" s="2" t="s">
        <v>33</v>
      </c>
      <c r="C786" s="2" t="s">
        <v>169</v>
      </c>
      <c r="D786" s="2" t="s">
        <v>20</v>
      </c>
      <c r="E786" s="3">
        <v>98033</v>
      </c>
      <c r="F786" s="4" t="s">
        <v>42</v>
      </c>
      <c r="G786" s="2" t="s">
        <v>1177</v>
      </c>
      <c r="H786" s="2" t="s">
        <v>1628</v>
      </c>
      <c r="I786" s="2" t="s">
        <v>212</v>
      </c>
      <c r="J786" s="2" t="s">
        <v>298</v>
      </c>
      <c r="K786" s="4" t="s">
        <v>27</v>
      </c>
      <c r="L786" s="4" t="s">
        <v>27</v>
      </c>
      <c r="M786" s="4" t="s">
        <v>147</v>
      </c>
      <c r="N786" s="5">
        <v>180706543</v>
      </c>
      <c r="O786" s="2" t="s">
        <v>204</v>
      </c>
      <c r="P786" s="2" t="s">
        <v>37</v>
      </c>
      <c r="Q786" s="4" t="s">
        <v>1682</v>
      </c>
    </row>
    <row r="787" spans="1:17" hidden="1" x14ac:dyDescent="0.2">
      <c r="A787" s="2" t="s">
        <v>1681</v>
      </c>
      <c r="B787" s="2" t="s">
        <v>55</v>
      </c>
      <c r="C787" s="2" t="s">
        <v>282</v>
      </c>
      <c r="D787" s="2" t="s">
        <v>20</v>
      </c>
      <c r="E787" s="3">
        <v>98671</v>
      </c>
      <c r="F787" s="4" t="s">
        <v>42</v>
      </c>
      <c r="G787" s="2" t="s">
        <v>1177</v>
      </c>
      <c r="H787" s="2" t="s">
        <v>1628</v>
      </c>
      <c r="I787" s="2" t="s">
        <v>212</v>
      </c>
      <c r="J787" s="2" t="s">
        <v>298</v>
      </c>
      <c r="K787" s="4" t="s">
        <v>27</v>
      </c>
      <c r="L787" s="4" t="s">
        <v>27</v>
      </c>
      <c r="M787" s="4" t="s">
        <v>58</v>
      </c>
      <c r="N787" s="5">
        <v>264809590</v>
      </c>
      <c r="O787" s="2" t="s">
        <v>285</v>
      </c>
      <c r="P787" s="2" t="s">
        <v>60</v>
      </c>
      <c r="Q787" s="4" t="s">
        <v>61</v>
      </c>
    </row>
    <row r="788" spans="1:17" hidden="1" x14ac:dyDescent="0.2">
      <c r="A788" s="2" t="s">
        <v>1681</v>
      </c>
      <c r="B788" s="2" t="s">
        <v>33</v>
      </c>
      <c r="C788" s="2" t="s">
        <v>169</v>
      </c>
      <c r="D788" s="2" t="s">
        <v>20</v>
      </c>
      <c r="E788" s="3">
        <v>98034</v>
      </c>
      <c r="F788" s="4" t="s">
        <v>42</v>
      </c>
      <c r="G788" s="2" t="s">
        <v>1177</v>
      </c>
      <c r="H788" s="2" t="s">
        <v>1628</v>
      </c>
      <c r="I788" s="2" t="s">
        <v>212</v>
      </c>
      <c r="J788" s="2" t="s">
        <v>298</v>
      </c>
      <c r="K788" s="4" t="s">
        <v>27</v>
      </c>
      <c r="L788" s="4" t="s">
        <v>27</v>
      </c>
      <c r="M788" s="4" t="s">
        <v>170</v>
      </c>
      <c r="N788" s="5">
        <v>132358082</v>
      </c>
      <c r="O788" s="2" t="s">
        <v>171</v>
      </c>
      <c r="P788" s="2" t="s">
        <v>37</v>
      </c>
      <c r="Q788" s="4" t="s">
        <v>172</v>
      </c>
    </row>
    <row r="789" spans="1:17" hidden="1" x14ac:dyDescent="0.2">
      <c r="A789" s="2" t="s">
        <v>1683</v>
      </c>
      <c r="B789" s="2" t="s">
        <v>40</v>
      </c>
      <c r="C789" s="2" t="s">
        <v>89</v>
      </c>
      <c r="D789" s="2" t="s">
        <v>20</v>
      </c>
      <c r="E789" s="3">
        <v>98012</v>
      </c>
      <c r="F789" s="4" t="s">
        <v>401</v>
      </c>
      <c r="G789" s="2" t="s">
        <v>1177</v>
      </c>
      <c r="H789" s="2" t="s">
        <v>1628</v>
      </c>
      <c r="I789" s="2" t="s">
        <v>212</v>
      </c>
      <c r="J789" s="2" t="s">
        <v>213</v>
      </c>
      <c r="K789" s="4" t="s">
        <v>1642</v>
      </c>
      <c r="L789" s="4" t="s">
        <v>27</v>
      </c>
      <c r="M789" s="4" t="s">
        <v>170</v>
      </c>
      <c r="N789" s="5">
        <v>122587244</v>
      </c>
      <c r="O789" s="2" t="s">
        <v>91</v>
      </c>
      <c r="P789" s="2" t="s">
        <v>30</v>
      </c>
      <c r="Q789" s="4" t="s">
        <v>811</v>
      </c>
    </row>
    <row r="790" spans="1:17" hidden="1" x14ac:dyDescent="0.2">
      <c r="A790" s="2" t="s">
        <v>1684</v>
      </c>
      <c r="B790" s="2" t="s">
        <v>40</v>
      </c>
      <c r="C790" s="2" t="s">
        <v>73</v>
      </c>
      <c r="D790" s="2" t="s">
        <v>20</v>
      </c>
      <c r="E790" s="3">
        <v>98036</v>
      </c>
      <c r="F790" s="4" t="s">
        <v>401</v>
      </c>
      <c r="G790" s="2" t="s">
        <v>1177</v>
      </c>
      <c r="H790" s="2" t="s">
        <v>1628</v>
      </c>
      <c r="I790" s="2" t="s">
        <v>212</v>
      </c>
      <c r="J790" s="2" t="s">
        <v>213</v>
      </c>
      <c r="K790" s="4" t="s">
        <v>1642</v>
      </c>
      <c r="L790" s="4" t="s">
        <v>27</v>
      </c>
      <c r="M790" s="4" t="s">
        <v>74</v>
      </c>
      <c r="N790" s="5">
        <v>109601292</v>
      </c>
      <c r="O790" s="2" t="s">
        <v>75</v>
      </c>
      <c r="P790" s="2" t="s">
        <v>30</v>
      </c>
      <c r="Q790" s="4" t="s">
        <v>1685</v>
      </c>
    </row>
    <row r="791" spans="1:17" hidden="1" x14ac:dyDescent="0.2">
      <c r="A791" s="2" t="s">
        <v>1684</v>
      </c>
      <c r="B791" s="2" t="s">
        <v>18</v>
      </c>
      <c r="C791" s="2" t="s">
        <v>100</v>
      </c>
      <c r="D791" s="2" t="s">
        <v>20</v>
      </c>
      <c r="E791" s="3">
        <v>98367</v>
      </c>
      <c r="F791" s="4" t="s">
        <v>401</v>
      </c>
      <c r="G791" s="2" t="s">
        <v>1177</v>
      </c>
      <c r="H791" s="2" t="s">
        <v>1628</v>
      </c>
      <c r="I791" s="2" t="s">
        <v>212</v>
      </c>
      <c r="J791" s="2" t="s">
        <v>213</v>
      </c>
      <c r="K791" s="4" t="s">
        <v>1642</v>
      </c>
      <c r="L791" s="4" t="s">
        <v>27</v>
      </c>
      <c r="M791" s="4" t="s">
        <v>255</v>
      </c>
      <c r="N791" s="5">
        <v>269322882</v>
      </c>
      <c r="O791" s="2" t="s">
        <v>259</v>
      </c>
      <c r="P791" s="2" t="s">
        <v>30</v>
      </c>
      <c r="Q791" s="4" t="s">
        <v>1452</v>
      </c>
    </row>
    <row r="792" spans="1:17" hidden="1" x14ac:dyDescent="0.2">
      <c r="A792" s="2" t="s">
        <v>1686</v>
      </c>
      <c r="B792" s="2" t="s">
        <v>33</v>
      </c>
      <c r="C792" s="2" t="s">
        <v>139</v>
      </c>
      <c r="D792" s="2" t="s">
        <v>20</v>
      </c>
      <c r="E792" s="3">
        <v>98055</v>
      </c>
      <c r="F792" s="4" t="s">
        <v>42</v>
      </c>
      <c r="G792" s="2" t="s">
        <v>1177</v>
      </c>
      <c r="H792" s="2" t="s">
        <v>1628</v>
      </c>
      <c r="I792" s="2" t="s">
        <v>212</v>
      </c>
      <c r="J792" s="2" t="s">
        <v>298</v>
      </c>
      <c r="K792" s="4" t="s">
        <v>27</v>
      </c>
      <c r="L792" s="4" t="s">
        <v>27</v>
      </c>
      <c r="M792" s="4" t="s">
        <v>140</v>
      </c>
      <c r="N792" s="5">
        <v>267762862</v>
      </c>
      <c r="O792" s="2" t="s">
        <v>889</v>
      </c>
      <c r="P792" s="2" t="s">
        <v>37</v>
      </c>
      <c r="Q792" s="4" t="s">
        <v>890</v>
      </c>
    </row>
    <row r="793" spans="1:17" hidden="1" x14ac:dyDescent="0.2">
      <c r="A793" s="2" t="s">
        <v>1687</v>
      </c>
      <c r="B793" s="2" t="s">
        <v>151</v>
      </c>
      <c r="C793" s="2" t="s">
        <v>152</v>
      </c>
      <c r="D793" s="2" t="s">
        <v>20</v>
      </c>
      <c r="E793" s="3">
        <v>98506</v>
      </c>
      <c r="F793" s="4" t="s">
        <v>42</v>
      </c>
      <c r="G793" s="2" t="s">
        <v>1177</v>
      </c>
      <c r="H793" s="2" t="s">
        <v>1628</v>
      </c>
      <c r="I793" s="2" t="s">
        <v>212</v>
      </c>
      <c r="J793" s="2" t="s">
        <v>298</v>
      </c>
      <c r="K793" s="4" t="s">
        <v>27</v>
      </c>
      <c r="L793" s="4" t="s">
        <v>27</v>
      </c>
      <c r="M793" s="4" t="s">
        <v>90</v>
      </c>
      <c r="N793" s="5">
        <v>166430981</v>
      </c>
      <c r="O793" s="2" t="s">
        <v>487</v>
      </c>
      <c r="P793" s="2" t="s">
        <v>30</v>
      </c>
      <c r="Q793" s="4" t="s">
        <v>913</v>
      </c>
    </row>
    <row r="794" spans="1:17" hidden="1" x14ac:dyDescent="0.2">
      <c r="A794" s="2" t="s">
        <v>1688</v>
      </c>
      <c r="B794" s="2" t="s">
        <v>40</v>
      </c>
      <c r="C794" s="2" t="s">
        <v>89</v>
      </c>
      <c r="D794" s="2" t="s">
        <v>20</v>
      </c>
      <c r="E794" s="3">
        <v>98021</v>
      </c>
      <c r="F794" s="4" t="s">
        <v>401</v>
      </c>
      <c r="G794" s="2" t="s">
        <v>1177</v>
      </c>
      <c r="H794" s="2" t="s">
        <v>1628</v>
      </c>
      <c r="I794" s="2" t="s">
        <v>212</v>
      </c>
      <c r="J794" s="2" t="s">
        <v>213</v>
      </c>
      <c r="K794" s="4" t="s">
        <v>1642</v>
      </c>
      <c r="L794" s="4" t="s">
        <v>27</v>
      </c>
      <c r="M794" s="4" t="s">
        <v>170</v>
      </c>
      <c r="N794" s="5">
        <v>104577658</v>
      </c>
      <c r="O794" s="2" t="s">
        <v>247</v>
      </c>
      <c r="P794" s="2" t="s">
        <v>30</v>
      </c>
      <c r="Q794" s="4" t="s">
        <v>248</v>
      </c>
    </row>
    <row r="795" spans="1:17" hidden="1" x14ac:dyDescent="0.2">
      <c r="A795" s="2" t="s">
        <v>1689</v>
      </c>
      <c r="B795" s="2" t="s">
        <v>33</v>
      </c>
      <c r="C795" s="2" t="s">
        <v>139</v>
      </c>
      <c r="D795" s="2" t="s">
        <v>20</v>
      </c>
      <c r="E795" s="3">
        <v>98055</v>
      </c>
      <c r="F795" s="4" t="s">
        <v>42</v>
      </c>
      <c r="G795" s="2" t="s">
        <v>1177</v>
      </c>
      <c r="H795" s="2" t="s">
        <v>1628</v>
      </c>
      <c r="I795" s="2" t="s">
        <v>212</v>
      </c>
      <c r="J795" s="2" t="s">
        <v>298</v>
      </c>
      <c r="K795" s="4" t="s">
        <v>27</v>
      </c>
      <c r="L795" s="4" t="s">
        <v>27</v>
      </c>
      <c r="M795" s="4" t="s">
        <v>140</v>
      </c>
      <c r="N795" s="5">
        <v>183011636</v>
      </c>
      <c r="O795" s="2" t="s">
        <v>889</v>
      </c>
      <c r="P795" s="2" t="s">
        <v>37</v>
      </c>
      <c r="Q795" s="4" t="s">
        <v>1690</v>
      </c>
    </row>
    <row r="796" spans="1:17" hidden="1" x14ac:dyDescent="0.2">
      <c r="A796" s="2" t="s">
        <v>1691</v>
      </c>
      <c r="B796" s="2" t="s">
        <v>33</v>
      </c>
      <c r="C796" s="2" t="s">
        <v>68</v>
      </c>
      <c r="D796" s="2" t="s">
        <v>20</v>
      </c>
      <c r="E796" s="3">
        <v>98092</v>
      </c>
      <c r="F796" s="4" t="s">
        <v>401</v>
      </c>
      <c r="G796" s="2" t="s">
        <v>1177</v>
      </c>
      <c r="H796" s="2" t="s">
        <v>1628</v>
      </c>
      <c r="I796" s="2" t="s">
        <v>212</v>
      </c>
      <c r="J796" s="2" t="s">
        <v>213</v>
      </c>
      <c r="K796" s="4" t="s">
        <v>1642</v>
      </c>
      <c r="L796" s="4" t="s">
        <v>27</v>
      </c>
      <c r="M796" s="4" t="s">
        <v>112</v>
      </c>
      <c r="N796" s="5">
        <v>281495217</v>
      </c>
      <c r="O796" s="2" t="s">
        <v>540</v>
      </c>
      <c r="P796" s="2" t="s">
        <v>37</v>
      </c>
      <c r="Q796" s="4" t="s">
        <v>541</v>
      </c>
    </row>
    <row r="797" spans="1:17" x14ac:dyDescent="0.2">
      <c r="A797" s="2" t="s">
        <v>1692</v>
      </c>
      <c r="B797" s="2" t="s">
        <v>40</v>
      </c>
      <c r="C797" s="2" t="s">
        <v>89</v>
      </c>
      <c r="D797" s="2" t="s">
        <v>20</v>
      </c>
      <c r="E797" s="3">
        <v>98012</v>
      </c>
      <c r="F797" s="4" t="s">
        <v>130</v>
      </c>
      <c r="G797" s="2" t="s">
        <v>1066</v>
      </c>
      <c r="H797" s="2" t="s">
        <v>1693</v>
      </c>
      <c r="I797" s="2" t="s">
        <v>24</v>
      </c>
      <c r="J797" s="2" t="s">
        <v>213</v>
      </c>
      <c r="K797" s="4" t="s">
        <v>112</v>
      </c>
      <c r="L797" s="4" t="s">
        <v>27</v>
      </c>
      <c r="M797" s="4" t="s">
        <v>170</v>
      </c>
      <c r="N797" s="5">
        <v>281998678</v>
      </c>
      <c r="O797" s="2" t="s">
        <v>91</v>
      </c>
      <c r="P797" s="2" t="s">
        <v>30</v>
      </c>
      <c r="Q797" s="4" t="s">
        <v>1214</v>
      </c>
    </row>
    <row r="798" spans="1:17" x14ac:dyDescent="0.2">
      <c r="A798" s="2" t="s">
        <v>1694</v>
      </c>
      <c r="B798" s="2" t="s">
        <v>156</v>
      </c>
      <c r="C798" s="2" t="s">
        <v>1514</v>
      </c>
      <c r="D798" s="2" t="s">
        <v>20</v>
      </c>
      <c r="E798" s="3">
        <v>98532</v>
      </c>
      <c r="F798" s="4" t="s">
        <v>121</v>
      </c>
      <c r="G798" s="2" t="s">
        <v>1066</v>
      </c>
      <c r="H798" s="2" t="s">
        <v>1693</v>
      </c>
      <c r="I798" s="2" t="s">
        <v>24</v>
      </c>
      <c r="J798" s="2" t="s">
        <v>213</v>
      </c>
      <c r="K798" s="4" t="s">
        <v>112</v>
      </c>
      <c r="L798" s="4" t="s">
        <v>27</v>
      </c>
      <c r="M798" s="4" t="s">
        <v>79</v>
      </c>
      <c r="N798" s="5">
        <v>274567408</v>
      </c>
      <c r="O798" s="2" t="s">
        <v>1515</v>
      </c>
      <c r="P798" s="2" t="s">
        <v>37</v>
      </c>
      <c r="Q798" s="4" t="s">
        <v>1695</v>
      </c>
    </row>
    <row r="799" spans="1:17" hidden="1" x14ac:dyDescent="0.2">
      <c r="A799" s="2" t="s">
        <v>1696</v>
      </c>
      <c r="B799" s="2" t="s">
        <v>33</v>
      </c>
      <c r="C799" s="2" t="s">
        <v>169</v>
      </c>
      <c r="D799" s="2" t="s">
        <v>20</v>
      </c>
      <c r="E799" s="3">
        <v>98034</v>
      </c>
      <c r="F799" s="4" t="s">
        <v>57</v>
      </c>
      <c r="G799" s="2" t="s">
        <v>1697</v>
      </c>
      <c r="H799" s="2" t="s">
        <v>1698</v>
      </c>
      <c r="I799" s="2" t="s">
        <v>212</v>
      </c>
      <c r="J799" s="2" t="s">
        <v>298</v>
      </c>
      <c r="K799" s="4" t="s">
        <v>27</v>
      </c>
      <c r="L799" s="4" t="s">
        <v>27</v>
      </c>
      <c r="M799" s="4" t="s">
        <v>198</v>
      </c>
      <c r="N799" s="5">
        <v>228260224</v>
      </c>
      <c r="O799" s="2" t="s">
        <v>171</v>
      </c>
      <c r="P799" s="2" t="s">
        <v>37</v>
      </c>
      <c r="Q799" s="4" t="s">
        <v>724</v>
      </c>
    </row>
    <row r="800" spans="1:17" hidden="1" x14ac:dyDescent="0.2">
      <c r="A800" s="2" t="s">
        <v>1699</v>
      </c>
      <c r="B800" s="2" t="s">
        <v>33</v>
      </c>
      <c r="C800" s="2" t="s">
        <v>83</v>
      </c>
      <c r="D800" s="2" t="s">
        <v>20</v>
      </c>
      <c r="E800" s="3">
        <v>98199</v>
      </c>
      <c r="F800" s="4" t="s">
        <v>21</v>
      </c>
      <c r="G800" s="2" t="s">
        <v>1697</v>
      </c>
      <c r="H800" s="2" t="s">
        <v>1698</v>
      </c>
      <c r="I800" s="2" t="s">
        <v>212</v>
      </c>
      <c r="J800" s="2" t="s">
        <v>298</v>
      </c>
      <c r="K800" s="4" t="s">
        <v>27</v>
      </c>
      <c r="L800" s="4" t="s">
        <v>27</v>
      </c>
      <c r="M800" s="4" t="s">
        <v>84</v>
      </c>
      <c r="N800" s="5">
        <v>275357967</v>
      </c>
      <c r="O800" s="2" t="s">
        <v>380</v>
      </c>
      <c r="P800" s="2" t="s">
        <v>86</v>
      </c>
      <c r="Q800" s="4" t="s">
        <v>887</v>
      </c>
    </row>
    <row r="801" spans="1:17" hidden="1" x14ac:dyDescent="0.2">
      <c r="A801" s="2" t="s">
        <v>1700</v>
      </c>
      <c r="B801" s="2" t="s">
        <v>18</v>
      </c>
      <c r="C801" s="2" t="s">
        <v>665</v>
      </c>
      <c r="D801" s="2" t="s">
        <v>20</v>
      </c>
      <c r="E801" s="3">
        <v>98380</v>
      </c>
      <c r="F801" s="4" t="s">
        <v>21</v>
      </c>
      <c r="G801" s="2" t="s">
        <v>1697</v>
      </c>
      <c r="H801" s="2" t="s">
        <v>1698</v>
      </c>
      <c r="I801" s="2" t="s">
        <v>212</v>
      </c>
      <c r="J801" s="2" t="s">
        <v>298</v>
      </c>
      <c r="K801" s="4" t="s">
        <v>27</v>
      </c>
      <c r="L801" s="4" t="s">
        <v>27</v>
      </c>
      <c r="M801" s="4" t="s">
        <v>255</v>
      </c>
      <c r="N801" s="5">
        <v>267014016</v>
      </c>
      <c r="O801" s="2" t="s">
        <v>666</v>
      </c>
      <c r="P801" s="2" t="s">
        <v>30</v>
      </c>
      <c r="Q801" s="4" t="s">
        <v>667</v>
      </c>
    </row>
    <row r="802" spans="1:17" hidden="1" x14ac:dyDescent="0.2">
      <c r="A802" s="2" t="s">
        <v>1701</v>
      </c>
      <c r="B802" s="2" t="s">
        <v>110</v>
      </c>
      <c r="C802" s="2" t="s">
        <v>634</v>
      </c>
      <c r="D802" s="2" t="s">
        <v>20</v>
      </c>
      <c r="E802" s="3">
        <v>98335</v>
      </c>
      <c r="F802" s="4" t="s">
        <v>21</v>
      </c>
      <c r="G802" s="2" t="s">
        <v>1697</v>
      </c>
      <c r="H802" s="2" t="s">
        <v>1698</v>
      </c>
      <c r="I802" s="2" t="s">
        <v>212</v>
      </c>
      <c r="J802" s="2" t="s">
        <v>298</v>
      </c>
      <c r="K802" s="4" t="s">
        <v>27</v>
      </c>
      <c r="L802" s="4" t="s">
        <v>27</v>
      </c>
      <c r="M802" s="4" t="s">
        <v>101</v>
      </c>
      <c r="N802" s="5">
        <v>237963806</v>
      </c>
      <c r="O802" s="2" t="s">
        <v>1087</v>
      </c>
      <c r="P802" s="2" t="s">
        <v>310</v>
      </c>
      <c r="Q802" s="4" t="s">
        <v>1702</v>
      </c>
    </row>
    <row r="803" spans="1:17" hidden="1" x14ac:dyDescent="0.2">
      <c r="A803" s="2" t="s">
        <v>1703</v>
      </c>
      <c r="B803" s="2" t="s">
        <v>48</v>
      </c>
      <c r="C803" s="2" t="s">
        <v>1140</v>
      </c>
      <c r="D803" s="2" t="s">
        <v>20</v>
      </c>
      <c r="E803" s="3">
        <v>98942</v>
      </c>
      <c r="F803" s="4" t="s">
        <v>57</v>
      </c>
      <c r="G803" s="2" t="s">
        <v>1697</v>
      </c>
      <c r="H803" s="2" t="s">
        <v>1698</v>
      </c>
      <c r="I803" s="2" t="s">
        <v>212</v>
      </c>
      <c r="J803" s="2" t="s">
        <v>298</v>
      </c>
      <c r="K803" s="4" t="s">
        <v>27</v>
      </c>
      <c r="L803" s="4" t="s">
        <v>27</v>
      </c>
      <c r="M803" s="4" t="s">
        <v>264</v>
      </c>
      <c r="N803" s="5">
        <v>209239264</v>
      </c>
      <c r="O803" s="2" t="s">
        <v>1141</v>
      </c>
      <c r="P803" s="2" t="s">
        <v>52</v>
      </c>
      <c r="Q803" s="4" t="s">
        <v>1704</v>
      </c>
    </row>
    <row r="804" spans="1:17" hidden="1" x14ac:dyDescent="0.2">
      <c r="A804" s="2" t="s">
        <v>1705</v>
      </c>
      <c r="B804" s="2" t="s">
        <v>331</v>
      </c>
      <c r="C804" s="2" t="s">
        <v>331</v>
      </c>
      <c r="D804" s="2" t="s">
        <v>20</v>
      </c>
      <c r="E804" s="3">
        <v>99204</v>
      </c>
      <c r="F804" s="4" t="s">
        <v>21</v>
      </c>
      <c r="G804" s="2" t="s">
        <v>1697</v>
      </c>
      <c r="H804" s="2" t="s">
        <v>1698</v>
      </c>
      <c r="I804" s="2" t="s">
        <v>212</v>
      </c>
      <c r="J804" s="2" t="s">
        <v>298</v>
      </c>
      <c r="K804" s="4" t="s">
        <v>27</v>
      </c>
      <c r="L804" s="4" t="s">
        <v>27</v>
      </c>
      <c r="M804" s="4" t="s">
        <v>391</v>
      </c>
      <c r="N804" s="5">
        <v>239885509</v>
      </c>
      <c r="O804" s="2" t="s">
        <v>1706</v>
      </c>
      <c r="P804" s="2" t="s">
        <v>393</v>
      </c>
      <c r="Q804" s="4" t="s">
        <v>394</v>
      </c>
    </row>
    <row r="805" spans="1:17" hidden="1" x14ac:dyDescent="0.2">
      <c r="A805" s="2" t="s">
        <v>1707</v>
      </c>
      <c r="B805" s="2" t="s">
        <v>18</v>
      </c>
      <c r="C805" s="2" t="s">
        <v>234</v>
      </c>
      <c r="D805" s="2" t="s">
        <v>20</v>
      </c>
      <c r="E805" s="3">
        <v>98110</v>
      </c>
      <c r="F805" s="4" t="s">
        <v>21</v>
      </c>
      <c r="G805" s="2" t="s">
        <v>1697</v>
      </c>
      <c r="H805" s="2" t="s">
        <v>1698</v>
      </c>
      <c r="I805" s="2" t="s">
        <v>212</v>
      </c>
      <c r="J805" s="2" t="s">
        <v>298</v>
      </c>
      <c r="K805" s="4" t="s">
        <v>27</v>
      </c>
      <c r="L805" s="4" t="s">
        <v>27</v>
      </c>
      <c r="M805" s="4" t="s">
        <v>28</v>
      </c>
      <c r="N805" s="5">
        <v>256278802</v>
      </c>
      <c r="O805" s="2" t="s">
        <v>235</v>
      </c>
      <c r="P805" s="2" t="s">
        <v>30</v>
      </c>
      <c r="Q805" s="4" t="s">
        <v>631</v>
      </c>
    </row>
    <row r="806" spans="1:17" hidden="1" x14ac:dyDescent="0.2">
      <c r="A806" s="2" t="s">
        <v>1708</v>
      </c>
      <c r="B806" s="2" t="s">
        <v>40</v>
      </c>
      <c r="C806" s="2" t="s">
        <v>1385</v>
      </c>
      <c r="D806" s="2" t="s">
        <v>20</v>
      </c>
      <c r="E806" s="3">
        <v>98272</v>
      </c>
      <c r="F806" s="4" t="s">
        <v>130</v>
      </c>
      <c r="G806" s="2" t="s">
        <v>1697</v>
      </c>
      <c r="H806" s="2" t="s">
        <v>1698</v>
      </c>
      <c r="I806" s="2" t="s">
        <v>212</v>
      </c>
      <c r="J806" s="2" t="s">
        <v>298</v>
      </c>
      <c r="K806" s="4" t="s">
        <v>27</v>
      </c>
      <c r="L806" s="4" t="s">
        <v>27</v>
      </c>
      <c r="M806" s="4" t="s">
        <v>44</v>
      </c>
      <c r="N806" s="5">
        <v>279222177</v>
      </c>
      <c r="O806" s="2" t="s">
        <v>1386</v>
      </c>
      <c r="P806" s="2" t="s">
        <v>30</v>
      </c>
      <c r="Q806" s="4" t="s">
        <v>1709</v>
      </c>
    </row>
    <row r="807" spans="1:17" hidden="1" x14ac:dyDescent="0.2">
      <c r="A807" s="2" t="s">
        <v>1710</v>
      </c>
      <c r="B807" s="2" t="s">
        <v>33</v>
      </c>
      <c r="C807" s="2" t="s">
        <v>139</v>
      </c>
      <c r="D807" s="2" t="s">
        <v>20</v>
      </c>
      <c r="E807" s="3">
        <v>98059</v>
      </c>
      <c r="F807" s="4" t="s">
        <v>130</v>
      </c>
      <c r="G807" s="2" t="s">
        <v>1697</v>
      </c>
      <c r="H807" s="2" t="s">
        <v>1698</v>
      </c>
      <c r="I807" s="2" t="s">
        <v>212</v>
      </c>
      <c r="J807" s="2" t="s">
        <v>298</v>
      </c>
      <c r="K807" s="4" t="s">
        <v>27</v>
      </c>
      <c r="L807" s="4" t="s">
        <v>27</v>
      </c>
      <c r="M807" s="4" t="s">
        <v>140</v>
      </c>
      <c r="N807" s="5">
        <v>273802462</v>
      </c>
      <c r="O807" s="2" t="s">
        <v>587</v>
      </c>
      <c r="P807" s="2" t="s">
        <v>37</v>
      </c>
      <c r="Q807" s="4" t="s">
        <v>1711</v>
      </c>
    </row>
    <row r="808" spans="1:17" hidden="1" x14ac:dyDescent="0.2">
      <c r="A808" s="2" t="s">
        <v>1710</v>
      </c>
      <c r="B808" s="2" t="s">
        <v>33</v>
      </c>
      <c r="C808" s="2" t="s">
        <v>83</v>
      </c>
      <c r="D808" s="2" t="s">
        <v>20</v>
      </c>
      <c r="E808" s="3">
        <v>98116</v>
      </c>
      <c r="F808" s="4" t="s">
        <v>130</v>
      </c>
      <c r="G808" s="2" t="s">
        <v>1697</v>
      </c>
      <c r="H808" s="2" t="s">
        <v>1698</v>
      </c>
      <c r="I808" s="2" t="s">
        <v>212</v>
      </c>
      <c r="J808" s="2" t="s">
        <v>298</v>
      </c>
      <c r="K808" s="4" t="s">
        <v>27</v>
      </c>
      <c r="L808" s="4" t="s">
        <v>27</v>
      </c>
      <c r="M808" s="4" t="s">
        <v>319</v>
      </c>
      <c r="N808" s="5">
        <v>282392554</v>
      </c>
      <c r="O808" s="2" t="s">
        <v>1034</v>
      </c>
      <c r="P808" s="2" t="s">
        <v>86</v>
      </c>
      <c r="Q808" s="4" t="s">
        <v>1436</v>
      </c>
    </row>
    <row r="809" spans="1:17" hidden="1" x14ac:dyDescent="0.2">
      <c r="A809" s="2" t="s">
        <v>1712</v>
      </c>
      <c r="B809" s="2" t="s">
        <v>18</v>
      </c>
      <c r="C809" s="2" t="s">
        <v>19</v>
      </c>
      <c r="D809" s="2" t="s">
        <v>20</v>
      </c>
      <c r="E809" s="3">
        <v>98370</v>
      </c>
      <c r="F809" s="4" t="s">
        <v>21</v>
      </c>
      <c r="G809" s="2" t="s">
        <v>1697</v>
      </c>
      <c r="H809" s="2" t="s">
        <v>1698</v>
      </c>
      <c r="I809" s="2" t="s">
        <v>212</v>
      </c>
      <c r="J809" s="2" t="s">
        <v>298</v>
      </c>
      <c r="K809" s="4" t="s">
        <v>27</v>
      </c>
      <c r="L809" s="4" t="s">
        <v>27</v>
      </c>
      <c r="M809" s="4" t="s">
        <v>28</v>
      </c>
      <c r="N809" s="5">
        <v>260254466</v>
      </c>
      <c r="O809" s="2" t="s">
        <v>29</v>
      </c>
      <c r="P809" s="2" t="s">
        <v>30</v>
      </c>
      <c r="Q809" s="4" t="s">
        <v>729</v>
      </c>
    </row>
    <row r="810" spans="1:17" hidden="1" x14ac:dyDescent="0.2">
      <c r="A810" s="2" t="s">
        <v>1712</v>
      </c>
      <c r="B810" s="2" t="s">
        <v>18</v>
      </c>
      <c r="C810" s="2" t="s">
        <v>100</v>
      </c>
      <c r="D810" s="2" t="s">
        <v>20</v>
      </c>
      <c r="E810" s="3">
        <v>98367</v>
      </c>
      <c r="F810" s="4" t="s">
        <v>21</v>
      </c>
      <c r="G810" s="2" t="s">
        <v>1697</v>
      </c>
      <c r="H810" s="2" t="s">
        <v>1698</v>
      </c>
      <c r="I810" s="2" t="s">
        <v>212</v>
      </c>
      <c r="J810" s="2" t="s">
        <v>298</v>
      </c>
      <c r="K810" s="4" t="s">
        <v>27</v>
      </c>
      <c r="L810" s="4" t="s">
        <v>27</v>
      </c>
      <c r="M810" s="4" t="s">
        <v>101</v>
      </c>
      <c r="N810" s="5">
        <v>262439131</v>
      </c>
      <c r="O810" s="2" t="s">
        <v>259</v>
      </c>
      <c r="P810" s="2" t="s">
        <v>30</v>
      </c>
      <c r="Q810" s="4" t="s">
        <v>260</v>
      </c>
    </row>
    <row r="811" spans="1:17" hidden="1" x14ac:dyDescent="0.2">
      <c r="A811" s="2" t="s">
        <v>1713</v>
      </c>
      <c r="B811" s="2" t="s">
        <v>33</v>
      </c>
      <c r="C811" s="2" t="s">
        <v>1589</v>
      </c>
      <c r="D811" s="2" t="s">
        <v>20</v>
      </c>
      <c r="E811" s="3">
        <v>98042</v>
      </c>
      <c r="F811" s="4" t="s">
        <v>130</v>
      </c>
      <c r="G811" s="2" t="s">
        <v>1697</v>
      </c>
      <c r="H811" s="2" t="s">
        <v>1698</v>
      </c>
      <c r="I811" s="2" t="s">
        <v>212</v>
      </c>
      <c r="J811" s="2" t="s">
        <v>298</v>
      </c>
      <c r="K811" s="4" t="s">
        <v>27</v>
      </c>
      <c r="L811" s="4" t="s">
        <v>27</v>
      </c>
      <c r="M811" s="4" t="s">
        <v>69</v>
      </c>
      <c r="N811" s="5">
        <v>278669324</v>
      </c>
      <c r="O811" s="2" t="s">
        <v>1398</v>
      </c>
      <c r="P811" s="2" t="s">
        <v>37</v>
      </c>
      <c r="Q811" s="4" t="s">
        <v>1714</v>
      </c>
    </row>
    <row r="812" spans="1:17" hidden="1" x14ac:dyDescent="0.2">
      <c r="A812" s="2" t="s">
        <v>1715</v>
      </c>
      <c r="B812" s="2" t="s">
        <v>688</v>
      </c>
      <c r="C812" s="2" t="s">
        <v>689</v>
      </c>
      <c r="D812" s="2" t="s">
        <v>20</v>
      </c>
      <c r="E812" s="3">
        <v>98225</v>
      </c>
      <c r="F812" s="4" t="s">
        <v>130</v>
      </c>
      <c r="G812" s="2" t="s">
        <v>1697</v>
      </c>
      <c r="H812" s="2" t="s">
        <v>1698</v>
      </c>
      <c r="I812" s="2" t="s">
        <v>212</v>
      </c>
      <c r="J812" s="2" t="s">
        <v>298</v>
      </c>
      <c r="K812" s="4" t="s">
        <v>27</v>
      </c>
      <c r="L812" s="4" t="s">
        <v>27</v>
      </c>
      <c r="M812" s="4" t="s">
        <v>409</v>
      </c>
      <c r="N812" s="5">
        <v>284903755</v>
      </c>
      <c r="O812" s="2" t="s">
        <v>1716</v>
      </c>
      <c r="P812" s="2" t="s">
        <v>692</v>
      </c>
      <c r="Q812" s="4" t="s">
        <v>1717</v>
      </c>
    </row>
    <row r="813" spans="1:17" hidden="1" x14ac:dyDescent="0.2">
      <c r="A813" s="2" t="s">
        <v>1718</v>
      </c>
      <c r="B813" s="2" t="s">
        <v>33</v>
      </c>
      <c r="C813" s="2" t="s">
        <v>1391</v>
      </c>
      <c r="D813" s="2" t="s">
        <v>20</v>
      </c>
      <c r="E813" s="3">
        <v>98039</v>
      </c>
      <c r="F813" s="4" t="s">
        <v>21</v>
      </c>
      <c r="G813" s="2" t="s">
        <v>1697</v>
      </c>
      <c r="H813" s="2" t="s">
        <v>1698</v>
      </c>
      <c r="I813" s="2" t="s">
        <v>212</v>
      </c>
      <c r="J813" s="2" t="s">
        <v>298</v>
      </c>
      <c r="K813" s="4" t="s">
        <v>27</v>
      </c>
      <c r="L813" s="4" t="s">
        <v>27</v>
      </c>
      <c r="M813" s="4" t="s">
        <v>147</v>
      </c>
      <c r="N813" s="5">
        <v>259350745</v>
      </c>
      <c r="O813" s="2" t="s">
        <v>1392</v>
      </c>
      <c r="P813" s="2" t="s">
        <v>37</v>
      </c>
      <c r="Q813" s="4" t="s">
        <v>1393</v>
      </c>
    </row>
    <row r="814" spans="1:17" hidden="1" x14ac:dyDescent="0.2">
      <c r="A814" s="2" t="s">
        <v>1719</v>
      </c>
      <c r="B814" s="2" t="s">
        <v>18</v>
      </c>
      <c r="C814" s="2" t="s">
        <v>19</v>
      </c>
      <c r="D814" s="2" t="s">
        <v>20</v>
      </c>
      <c r="E814" s="3">
        <v>98370</v>
      </c>
      <c r="F814" s="4" t="s">
        <v>130</v>
      </c>
      <c r="G814" s="2" t="s">
        <v>1697</v>
      </c>
      <c r="H814" s="2" t="s">
        <v>1698</v>
      </c>
      <c r="I814" s="2" t="s">
        <v>212</v>
      </c>
      <c r="J814" s="2" t="s">
        <v>298</v>
      </c>
      <c r="K814" s="4" t="s">
        <v>27</v>
      </c>
      <c r="L814" s="4" t="s">
        <v>27</v>
      </c>
      <c r="M814" s="4" t="s">
        <v>28</v>
      </c>
      <c r="N814" s="5">
        <v>282839574</v>
      </c>
      <c r="O814" s="2" t="s">
        <v>29</v>
      </c>
      <c r="P814" s="2" t="s">
        <v>30</v>
      </c>
      <c r="Q814" s="4" t="s">
        <v>729</v>
      </c>
    </row>
    <row r="815" spans="1:17" hidden="1" x14ac:dyDescent="0.2">
      <c r="A815" s="2" t="s">
        <v>1720</v>
      </c>
      <c r="B815" s="2" t="s">
        <v>33</v>
      </c>
      <c r="C815" s="2" t="s">
        <v>186</v>
      </c>
      <c r="D815" s="2" t="s">
        <v>20</v>
      </c>
      <c r="E815" s="3">
        <v>98023</v>
      </c>
      <c r="F815" s="4" t="s">
        <v>121</v>
      </c>
      <c r="G815" s="2" t="s">
        <v>1697</v>
      </c>
      <c r="H815" s="2" t="s">
        <v>1698</v>
      </c>
      <c r="I815" s="2" t="s">
        <v>212</v>
      </c>
      <c r="J815" s="2" t="s">
        <v>298</v>
      </c>
      <c r="K815" s="4" t="s">
        <v>27</v>
      </c>
      <c r="L815" s="4" t="s">
        <v>27</v>
      </c>
      <c r="M815" s="4" t="s">
        <v>187</v>
      </c>
      <c r="N815" s="5">
        <v>272854151</v>
      </c>
      <c r="O815" s="2" t="s">
        <v>188</v>
      </c>
      <c r="P815" s="2" t="s">
        <v>37</v>
      </c>
      <c r="Q815" s="4" t="s">
        <v>1116</v>
      </c>
    </row>
    <row r="816" spans="1:17" hidden="1" x14ac:dyDescent="0.2">
      <c r="A816" s="2" t="s">
        <v>1721</v>
      </c>
      <c r="B816" s="2" t="s">
        <v>33</v>
      </c>
      <c r="C816" s="2" t="s">
        <v>197</v>
      </c>
      <c r="D816" s="2" t="s">
        <v>20</v>
      </c>
      <c r="E816" s="3">
        <v>98072</v>
      </c>
      <c r="F816" s="4" t="s">
        <v>121</v>
      </c>
      <c r="G816" s="2" t="s">
        <v>1177</v>
      </c>
      <c r="H816" s="2" t="s">
        <v>1722</v>
      </c>
      <c r="I816" s="2" t="s">
        <v>212</v>
      </c>
      <c r="J816" s="2" t="s">
        <v>298</v>
      </c>
      <c r="K816" s="4" t="s">
        <v>27</v>
      </c>
      <c r="L816" s="4" t="s">
        <v>27</v>
      </c>
      <c r="M816" s="4" t="s">
        <v>198</v>
      </c>
      <c r="N816" s="5">
        <v>267407339</v>
      </c>
      <c r="O816" s="2" t="s">
        <v>199</v>
      </c>
      <c r="P816" s="2" t="s">
        <v>37</v>
      </c>
      <c r="Q816" s="4" t="s">
        <v>1723</v>
      </c>
    </row>
    <row r="817" spans="1:17" hidden="1" x14ac:dyDescent="0.2">
      <c r="A817" s="2" t="s">
        <v>1724</v>
      </c>
      <c r="B817" s="2" t="s">
        <v>40</v>
      </c>
      <c r="C817" s="2" t="s">
        <v>73</v>
      </c>
      <c r="D817" s="2" t="s">
        <v>20</v>
      </c>
      <c r="E817" s="3">
        <v>98036</v>
      </c>
      <c r="F817" s="4" t="s">
        <v>121</v>
      </c>
      <c r="G817" s="2" t="s">
        <v>1177</v>
      </c>
      <c r="H817" s="2" t="s">
        <v>1722</v>
      </c>
      <c r="I817" s="2" t="s">
        <v>212</v>
      </c>
      <c r="J817" s="2" t="s">
        <v>298</v>
      </c>
      <c r="K817" s="4" t="s">
        <v>27</v>
      </c>
      <c r="L817" s="4" t="s">
        <v>27</v>
      </c>
      <c r="M817" s="4" t="s">
        <v>170</v>
      </c>
      <c r="N817" s="5">
        <v>271587809</v>
      </c>
      <c r="O817" s="2" t="s">
        <v>75</v>
      </c>
      <c r="P817" s="2" t="s">
        <v>30</v>
      </c>
      <c r="Q817" s="4" t="s">
        <v>1725</v>
      </c>
    </row>
    <row r="818" spans="1:17" hidden="1" x14ac:dyDescent="0.2">
      <c r="A818" s="2" t="s">
        <v>1726</v>
      </c>
      <c r="B818" s="2" t="s">
        <v>110</v>
      </c>
      <c r="C818" s="2" t="s">
        <v>307</v>
      </c>
      <c r="D818" s="2" t="s">
        <v>20</v>
      </c>
      <c r="E818" s="3">
        <v>98404</v>
      </c>
      <c r="F818" s="4" t="s">
        <v>130</v>
      </c>
      <c r="G818" s="2" t="s">
        <v>1177</v>
      </c>
      <c r="H818" s="2" t="s">
        <v>1722</v>
      </c>
      <c r="I818" s="2" t="s">
        <v>212</v>
      </c>
      <c r="J818" s="2" t="s">
        <v>298</v>
      </c>
      <c r="K818" s="4" t="s">
        <v>27</v>
      </c>
      <c r="L818" s="4" t="s">
        <v>27</v>
      </c>
      <c r="M818" s="4" t="s">
        <v>308</v>
      </c>
      <c r="N818" s="5">
        <v>283168308</v>
      </c>
      <c r="O818" s="2" t="s">
        <v>1727</v>
      </c>
      <c r="P818" s="2" t="s">
        <v>310</v>
      </c>
      <c r="Q818" s="4" t="s">
        <v>1728</v>
      </c>
    </row>
    <row r="819" spans="1:17" hidden="1" x14ac:dyDescent="0.2">
      <c r="A819" s="2" t="s">
        <v>1729</v>
      </c>
      <c r="B819" s="2" t="s">
        <v>33</v>
      </c>
      <c r="C819" s="2" t="s">
        <v>1730</v>
      </c>
      <c r="D819" s="2" t="s">
        <v>20</v>
      </c>
      <c r="E819" s="3">
        <v>98001</v>
      </c>
      <c r="F819" s="4" t="s">
        <v>130</v>
      </c>
      <c r="G819" s="2" t="s">
        <v>1177</v>
      </c>
      <c r="H819" s="2" t="s">
        <v>1722</v>
      </c>
      <c r="I819" s="2" t="s">
        <v>212</v>
      </c>
      <c r="J819" s="2" t="s">
        <v>298</v>
      </c>
      <c r="K819" s="4" t="s">
        <v>27</v>
      </c>
      <c r="L819" s="4" t="s">
        <v>27</v>
      </c>
      <c r="M819" s="4" t="s">
        <v>187</v>
      </c>
      <c r="N819" s="5">
        <v>284100036</v>
      </c>
      <c r="O819" s="2" t="s">
        <v>474</v>
      </c>
      <c r="P819" s="2" t="s">
        <v>37</v>
      </c>
      <c r="Q819" s="4" t="s">
        <v>1731</v>
      </c>
    </row>
    <row r="820" spans="1:17" hidden="1" x14ac:dyDescent="0.2">
      <c r="A820" s="2" t="s">
        <v>1732</v>
      </c>
      <c r="B820" s="2" t="s">
        <v>33</v>
      </c>
      <c r="C820" s="2" t="s">
        <v>83</v>
      </c>
      <c r="D820" s="2" t="s">
        <v>20</v>
      </c>
      <c r="E820" s="3">
        <v>98104</v>
      </c>
      <c r="F820" s="4" t="s">
        <v>121</v>
      </c>
      <c r="G820" s="2" t="s">
        <v>1177</v>
      </c>
      <c r="H820" s="2" t="s">
        <v>1722</v>
      </c>
      <c r="I820" s="2" t="s">
        <v>212</v>
      </c>
      <c r="J820" s="2" t="s">
        <v>298</v>
      </c>
      <c r="K820" s="4" t="s">
        <v>27</v>
      </c>
      <c r="L820" s="4" t="s">
        <v>27</v>
      </c>
      <c r="M820" s="4" t="s">
        <v>436</v>
      </c>
      <c r="N820" s="5">
        <v>263300355</v>
      </c>
      <c r="O820" s="2" t="s">
        <v>1224</v>
      </c>
      <c r="P820" s="2" t="s">
        <v>86</v>
      </c>
      <c r="Q820" s="4" t="s">
        <v>1236</v>
      </c>
    </row>
    <row r="821" spans="1:17" hidden="1" x14ac:dyDescent="0.2">
      <c r="A821" s="2" t="s">
        <v>1733</v>
      </c>
      <c r="B821" s="2" t="s">
        <v>55</v>
      </c>
      <c r="C821" s="2" t="s">
        <v>836</v>
      </c>
      <c r="D821" s="2" t="s">
        <v>20</v>
      </c>
      <c r="E821" s="3">
        <v>98604</v>
      </c>
      <c r="F821" s="4" t="s">
        <v>121</v>
      </c>
      <c r="G821" s="2" t="s">
        <v>1177</v>
      </c>
      <c r="H821" s="2" t="s">
        <v>1722</v>
      </c>
      <c r="I821" s="2" t="s">
        <v>212</v>
      </c>
      <c r="J821" s="2" t="s">
        <v>298</v>
      </c>
      <c r="K821" s="4" t="s">
        <v>27</v>
      </c>
      <c r="L821" s="4" t="s">
        <v>27</v>
      </c>
      <c r="M821" s="4" t="s">
        <v>58</v>
      </c>
      <c r="N821" s="5">
        <v>283006069</v>
      </c>
      <c r="O821" s="2" t="s">
        <v>837</v>
      </c>
      <c r="P821" s="2" t="s">
        <v>60</v>
      </c>
      <c r="Q821" s="4" t="s">
        <v>838</v>
      </c>
    </row>
    <row r="822" spans="1:17" hidden="1" x14ac:dyDescent="0.2">
      <c r="A822" s="2" t="s">
        <v>1733</v>
      </c>
      <c r="B822" s="2" t="s">
        <v>33</v>
      </c>
      <c r="C822" s="2" t="s">
        <v>83</v>
      </c>
      <c r="D822" s="2" t="s">
        <v>20</v>
      </c>
      <c r="E822" s="3">
        <v>98144</v>
      </c>
      <c r="F822" s="4" t="s">
        <v>121</v>
      </c>
      <c r="G822" s="2" t="s">
        <v>1177</v>
      </c>
      <c r="H822" s="2" t="s">
        <v>1722</v>
      </c>
      <c r="I822" s="2" t="s">
        <v>212</v>
      </c>
      <c r="J822" s="2" t="s">
        <v>298</v>
      </c>
      <c r="K822" s="4" t="s">
        <v>27</v>
      </c>
      <c r="L822" s="4" t="s">
        <v>27</v>
      </c>
      <c r="M822" s="4" t="s">
        <v>284</v>
      </c>
      <c r="N822" s="5">
        <v>270015315</v>
      </c>
      <c r="O822" s="2" t="s">
        <v>867</v>
      </c>
      <c r="P822" s="2" t="s">
        <v>86</v>
      </c>
      <c r="Q822" s="4" t="s">
        <v>996</v>
      </c>
    </row>
    <row r="823" spans="1:17" hidden="1" x14ac:dyDescent="0.2">
      <c r="A823" s="2" t="s">
        <v>1734</v>
      </c>
      <c r="B823" s="2" t="s">
        <v>506</v>
      </c>
      <c r="C823" s="2" t="s">
        <v>1665</v>
      </c>
      <c r="D823" s="2" t="s">
        <v>20</v>
      </c>
      <c r="E823" s="3">
        <v>98368</v>
      </c>
      <c r="F823" s="4" t="s">
        <v>121</v>
      </c>
      <c r="G823" s="2" t="s">
        <v>1177</v>
      </c>
      <c r="H823" s="2" t="s">
        <v>1722</v>
      </c>
      <c r="I823" s="2" t="s">
        <v>212</v>
      </c>
      <c r="J823" s="2" t="s">
        <v>298</v>
      </c>
      <c r="K823" s="4" t="s">
        <v>27</v>
      </c>
      <c r="L823" s="4" t="s">
        <v>27</v>
      </c>
      <c r="M823" s="4" t="s">
        <v>509</v>
      </c>
      <c r="N823" s="5">
        <v>274260003</v>
      </c>
      <c r="O823" s="2" t="s">
        <v>1666</v>
      </c>
      <c r="P823" s="2" t="s">
        <v>511</v>
      </c>
      <c r="Q823" s="4" t="s">
        <v>1735</v>
      </c>
    </row>
    <row r="824" spans="1:17" hidden="1" x14ac:dyDescent="0.2">
      <c r="A824" s="2" t="s">
        <v>1736</v>
      </c>
      <c r="B824" s="2" t="s">
        <v>48</v>
      </c>
      <c r="C824" s="2" t="s">
        <v>1737</v>
      </c>
      <c r="D824" s="2" t="s">
        <v>20</v>
      </c>
      <c r="E824" s="3">
        <v>98951</v>
      </c>
      <c r="F824" s="4" t="s">
        <v>130</v>
      </c>
      <c r="G824" s="2" t="s">
        <v>1738</v>
      </c>
      <c r="H824" s="2" t="s">
        <v>1739</v>
      </c>
      <c r="I824" s="2" t="s">
        <v>212</v>
      </c>
      <c r="J824" s="2" t="s">
        <v>298</v>
      </c>
      <c r="K824" s="4" t="s">
        <v>27</v>
      </c>
      <c r="L824" s="4" t="s">
        <v>27</v>
      </c>
      <c r="M824" s="4" t="s">
        <v>323</v>
      </c>
      <c r="N824" s="5">
        <v>277350608</v>
      </c>
      <c r="O824" s="2" t="s">
        <v>1740</v>
      </c>
      <c r="P824" s="2" t="s">
        <v>52</v>
      </c>
      <c r="Q824" s="4" t="s">
        <v>1741</v>
      </c>
    </row>
    <row r="825" spans="1:17" x14ac:dyDescent="0.2">
      <c r="A825" s="2" t="s">
        <v>1742</v>
      </c>
      <c r="B825" s="2" t="s">
        <v>18</v>
      </c>
      <c r="C825" s="2" t="s">
        <v>100</v>
      </c>
      <c r="D825" s="2" t="s">
        <v>20</v>
      </c>
      <c r="E825" s="3">
        <v>98367</v>
      </c>
      <c r="F825" s="4" t="s">
        <v>401</v>
      </c>
      <c r="G825" s="2" t="s">
        <v>1738</v>
      </c>
      <c r="H825" s="2" t="s">
        <v>1743</v>
      </c>
      <c r="I825" s="2" t="s">
        <v>24</v>
      </c>
      <c r="J825" s="2" t="s">
        <v>25</v>
      </c>
      <c r="K825" s="4" t="s">
        <v>90</v>
      </c>
      <c r="L825" s="4" t="s">
        <v>27</v>
      </c>
      <c r="M825" s="4" t="s">
        <v>101</v>
      </c>
      <c r="N825" s="5">
        <v>121973022</v>
      </c>
      <c r="O825" s="2" t="s">
        <v>259</v>
      </c>
      <c r="P825" s="2" t="s">
        <v>30</v>
      </c>
      <c r="Q825" s="4" t="s">
        <v>592</v>
      </c>
    </row>
    <row r="826" spans="1:17" x14ac:dyDescent="0.2">
      <c r="A826" s="2" t="s">
        <v>1744</v>
      </c>
      <c r="B826" s="2" t="s">
        <v>110</v>
      </c>
      <c r="C826" s="2" t="s">
        <v>1745</v>
      </c>
      <c r="D826" s="2" t="s">
        <v>20</v>
      </c>
      <c r="E826" s="3">
        <v>98371</v>
      </c>
      <c r="F826" s="4" t="s">
        <v>21</v>
      </c>
      <c r="G826" s="2" t="s">
        <v>1738</v>
      </c>
      <c r="H826" s="2" t="s">
        <v>1743</v>
      </c>
      <c r="I826" s="2" t="s">
        <v>24</v>
      </c>
      <c r="J826" s="2" t="s">
        <v>213</v>
      </c>
      <c r="K826" s="4" t="s">
        <v>403</v>
      </c>
      <c r="L826" s="4" t="s">
        <v>27</v>
      </c>
      <c r="M826" s="4" t="s">
        <v>43</v>
      </c>
      <c r="N826" s="5">
        <v>227126210</v>
      </c>
      <c r="O826" s="2" t="s">
        <v>1746</v>
      </c>
      <c r="P826" s="2" t="s">
        <v>37</v>
      </c>
      <c r="Q826" s="4" t="s">
        <v>1747</v>
      </c>
    </row>
    <row r="827" spans="1:17" hidden="1" x14ac:dyDescent="0.2">
      <c r="A827" s="2" t="s">
        <v>1748</v>
      </c>
      <c r="B827" s="2" t="s">
        <v>33</v>
      </c>
      <c r="C827" s="2" t="s">
        <v>83</v>
      </c>
      <c r="D827" s="2" t="s">
        <v>20</v>
      </c>
      <c r="E827" s="3">
        <v>98112</v>
      </c>
      <c r="F827" s="4" t="s">
        <v>21</v>
      </c>
      <c r="G827" s="2" t="s">
        <v>1697</v>
      </c>
      <c r="H827" s="2" t="s">
        <v>1749</v>
      </c>
      <c r="I827" s="2" t="s">
        <v>212</v>
      </c>
      <c r="J827" s="2" t="s">
        <v>298</v>
      </c>
      <c r="K827" s="4" t="s">
        <v>27</v>
      </c>
      <c r="L827" s="4" t="s">
        <v>27</v>
      </c>
      <c r="M827" s="4" t="s">
        <v>436</v>
      </c>
      <c r="N827" s="5">
        <v>245514048</v>
      </c>
      <c r="O827" s="2" t="s">
        <v>736</v>
      </c>
      <c r="P827" s="2" t="s">
        <v>86</v>
      </c>
      <c r="Q827" s="4" t="s">
        <v>779</v>
      </c>
    </row>
    <row r="828" spans="1:17" hidden="1" x14ac:dyDescent="0.2">
      <c r="A828" s="2" t="s">
        <v>1750</v>
      </c>
      <c r="B828" s="2" t="s">
        <v>48</v>
      </c>
      <c r="C828" s="2" t="s">
        <v>48</v>
      </c>
      <c r="D828" s="2" t="s">
        <v>20</v>
      </c>
      <c r="E828" s="3">
        <v>98908</v>
      </c>
      <c r="F828" s="4" t="s">
        <v>21</v>
      </c>
      <c r="G828" s="2" t="s">
        <v>1697</v>
      </c>
      <c r="H828" s="2" t="s">
        <v>1749</v>
      </c>
      <c r="I828" s="2" t="s">
        <v>212</v>
      </c>
      <c r="J828" s="2" t="s">
        <v>298</v>
      </c>
      <c r="K828" s="4" t="s">
        <v>27</v>
      </c>
      <c r="L828" s="4" t="s">
        <v>27</v>
      </c>
      <c r="M828" s="4" t="s">
        <v>323</v>
      </c>
      <c r="N828" s="5">
        <v>277637818</v>
      </c>
      <c r="O828" s="2" t="s">
        <v>596</v>
      </c>
      <c r="P828" s="2" t="s">
        <v>52</v>
      </c>
      <c r="Q828" s="4" t="s">
        <v>1471</v>
      </c>
    </row>
    <row r="829" spans="1:17" hidden="1" x14ac:dyDescent="0.2">
      <c r="A829" s="2" t="s">
        <v>1751</v>
      </c>
      <c r="B829" s="2" t="s">
        <v>48</v>
      </c>
      <c r="C829" s="2" t="s">
        <v>48</v>
      </c>
      <c r="D829" s="2" t="s">
        <v>20</v>
      </c>
      <c r="E829" s="3">
        <v>98908</v>
      </c>
      <c r="F829" s="4" t="s">
        <v>21</v>
      </c>
      <c r="G829" s="2" t="s">
        <v>1697</v>
      </c>
      <c r="H829" s="2" t="s">
        <v>1749</v>
      </c>
      <c r="I829" s="2" t="s">
        <v>212</v>
      </c>
      <c r="J829" s="2" t="s">
        <v>298</v>
      </c>
      <c r="K829" s="4" t="s">
        <v>27</v>
      </c>
      <c r="L829" s="4" t="s">
        <v>27</v>
      </c>
      <c r="M829" s="4" t="s">
        <v>323</v>
      </c>
      <c r="N829" s="5">
        <v>260269474</v>
      </c>
      <c r="O829" s="2" t="s">
        <v>596</v>
      </c>
      <c r="P829" s="2" t="s">
        <v>52</v>
      </c>
      <c r="Q829" s="4" t="s">
        <v>1752</v>
      </c>
    </row>
    <row r="830" spans="1:17" hidden="1" x14ac:dyDescent="0.2">
      <c r="A830" s="2" t="s">
        <v>1753</v>
      </c>
      <c r="B830" s="2" t="s">
        <v>33</v>
      </c>
      <c r="C830" s="2" t="s">
        <v>451</v>
      </c>
      <c r="D830" s="2" t="s">
        <v>20</v>
      </c>
      <c r="E830" s="3">
        <v>98075</v>
      </c>
      <c r="F830" s="4" t="s">
        <v>21</v>
      </c>
      <c r="G830" s="2" t="s">
        <v>1697</v>
      </c>
      <c r="H830" s="2" t="s">
        <v>1749</v>
      </c>
      <c r="I830" s="2" t="s">
        <v>212</v>
      </c>
      <c r="J830" s="2" t="s">
        <v>298</v>
      </c>
      <c r="K830" s="4" t="s">
        <v>27</v>
      </c>
      <c r="L830" s="4" t="s">
        <v>27</v>
      </c>
      <c r="M830" s="4" t="s">
        <v>403</v>
      </c>
      <c r="N830" s="5">
        <v>258689532</v>
      </c>
      <c r="O830" s="2" t="s">
        <v>452</v>
      </c>
      <c r="P830" s="2" t="s">
        <v>37</v>
      </c>
      <c r="Q830" s="4" t="s">
        <v>892</v>
      </c>
    </row>
    <row r="831" spans="1:17" hidden="1" x14ac:dyDescent="0.2">
      <c r="A831" s="2" t="s">
        <v>1754</v>
      </c>
      <c r="B831" s="2" t="s">
        <v>48</v>
      </c>
      <c r="C831" s="2" t="s">
        <v>1140</v>
      </c>
      <c r="D831" s="2" t="s">
        <v>20</v>
      </c>
      <c r="E831" s="3">
        <v>98942</v>
      </c>
      <c r="F831" s="4" t="s">
        <v>21</v>
      </c>
      <c r="G831" s="2" t="s">
        <v>1697</v>
      </c>
      <c r="H831" s="2" t="s">
        <v>1749</v>
      </c>
      <c r="I831" s="2" t="s">
        <v>212</v>
      </c>
      <c r="J831" s="2" t="s">
        <v>298</v>
      </c>
      <c r="K831" s="4" t="s">
        <v>27</v>
      </c>
      <c r="L831" s="4" t="s">
        <v>27</v>
      </c>
      <c r="M831" s="4" t="s">
        <v>50</v>
      </c>
      <c r="N831" s="5">
        <v>272363724</v>
      </c>
      <c r="O831" s="2" t="s">
        <v>1141</v>
      </c>
      <c r="P831" s="2" t="s">
        <v>52</v>
      </c>
      <c r="Q831" s="4" t="s">
        <v>1755</v>
      </c>
    </row>
    <row r="832" spans="1:17" hidden="1" x14ac:dyDescent="0.2">
      <c r="A832" s="2" t="s">
        <v>1756</v>
      </c>
      <c r="B832" s="2" t="s">
        <v>33</v>
      </c>
      <c r="C832" s="2" t="s">
        <v>83</v>
      </c>
      <c r="D832" s="2" t="s">
        <v>20</v>
      </c>
      <c r="E832" s="3">
        <v>98116</v>
      </c>
      <c r="F832" s="4" t="s">
        <v>21</v>
      </c>
      <c r="G832" s="2" t="s">
        <v>1697</v>
      </c>
      <c r="H832" s="2" t="s">
        <v>1749</v>
      </c>
      <c r="I832" s="2" t="s">
        <v>212</v>
      </c>
      <c r="J832" s="2" t="s">
        <v>298</v>
      </c>
      <c r="K832" s="4" t="s">
        <v>27</v>
      </c>
      <c r="L832" s="4" t="s">
        <v>27</v>
      </c>
      <c r="M832" s="4" t="s">
        <v>319</v>
      </c>
      <c r="N832" s="5">
        <v>244417442</v>
      </c>
      <c r="O832" s="2" t="s">
        <v>1034</v>
      </c>
      <c r="P832" s="2" t="s">
        <v>86</v>
      </c>
      <c r="Q832" s="4" t="s">
        <v>1035</v>
      </c>
    </row>
    <row r="833" spans="1:17" hidden="1" x14ac:dyDescent="0.2">
      <c r="A833" s="2" t="s">
        <v>1757</v>
      </c>
      <c r="B833" s="2" t="s">
        <v>33</v>
      </c>
      <c r="C833" s="2" t="s">
        <v>83</v>
      </c>
      <c r="D833" s="2" t="s">
        <v>20</v>
      </c>
      <c r="E833" s="3">
        <v>98133</v>
      </c>
      <c r="F833" s="4" t="s">
        <v>121</v>
      </c>
      <c r="G833" s="2" t="s">
        <v>1697</v>
      </c>
      <c r="H833" s="2" t="s">
        <v>1749</v>
      </c>
      <c r="I833" s="2" t="s">
        <v>212</v>
      </c>
      <c r="J833" s="2" t="s">
        <v>298</v>
      </c>
      <c r="K833" s="4" t="s">
        <v>27</v>
      </c>
      <c r="L833" s="4" t="s">
        <v>27</v>
      </c>
      <c r="M833" s="4" t="s">
        <v>74</v>
      </c>
      <c r="N833" s="5">
        <v>262340109</v>
      </c>
      <c r="O833" s="2" t="s">
        <v>291</v>
      </c>
      <c r="P833" s="2" t="s">
        <v>86</v>
      </c>
      <c r="Q833" s="4" t="s">
        <v>855</v>
      </c>
    </row>
    <row r="834" spans="1:17" hidden="1" x14ac:dyDescent="0.2">
      <c r="A834" s="2" t="s">
        <v>1758</v>
      </c>
      <c r="B834" s="2" t="s">
        <v>33</v>
      </c>
      <c r="C834" s="2" t="s">
        <v>83</v>
      </c>
      <c r="D834" s="2" t="s">
        <v>20</v>
      </c>
      <c r="E834" s="3">
        <v>98133</v>
      </c>
      <c r="F834" s="4" t="s">
        <v>121</v>
      </c>
      <c r="G834" s="2" t="s">
        <v>1697</v>
      </c>
      <c r="H834" s="2" t="s">
        <v>1749</v>
      </c>
      <c r="I834" s="2" t="s">
        <v>212</v>
      </c>
      <c r="J834" s="2" t="s">
        <v>298</v>
      </c>
      <c r="K834" s="4" t="s">
        <v>27</v>
      </c>
      <c r="L834" s="4" t="s">
        <v>27</v>
      </c>
      <c r="M834" s="4" t="s">
        <v>74</v>
      </c>
      <c r="N834" s="5">
        <v>261521424</v>
      </c>
      <c r="O834" s="2" t="s">
        <v>291</v>
      </c>
      <c r="P834" s="2" t="s">
        <v>86</v>
      </c>
      <c r="Q834" s="4" t="s">
        <v>1276</v>
      </c>
    </row>
    <row r="835" spans="1:17" hidden="1" x14ac:dyDescent="0.2">
      <c r="A835" s="2" t="s">
        <v>1759</v>
      </c>
      <c r="B835" s="2" t="s">
        <v>33</v>
      </c>
      <c r="C835" s="2" t="s">
        <v>83</v>
      </c>
      <c r="D835" s="2" t="s">
        <v>20</v>
      </c>
      <c r="E835" s="3">
        <v>98133</v>
      </c>
      <c r="F835" s="4" t="s">
        <v>130</v>
      </c>
      <c r="G835" s="2" t="s">
        <v>1697</v>
      </c>
      <c r="H835" s="2" t="s">
        <v>1749</v>
      </c>
      <c r="I835" s="2" t="s">
        <v>212</v>
      </c>
      <c r="J835" s="2" t="s">
        <v>298</v>
      </c>
      <c r="K835" s="4" t="s">
        <v>27</v>
      </c>
      <c r="L835" s="4" t="s">
        <v>27</v>
      </c>
      <c r="M835" s="4" t="s">
        <v>74</v>
      </c>
      <c r="N835" s="5">
        <v>282092737</v>
      </c>
      <c r="O835" s="2" t="s">
        <v>291</v>
      </c>
      <c r="P835" s="2" t="s">
        <v>86</v>
      </c>
      <c r="Q835" s="4" t="s">
        <v>1760</v>
      </c>
    </row>
    <row r="836" spans="1:17" hidden="1" x14ac:dyDescent="0.2">
      <c r="A836" s="2" t="s">
        <v>1761</v>
      </c>
      <c r="B836" s="2" t="s">
        <v>33</v>
      </c>
      <c r="C836" s="2" t="s">
        <v>669</v>
      </c>
      <c r="D836" s="2" t="s">
        <v>20</v>
      </c>
      <c r="E836" s="3">
        <v>98052</v>
      </c>
      <c r="F836" s="4" t="s">
        <v>130</v>
      </c>
      <c r="G836" s="2" t="s">
        <v>1697</v>
      </c>
      <c r="H836" s="2" t="s">
        <v>1749</v>
      </c>
      <c r="I836" s="2" t="s">
        <v>212</v>
      </c>
      <c r="J836" s="2" t="s">
        <v>298</v>
      </c>
      <c r="K836" s="4" t="s">
        <v>27</v>
      </c>
      <c r="L836" s="4" t="s">
        <v>27</v>
      </c>
      <c r="M836" s="4" t="s">
        <v>198</v>
      </c>
      <c r="N836" s="5">
        <v>282441085</v>
      </c>
      <c r="O836" s="2" t="s">
        <v>670</v>
      </c>
      <c r="P836" s="2" t="s">
        <v>37</v>
      </c>
      <c r="Q836" s="4" t="s">
        <v>1047</v>
      </c>
    </row>
    <row r="837" spans="1:17" hidden="1" x14ac:dyDescent="0.2">
      <c r="A837" s="2" t="s">
        <v>1762</v>
      </c>
      <c r="B837" s="2" t="s">
        <v>443</v>
      </c>
      <c r="C837" s="2" t="s">
        <v>469</v>
      </c>
      <c r="D837" s="2" t="s">
        <v>20</v>
      </c>
      <c r="E837" s="3">
        <v>98250</v>
      </c>
      <c r="F837" s="4" t="s">
        <v>130</v>
      </c>
      <c r="G837" s="2" t="s">
        <v>1697</v>
      </c>
      <c r="H837" s="2" t="s">
        <v>1749</v>
      </c>
      <c r="I837" s="2" t="s">
        <v>212</v>
      </c>
      <c r="J837" s="2" t="s">
        <v>298</v>
      </c>
      <c r="K837" s="4" t="s">
        <v>27</v>
      </c>
      <c r="L837" s="4" t="s">
        <v>27</v>
      </c>
      <c r="M837" s="4" t="s">
        <v>409</v>
      </c>
      <c r="N837" s="5">
        <v>283236278</v>
      </c>
      <c r="O837" s="2" t="s">
        <v>470</v>
      </c>
      <c r="P837" s="2" t="s">
        <v>446</v>
      </c>
      <c r="Q837" s="4" t="s">
        <v>1763</v>
      </c>
    </row>
    <row r="838" spans="1:17" hidden="1" x14ac:dyDescent="0.2">
      <c r="A838" s="2" t="s">
        <v>1764</v>
      </c>
      <c r="B838" s="2" t="s">
        <v>33</v>
      </c>
      <c r="C838" s="2" t="s">
        <v>146</v>
      </c>
      <c r="D838" s="2" t="s">
        <v>20</v>
      </c>
      <c r="E838" s="3">
        <v>98005</v>
      </c>
      <c r="F838" s="4" t="s">
        <v>121</v>
      </c>
      <c r="G838" s="2" t="s">
        <v>1697</v>
      </c>
      <c r="H838" s="2" t="s">
        <v>1749</v>
      </c>
      <c r="I838" s="2" t="s">
        <v>212</v>
      </c>
      <c r="J838" s="2" t="s">
        <v>298</v>
      </c>
      <c r="K838" s="4" t="s">
        <v>27</v>
      </c>
      <c r="L838" s="4" t="s">
        <v>27</v>
      </c>
      <c r="M838" s="4" t="s">
        <v>147</v>
      </c>
      <c r="N838" s="5">
        <v>265888430</v>
      </c>
      <c r="O838" s="2" t="s">
        <v>448</v>
      </c>
      <c r="P838" s="2" t="s">
        <v>37</v>
      </c>
      <c r="Q838" s="4" t="s">
        <v>195</v>
      </c>
    </row>
    <row r="839" spans="1:17" hidden="1" x14ac:dyDescent="0.2">
      <c r="A839" s="2" t="s">
        <v>1765</v>
      </c>
      <c r="B839" s="2" t="s">
        <v>48</v>
      </c>
      <c r="C839" s="2" t="s">
        <v>1189</v>
      </c>
      <c r="D839" s="2" t="s">
        <v>20</v>
      </c>
      <c r="E839" s="3">
        <v>98936</v>
      </c>
      <c r="F839" s="4" t="s">
        <v>130</v>
      </c>
      <c r="G839" s="2" t="s">
        <v>1697</v>
      </c>
      <c r="H839" s="2" t="s">
        <v>1749</v>
      </c>
      <c r="I839" s="2" t="s">
        <v>212</v>
      </c>
      <c r="J839" s="2" t="s">
        <v>298</v>
      </c>
      <c r="K839" s="4" t="s">
        <v>27</v>
      </c>
      <c r="L839" s="4" t="s">
        <v>27</v>
      </c>
      <c r="M839" s="4" t="s">
        <v>50</v>
      </c>
      <c r="N839" s="5">
        <v>272545192</v>
      </c>
      <c r="O839" s="2" t="s">
        <v>1190</v>
      </c>
      <c r="P839" s="2" t="s">
        <v>52</v>
      </c>
      <c r="Q839" s="4" t="s">
        <v>1191</v>
      </c>
    </row>
    <row r="840" spans="1:17" hidden="1" x14ac:dyDescent="0.2">
      <c r="A840" s="2" t="s">
        <v>1766</v>
      </c>
      <c r="B840" s="2" t="s">
        <v>33</v>
      </c>
      <c r="C840" s="2" t="s">
        <v>451</v>
      </c>
      <c r="D840" s="2" t="s">
        <v>20</v>
      </c>
      <c r="E840" s="3">
        <v>98075</v>
      </c>
      <c r="F840" s="4" t="s">
        <v>121</v>
      </c>
      <c r="G840" s="2" t="s">
        <v>1697</v>
      </c>
      <c r="H840" s="2" t="s">
        <v>1749</v>
      </c>
      <c r="I840" s="2" t="s">
        <v>212</v>
      </c>
      <c r="J840" s="2" t="s">
        <v>298</v>
      </c>
      <c r="K840" s="4" t="s">
        <v>27</v>
      </c>
      <c r="L840" s="4" t="s">
        <v>27</v>
      </c>
      <c r="M840" s="4" t="s">
        <v>403</v>
      </c>
      <c r="N840" s="5">
        <v>264435755</v>
      </c>
      <c r="O840" s="2" t="s">
        <v>452</v>
      </c>
      <c r="P840" s="2" t="s">
        <v>37</v>
      </c>
      <c r="Q840" s="4" t="s">
        <v>453</v>
      </c>
    </row>
    <row r="841" spans="1:17" hidden="1" x14ac:dyDescent="0.2">
      <c r="A841" s="2" t="s">
        <v>1767</v>
      </c>
      <c r="B841" s="2" t="s">
        <v>40</v>
      </c>
      <c r="C841" s="2" t="s">
        <v>73</v>
      </c>
      <c r="D841" s="2" t="s">
        <v>20</v>
      </c>
      <c r="E841" s="3">
        <v>98037</v>
      </c>
      <c r="F841" s="4" t="s">
        <v>130</v>
      </c>
      <c r="G841" s="2" t="s">
        <v>1697</v>
      </c>
      <c r="H841" s="2" t="s">
        <v>1749</v>
      </c>
      <c r="I841" s="2" t="s">
        <v>212</v>
      </c>
      <c r="J841" s="2" t="s">
        <v>298</v>
      </c>
      <c r="K841" s="4" t="s">
        <v>27</v>
      </c>
      <c r="L841" s="4" t="s">
        <v>27</v>
      </c>
      <c r="M841" s="4" t="s">
        <v>26</v>
      </c>
      <c r="N841" s="5">
        <v>280393879</v>
      </c>
      <c r="O841" s="2" t="s">
        <v>1400</v>
      </c>
      <c r="P841" s="2" t="s">
        <v>30</v>
      </c>
      <c r="Q841" s="4" t="s">
        <v>763</v>
      </c>
    </row>
    <row r="842" spans="1:17" hidden="1" x14ac:dyDescent="0.2">
      <c r="A842" s="2" t="s">
        <v>1768</v>
      </c>
      <c r="B842" s="2" t="s">
        <v>33</v>
      </c>
      <c r="C842" s="2" t="s">
        <v>492</v>
      </c>
      <c r="D842" s="2" t="s">
        <v>20</v>
      </c>
      <c r="E842" s="3">
        <v>98065</v>
      </c>
      <c r="F842" s="4" t="s">
        <v>130</v>
      </c>
      <c r="G842" s="2" t="s">
        <v>1697</v>
      </c>
      <c r="H842" s="2" t="s">
        <v>1749</v>
      </c>
      <c r="I842" s="2" t="s">
        <v>212</v>
      </c>
      <c r="J842" s="2" t="s">
        <v>298</v>
      </c>
      <c r="K842" s="4" t="s">
        <v>27</v>
      </c>
      <c r="L842" s="4" t="s">
        <v>27</v>
      </c>
      <c r="M842" s="4" t="s">
        <v>35</v>
      </c>
      <c r="N842" s="5">
        <v>277535037</v>
      </c>
      <c r="O842" s="2" t="s">
        <v>493</v>
      </c>
      <c r="P842" s="2" t="s">
        <v>37</v>
      </c>
      <c r="Q842" s="4" t="s">
        <v>494</v>
      </c>
    </row>
    <row r="843" spans="1:17" hidden="1" x14ac:dyDescent="0.2">
      <c r="A843" s="2" t="s">
        <v>1769</v>
      </c>
      <c r="B843" s="2" t="s">
        <v>33</v>
      </c>
      <c r="C843" s="2" t="s">
        <v>169</v>
      </c>
      <c r="D843" s="2" t="s">
        <v>20</v>
      </c>
      <c r="E843" s="3">
        <v>98033</v>
      </c>
      <c r="F843" s="4" t="s">
        <v>130</v>
      </c>
      <c r="G843" s="2" t="s">
        <v>1697</v>
      </c>
      <c r="H843" s="2" t="s">
        <v>1749</v>
      </c>
      <c r="I843" s="2" t="s">
        <v>212</v>
      </c>
      <c r="J843" s="2" t="s">
        <v>298</v>
      </c>
      <c r="K843" s="4" t="s">
        <v>27</v>
      </c>
      <c r="L843" s="4" t="s">
        <v>27</v>
      </c>
      <c r="M843" s="4" t="s">
        <v>147</v>
      </c>
      <c r="N843" s="5">
        <v>281648391</v>
      </c>
      <c r="O843" s="2" t="s">
        <v>204</v>
      </c>
      <c r="P843" s="2" t="s">
        <v>37</v>
      </c>
      <c r="Q843" s="4" t="s">
        <v>1201</v>
      </c>
    </row>
    <row r="844" spans="1:17" hidden="1" x14ac:dyDescent="0.2">
      <c r="A844" s="2" t="s">
        <v>1770</v>
      </c>
      <c r="B844" s="2" t="s">
        <v>873</v>
      </c>
      <c r="C844" s="2" t="s">
        <v>1581</v>
      </c>
      <c r="D844" s="2" t="s">
        <v>20</v>
      </c>
      <c r="E844" s="3">
        <v>98922</v>
      </c>
      <c r="F844" s="4" t="s">
        <v>130</v>
      </c>
      <c r="G844" s="2" t="s">
        <v>1697</v>
      </c>
      <c r="H844" s="2" t="s">
        <v>1749</v>
      </c>
      <c r="I844" s="2" t="s">
        <v>212</v>
      </c>
      <c r="J844" s="2" t="s">
        <v>298</v>
      </c>
      <c r="K844" s="4" t="s">
        <v>27</v>
      </c>
      <c r="L844" s="4" t="s">
        <v>27</v>
      </c>
      <c r="M844" s="4" t="s">
        <v>264</v>
      </c>
      <c r="N844" s="5">
        <v>281697181</v>
      </c>
      <c r="O844" s="2" t="s">
        <v>1582</v>
      </c>
      <c r="P844" s="2" t="s">
        <v>30</v>
      </c>
      <c r="Q844" s="4" t="s">
        <v>1771</v>
      </c>
    </row>
    <row r="845" spans="1:17" hidden="1" x14ac:dyDescent="0.2">
      <c r="A845" s="2" t="s">
        <v>1772</v>
      </c>
      <c r="B845" s="2" t="s">
        <v>33</v>
      </c>
      <c r="C845" s="2" t="s">
        <v>83</v>
      </c>
      <c r="D845" s="2" t="s">
        <v>20</v>
      </c>
      <c r="E845" s="3">
        <v>98122</v>
      </c>
      <c r="F845" s="4" t="s">
        <v>130</v>
      </c>
      <c r="G845" s="2" t="s">
        <v>1697</v>
      </c>
      <c r="H845" s="2" t="s">
        <v>1749</v>
      </c>
      <c r="I845" s="2" t="s">
        <v>212</v>
      </c>
      <c r="J845" s="2" t="s">
        <v>298</v>
      </c>
      <c r="K845" s="4" t="s">
        <v>27</v>
      </c>
      <c r="L845" s="4" t="s">
        <v>27</v>
      </c>
      <c r="M845" s="4" t="s">
        <v>284</v>
      </c>
      <c r="N845" s="5">
        <v>276980042</v>
      </c>
      <c r="O845" s="2" t="s">
        <v>558</v>
      </c>
      <c r="P845" s="2" t="s">
        <v>86</v>
      </c>
      <c r="Q845" s="4" t="s">
        <v>1773</v>
      </c>
    </row>
    <row r="846" spans="1:17" hidden="1" x14ac:dyDescent="0.2">
      <c r="A846" s="2" t="s">
        <v>1774</v>
      </c>
      <c r="B846" s="2" t="s">
        <v>33</v>
      </c>
      <c r="C846" s="2" t="s">
        <v>83</v>
      </c>
      <c r="D846" s="2" t="s">
        <v>20</v>
      </c>
      <c r="E846" s="3">
        <v>98146</v>
      </c>
      <c r="F846" s="4" t="s">
        <v>130</v>
      </c>
      <c r="G846" s="2" t="s">
        <v>1697</v>
      </c>
      <c r="H846" s="2" t="s">
        <v>1749</v>
      </c>
      <c r="I846" s="2" t="s">
        <v>212</v>
      </c>
      <c r="J846" s="2" t="s">
        <v>298</v>
      </c>
      <c r="K846" s="4" t="s">
        <v>27</v>
      </c>
      <c r="L846" s="4" t="s">
        <v>27</v>
      </c>
      <c r="M846" s="4" t="s">
        <v>319</v>
      </c>
      <c r="N846" s="5">
        <v>274397896</v>
      </c>
      <c r="O846" s="2" t="s">
        <v>543</v>
      </c>
      <c r="P846" s="2" t="s">
        <v>86</v>
      </c>
      <c r="Q846" s="4" t="s">
        <v>544</v>
      </c>
    </row>
    <row r="847" spans="1:17" hidden="1" x14ac:dyDescent="0.2">
      <c r="A847" s="2" t="s">
        <v>1775</v>
      </c>
      <c r="B847" s="2" t="s">
        <v>33</v>
      </c>
      <c r="C847" s="2" t="s">
        <v>83</v>
      </c>
      <c r="D847" s="2" t="s">
        <v>20</v>
      </c>
      <c r="E847" s="3">
        <v>98125</v>
      </c>
      <c r="F847" s="4" t="s">
        <v>21</v>
      </c>
      <c r="G847" s="2" t="s">
        <v>1177</v>
      </c>
      <c r="H847" s="2" t="s">
        <v>1594</v>
      </c>
      <c r="I847" s="2" t="s">
        <v>212</v>
      </c>
      <c r="J847" s="2" t="s">
        <v>298</v>
      </c>
      <c r="K847" s="4" t="s">
        <v>27</v>
      </c>
      <c r="L847" s="4" t="s">
        <v>27</v>
      </c>
      <c r="M847" s="4" t="s">
        <v>278</v>
      </c>
      <c r="N847" s="5">
        <v>258057957</v>
      </c>
      <c r="O847" s="2" t="s">
        <v>279</v>
      </c>
      <c r="P847" s="2" t="s">
        <v>86</v>
      </c>
      <c r="Q847" s="4" t="s">
        <v>434</v>
      </c>
    </row>
    <row r="848" spans="1:17" hidden="1" x14ac:dyDescent="0.2">
      <c r="A848" s="2" t="s">
        <v>1776</v>
      </c>
      <c r="B848" s="2" t="s">
        <v>40</v>
      </c>
      <c r="C848" s="2" t="s">
        <v>89</v>
      </c>
      <c r="D848" s="2" t="s">
        <v>20</v>
      </c>
      <c r="E848" s="3">
        <v>98021</v>
      </c>
      <c r="F848" s="4" t="s">
        <v>57</v>
      </c>
      <c r="G848" s="2" t="s">
        <v>1177</v>
      </c>
      <c r="H848" s="2" t="s">
        <v>1594</v>
      </c>
      <c r="I848" s="2" t="s">
        <v>212</v>
      </c>
      <c r="J848" s="2" t="s">
        <v>298</v>
      </c>
      <c r="K848" s="4" t="s">
        <v>27</v>
      </c>
      <c r="L848" s="4" t="s">
        <v>27</v>
      </c>
      <c r="M848" s="4" t="s">
        <v>170</v>
      </c>
      <c r="N848" s="5">
        <v>208182236</v>
      </c>
      <c r="O848" s="2" t="s">
        <v>247</v>
      </c>
      <c r="P848" s="2" t="s">
        <v>30</v>
      </c>
      <c r="Q848" s="4" t="s">
        <v>345</v>
      </c>
    </row>
    <row r="849" spans="1:17" hidden="1" x14ac:dyDescent="0.2">
      <c r="A849" s="2" t="s">
        <v>1777</v>
      </c>
      <c r="B849" s="2" t="s">
        <v>33</v>
      </c>
      <c r="C849" s="2" t="s">
        <v>451</v>
      </c>
      <c r="D849" s="2" t="s">
        <v>20</v>
      </c>
      <c r="E849" s="3">
        <v>98075</v>
      </c>
      <c r="F849" s="4" t="s">
        <v>121</v>
      </c>
      <c r="G849" s="2" t="s">
        <v>1177</v>
      </c>
      <c r="H849" s="2" t="s">
        <v>1594</v>
      </c>
      <c r="I849" s="2" t="s">
        <v>212</v>
      </c>
      <c r="J849" s="2" t="s">
        <v>298</v>
      </c>
      <c r="K849" s="4" t="s">
        <v>27</v>
      </c>
      <c r="L849" s="4" t="s">
        <v>27</v>
      </c>
      <c r="M849" s="4" t="s">
        <v>403</v>
      </c>
      <c r="N849" s="5">
        <v>263159536</v>
      </c>
      <c r="O849" s="2" t="s">
        <v>452</v>
      </c>
      <c r="P849" s="2" t="s">
        <v>37</v>
      </c>
      <c r="Q849" s="4" t="s">
        <v>1778</v>
      </c>
    </row>
    <row r="850" spans="1:17" hidden="1" x14ac:dyDescent="0.2">
      <c r="A850" s="2" t="s">
        <v>1779</v>
      </c>
      <c r="B850" s="2" t="s">
        <v>33</v>
      </c>
      <c r="C850" s="2" t="s">
        <v>169</v>
      </c>
      <c r="D850" s="2" t="s">
        <v>20</v>
      </c>
      <c r="E850" s="3">
        <v>98033</v>
      </c>
      <c r="F850" s="4" t="s">
        <v>130</v>
      </c>
      <c r="G850" s="2" t="s">
        <v>1177</v>
      </c>
      <c r="H850" s="2" t="s">
        <v>1594</v>
      </c>
      <c r="I850" s="2" t="s">
        <v>212</v>
      </c>
      <c r="J850" s="2" t="s">
        <v>298</v>
      </c>
      <c r="K850" s="4" t="s">
        <v>27</v>
      </c>
      <c r="L850" s="4" t="s">
        <v>27</v>
      </c>
      <c r="M850" s="4" t="s">
        <v>147</v>
      </c>
      <c r="N850" s="5">
        <v>278675365</v>
      </c>
      <c r="O850" s="2" t="s">
        <v>204</v>
      </c>
      <c r="P850" s="2" t="s">
        <v>37</v>
      </c>
      <c r="Q850" s="4" t="s">
        <v>1780</v>
      </c>
    </row>
    <row r="851" spans="1:17" hidden="1" x14ac:dyDescent="0.2">
      <c r="A851" s="2" t="s">
        <v>1781</v>
      </c>
      <c r="B851" s="2" t="s">
        <v>33</v>
      </c>
      <c r="C851" s="2" t="s">
        <v>978</v>
      </c>
      <c r="D851" s="2" t="s">
        <v>20</v>
      </c>
      <c r="E851" s="3">
        <v>98019</v>
      </c>
      <c r="F851" s="4" t="s">
        <v>21</v>
      </c>
      <c r="G851" s="2" t="s">
        <v>1177</v>
      </c>
      <c r="H851" s="2" t="s">
        <v>1594</v>
      </c>
      <c r="I851" s="2" t="s">
        <v>212</v>
      </c>
      <c r="J851" s="2" t="s">
        <v>298</v>
      </c>
      <c r="K851" s="4" t="s">
        <v>27</v>
      </c>
      <c r="L851" s="4" t="s">
        <v>27</v>
      </c>
      <c r="M851" s="4" t="s">
        <v>198</v>
      </c>
      <c r="N851" s="5">
        <v>255518763</v>
      </c>
      <c r="O851" s="2" t="s">
        <v>979</v>
      </c>
      <c r="P851" s="2" t="s">
        <v>37</v>
      </c>
      <c r="Q851" s="4" t="s">
        <v>980</v>
      </c>
    </row>
    <row r="852" spans="1:17" hidden="1" x14ac:dyDescent="0.2">
      <c r="A852" s="2" t="s">
        <v>1782</v>
      </c>
      <c r="B852" s="2" t="s">
        <v>33</v>
      </c>
      <c r="C852" s="2" t="s">
        <v>83</v>
      </c>
      <c r="D852" s="2" t="s">
        <v>20</v>
      </c>
      <c r="E852" s="3">
        <v>98103</v>
      </c>
      <c r="F852" s="4" t="s">
        <v>57</v>
      </c>
      <c r="G852" s="2" t="s">
        <v>1177</v>
      </c>
      <c r="H852" s="2" t="s">
        <v>1594</v>
      </c>
      <c r="I852" s="2" t="s">
        <v>212</v>
      </c>
      <c r="J852" s="2" t="s">
        <v>298</v>
      </c>
      <c r="K852" s="4" t="s">
        <v>27</v>
      </c>
      <c r="L852" s="4" t="s">
        <v>27</v>
      </c>
      <c r="M852" s="4" t="s">
        <v>436</v>
      </c>
      <c r="N852" s="5">
        <v>213712432</v>
      </c>
      <c r="O852" s="2" t="s">
        <v>627</v>
      </c>
      <c r="P852" s="2" t="s">
        <v>86</v>
      </c>
      <c r="Q852" s="4" t="s">
        <v>1783</v>
      </c>
    </row>
    <row r="853" spans="1:17" hidden="1" x14ac:dyDescent="0.2">
      <c r="A853" s="2" t="s">
        <v>1784</v>
      </c>
      <c r="B853" s="2" t="s">
        <v>33</v>
      </c>
      <c r="C853" s="2" t="s">
        <v>451</v>
      </c>
      <c r="D853" s="2" t="s">
        <v>20</v>
      </c>
      <c r="E853" s="3">
        <v>98075</v>
      </c>
      <c r="F853" s="4" t="s">
        <v>21</v>
      </c>
      <c r="G853" s="2" t="s">
        <v>1177</v>
      </c>
      <c r="H853" s="2" t="s">
        <v>1594</v>
      </c>
      <c r="I853" s="2" t="s">
        <v>212</v>
      </c>
      <c r="J853" s="2" t="s">
        <v>298</v>
      </c>
      <c r="K853" s="4" t="s">
        <v>27</v>
      </c>
      <c r="L853" s="4" t="s">
        <v>27</v>
      </c>
      <c r="M853" s="4" t="s">
        <v>403</v>
      </c>
      <c r="N853" s="5">
        <v>249780807</v>
      </c>
      <c r="O853" s="2" t="s">
        <v>452</v>
      </c>
      <c r="P853" s="2" t="s">
        <v>37</v>
      </c>
      <c r="Q853" s="4" t="s">
        <v>453</v>
      </c>
    </row>
    <row r="854" spans="1:17" hidden="1" x14ac:dyDescent="0.2">
      <c r="A854" s="2" t="s">
        <v>1785</v>
      </c>
      <c r="B854" s="2" t="s">
        <v>33</v>
      </c>
      <c r="C854" s="2" t="s">
        <v>146</v>
      </c>
      <c r="D854" s="2" t="s">
        <v>20</v>
      </c>
      <c r="E854" s="3">
        <v>98008</v>
      </c>
      <c r="F854" s="4" t="s">
        <v>21</v>
      </c>
      <c r="G854" s="2" t="s">
        <v>1177</v>
      </c>
      <c r="H854" s="2" t="s">
        <v>1594</v>
      </c>
      <c r="I854" s="2" t="s">
        <v>212</v>
      </c>
      <c r="J854" s="2" t="s">
        <v>298</v>
      </c>
      <c r="K854" s="4" t="s">
        <v>27</v>
      </c>
      <c r="L854" s="4" t="s">
        <v>27</v>
      </c>
      <c r="M854" s="4" t="s">
        <v>147</v>
      </c>
      <c r="N854" s="5">
        <v>240808081</v>
      </c>
      <c r="O854" s="2" t="s">
        <v>537</v>
      </c>
      <c r="P854" s="2" t="s">
        <v>37</v>
      </c>
      <c r="Q854" s="4" t="s">
        <v>1786</v>
      </c>
    </row>
    <row r="855" spans="1:17" hidden="1" x14ac:dyDescent="0.2">
      <c r="A855" s="2" t="s">
        <v>1787</v>
      </c>
      <c r="B855" s="2" t="s">
        <v>40</v>
      </c>
      <c r="C855" s="2" t="s">
        <v>73</v>
      </c>
      <c r="D855" s="2" t="s">
        <v>20</v>
      </c>
      <c r="E855" s="3">
        <v>98087</v>
      </c>
      <c r="F855" s="4" t="s">
        <v>57</v>
      </c>
      <c r="G855" s="2" t="s">
        <v>1177</v>
      </c>
      <c r="H855" s="2" t="s">
        <v>1594</v>
      </c>
      <c r="I855" s="2" t="s">
        <v>212</v>
      </c>
      <c r="J855" s="2" t="s">
        <v>298</v>
      </c>
      <c r="K855" s="4" t="s">
        <v>27</v>
      </c>
      <c r="L855" s="4" t="s">
        <v>27</v>
      </c>
      <c r="M855" s="4" t="s">
        <v>26</v>
      </c>
      <c r="N855" s="5">
        <v>283380702</v>
      </c>
      <c r="O855" s="2" t="s">
        <v>496</v>
      </c>
      <c r="P855" s="2" t="s">
        <v>30</v>
      </c>
      <c r="Q855" s="4" t="s">
        <v>1788</v>
      </c>
    </row>
    <row r="856" spans="1:17" hidden="1" x14ac:dyDescent="0.2">
      <c r="A856" s="2" t="s">
        <v>1789</v>
      </c>
      <c r="B856" s="2" t="s">
        <v>33</v>
      </c>
      <c r="C856" s="2" t="s">
        <v>186</v>
      </c>
      <c r="D856" s="2" t="s">
        <v>20</v>
      </c>
      <c r="E856" s="3">
        <v>98023</v>
      </c>
      <c r="F856" s="4" t="s">
        <v>21</v>
      </c>
      <c r="G856" s="2" t="s">
        <v>1177</v>
      </c>
      <c r="H856" s="2" t="s">
        <v>1594</v>
      </c>
      <c r="I856" s="2" t="s">
        <v>212</v>
      </c>
      <c r="J856" s="2" t="s">
        <v>298</v>
      </c>
      <c r="K856" s="4" t="s">
        <v>27</v>
      </c>
      <c r="L856" s="4" t="s">
        <v>27</v>
      </c>
      <c r="M856" s="4" t="s">
        <v>187</v>
      </c>
      <c r="N856" s="5">
        <v>244716125</v>
      </c>
      <c r="O856" s="2" t="s">
        <v>188</v>
      </c>
      <c r="P856" s="2" t="s">
        <v>37</v>
      </c>
      <c r="Q856" s="4" t="s">
        <v>1238</v>
      </c>
    </row>
    <row r="857" spans="1:17" hidden="1" x14ac:dyDescent="0.2">
      <c r="A857" s="2" t="s">
        <v>1790</v>
      </c>
      <c r="B857" s="2" t="s">
        <v>33</v>
      </c>
      <c r="C857" s="2" t="s">
        <v>169</v>
      </c>
      <c r="D857" s="2" t="s">
        <v>20</v>
      </c>
      <c r="E857" s="3">
        <v>98033</v>
      </c>
      <c r="F857" s="4" t="s">
        <v>21</v>
      </c>
      <c r="G857" s="2" t="s">
        <v>1177</v>
      </c>
      <c r="H857" s="2" t="s">
        <v>1594</v>
      </c>
      <c r="I857" s="2" t="s">
        <v>212</v>
      </c>
      <c r="J857" s="2" t="s">
        <v>298</v>
      </c>
      <c r="K857" s="4" t="s">
        <v>27</v>
      </c>
      <c r="L857" s="4" t="s">
        <v>27</v>
      </c>
      <c r="M857" s="4" t="s">
        <v>147</v>
      </c>
      <c r="N857" s="5">
        <v>224507377</v>
      </c>
      <c r="O857" s="2" t="s">
        <v>204</v>
      </c>
      <c r="P857" s="2" t="s">
        <v>37</v>
      </c>
      <c r="Q857" s="4" t="s">
        <v>205</v>
      </c>
    </row>
    <row r="858" spans="1:17" hidden="1" x14ac:dyDescent="0.2">
      <c r="A858" s="2" t="s">
        <v>1791</v>
      </c>
      <c r="B858" s="2" t="s">
        <v>33</v>
      </c>
      <c r="C858" s="2" t="s">
        <v>1261</v>
      </c>
      <c r="D858" s="2" t="s">
        <v>20</v>
      </c>
      <c r="E858" s="3">
        <v>98014</v>
      </c>
      <c r="F858" s="4" t="s">
        <v>21</v>
      </c>
      <c r="G858" s="2" t="s">
        <v>1177</v>
      </c>
      <c r="H858" s="2" t="s">
        <v>1594</v>
      </c>
      <c r="I858" s="2" t="s">
        <v>212</v>
      </c>
      <c r="J858" s="2" t="s">
        <v>298</v>
      </c>
      <c r="K858" s="4" t="s">
        <v>27</v>
      </c>
      <c r="L858" s="4" t="s">
        <v>27</v>
      </c>
      <c r="M858" s="4" t="s">
        <v>35</v>
      </c>
      <c r="N858" s="5">
        <v>257142077</v>
      </c>
      <c r="O858" s="2" t="s">
        <v>1262</v>
      </c>
      <c r="P858" s="2" t="s">
        <v>466</v>
      </c>
      <c r="Q858" s="4" t="s">
        <v>1263</v>
      </c>
    </row>
    <row r="859" spans="1:17" hidden="1" x14ac:dyDescent="0.2">
      <c r="A859" s="2" t="s">
        <v>1792</v>
      </c>
      <c r="B859" s="2" t="s">
        <v>33</v>
      </c>
      <c r="C859" s="2" t="s">
        <v>146</v>
      </c>
      <c r="D859" s="2" t="s">
        <v>20</v>
      </c>
      <c r="E859" s="3">
        <v>98004</v>
      </c>
      <c r="F859" s="4" t="s">
        <v>121</v>
      </c>
      <c r="G859" s="2" t="s">
        <v>1177</v>
      </c>
      <c r="H859" s="2" t="s">
        <v>1594</v>
      </c>
      <c r="I859" s="2" t="s">
        <v>212</v>
      </c>
      <c r="J859" s="2" t="s">
        <v>298</v>
      </c>
      <c r="K859" s="4" t="s">
        <v>27</v>
      </c>
      <c r="L859" s="4" t="s">
        <v>27</v>
      </c>
      <c r="M859" s="4" t="s">
        <v>147</v>
      </c>
      <c r="N859" s="5">
        <v>270820896</v>
      </c>
      <c r="O859" s="2" t="s">
        <v>148</v>
      </c>
      <c r="P859" s="2" t="s">
        <v>37</v>
      </c>
      <c r="Q859" s="4" t="s">
        <v>149</v>
      </c>
    </row>
    <row r="860" spans="1:17" hidden="1" x14ac:dyDescent="0.2">
      <c r="A860" s="2" t="s">
        <v>1793</v>
      </c>
      <c r="B860" s="2" t="s">
        <v>55</v>
      </c>
      <c r="C860" s="2" t="s">
        <v>63</v>
      </c>
      <c r="D860" s="2" t="s">
        <v>20</v>
      </c>
      <c r="E860" s="3">
        <v>98685</v>
      </c>
      <c r="F860" s="4" t="s">
        <v>21</v>
      </c>
      <c r="G860" s="2" t="s">
        <v>1177</v>
      </c>
      <c r="H860" s="2" t="s">
        <v>1628</v>
      </c>
      <c r="I860" s="2" t="s">
        <v>212</v>
      </c>
      <c r="J860" s="2" t="s">
        <v>298</v>
      </c>
      <c r="K860" s="4" t="s">
        <v>27</v>
      </c>
      <c r="L860" s="4" t="s">
        <v>27</v>
      </c>
      <c r="M860" s="4" t="s">
        <v>58</v>
      </c>
      <c r="N860" s="5">
        <v>261502412</v>
      </c>
      <c r="O860" s="2" t="s">
        <v>299</v>
      </c>
      <c r="P860" s="2" t="s">
        <v>60</v>
      </c>
      <c r="Q860" s="4" t="s">
        <v>419</v>
      </c>
    </row>
    <row r="861" spans="1:17" hidden="1" x14ac:dyDescent="0.2">
      <c r="A861" s="2" t="s">
        <v>1794</v>
      </c>
      <c r="B861" s="2" t="s">
        <v>33</v>
      </c>
      <c r="C861" s="2" t="s">
        <v>1056</v>
      </c>
      <c r="D861" s="2" t="s">
        <v>20</v>
      </c>
      <c r="E861" s="3">
        <v>98032</v>
      </c>
      <c r="F861" s="4" t="s">
        <v>130</v>
      </c>
      <c r="G861" s="2" t="s">
        <v>1177</v>
      </c>
      <c r="H861" s="2" t="s">
        <v>1628</v>
      </c>
      <c r="I861" s="2" t="s">
        <v>212</v>
      </c>
      <c r="J861" s="2" t="s">
        <v>298</v>
      </c>
      <c r="K861" s="4" t="s">
        <v>27</v>
      </c>
      <c r="L861" s="4" t="s">
        <v>27</v>
      </c>
      <c r="M861" s="4" t="s">
        <v>909</v>
      </c>
      <c r="N861" s="5">
        <v>278101330</v>
      </c>
      <c r="O861" s="2" t="s">
        <v>1255</v>
      </c>
      <c r="P861" s="2" t="s">
        <v>37</v>
      </c>
      <c r="Q861" s="4" t="s">
        <v>1795</v>
      </c>
    </row>
    <row r="862" spans="1:17" hidden="1" x14ac:dyDescent="0.2">
      <c r="A862" s="2" t="s">
        <v>1794</v>
      </c>
      <c r="B862" s="2" t="s">
        <v>33</v>
      </c>
      <c r="C862" s="2" t="s">
        <v>492</v>
      </c>
      <c r="D862" s="2" t="s">
        <v>20</v>
      </c>
      <c r="E862" s="3">
        <v>98065</v>
      </c>
      <c r="F862" s="4" t="s">
        <v>130</v>
      </c>
      <c r="G862" s="2" t="s">
        <v>1177</v>
      </c>
      <c r="H862" s="2" t="s">
        <v>1628</v>
      </c>
      <c r="I862" s="2" t="s">
        <v>212</v>
      </c>
      <c r="J862" s="2" t="s">
        <v>298</v>
      </c>
      <c r="K862" s="4" t="s">
        <v>27</v>
      </c>
      <c r="L862" s="4" t="s">
        <v>27</v>
      </c>
      <c r="M862" s="4" t="s">
        <v>35</v>
      </c>
      <c r="N862" s="5">
        <v>274683804</v>
      </c>
      <c r="O862" s="2" t="s">
        <v>493</v>
      </c>
      <c r="P862" s="2" t="s">
        <v>37</v>
      </c>
      <c r="Q862" s="4" t="s">
        <v>1000</v>
      </c>
    </row>
    <row r="863" spans="1:17" hidden="1" x14ac:dyDescent="0.2">
      <c r="A863" s="2" t="s">
        <v>1796</v>
      </c>
      <c r="B863" s="2" t="s">
        <v>33</v>
      </c>
      <c r="C863" s="2" t="s">
        <v>169</v>
      </c>
      <c r="D863" s="2" t="s">
        <v>20</v>
      </c>
      <c r="E863" s="3">
        <v>98033</v>
      </c>
      <c r="F863" s="4" t="s">
        <v>57</v>
      </c>
      <c r="G863" s="2" t="s">
        <v>1177</v>
      </c>
      <c r="H863" s="2" t="s">
        <v>1628</v>
      </c>
      <c r="I863" s="2" t="s">
        <v>212</v>
      </c>
      <c r="J863" s="2" t="s">
        <v>298</v>
      </c>
      <c r="K863" s="4" t="s">
        <v>27</v>
      </c>
      <c r="L863" s="4" t="s">
        <v>27</v>
      </c>
      <c r="M863" s="4" t="s">
        <v>147</v>
      </c>
      <c r="N863" s="5">
        <v>183304551</v>
      </c>
      <c r="O863" s="2" t="s">
        <v>204</v>
      </c>
      <c r="P863" s="2" t="s">
        <v>37</v>
      </c>
      <c r="Q863" s="4" t="s">
        <v>1201</v>
      </c>
    </row>
    <row r="864" spans="1:17" hidden="1" x14ac:dyDescent="0.2">
      <c r="A864" s="2" t="s">
        <v>1797</v>
      </c>
      <c r="B864" s="2" t="s">
        <v>33</v>
      </c>
      <c r="C864" s="2" t="s">
        <v>1056</v>
      </c>
      <c r="D864" s="2" t="s">
        <v>20</v>
      </c>
      <c r="E864" s="3">
        <v>98030</v>
      </c>
      <c r="F864" s="4" t="s">
        <v>21</v>
      </c>
      <c r="G864" s="2" t="s">
        <v>1177</v>
      </c>
      <c r="H864" s="2" t="s">
        <v>1628</v>
      </c>
      <c r="I864" s="2" t="s">
        <v>212</v>
      </c>
      <c r="J864" s="2" t="s">
        <v>298</v>
      </c>
      <c r="K864" s="4" t="s">
        <v>27</v>
      </c>
      <c r="L864" s="4" t="s">
        <v>27</v>
      </c>
      <c r="M864" s="4" t="s">
        <v>69</v>
      </c>
      <c r="N864" s="5">
        <v>221427608</v>
      </c>
      <c r="O864" s="2" t="s">
        <v>1344</v>
      </c>
      <c r="P864" s="2" t="s">
        <v>37</v>
      </c>
      <c r="Q864" s="4" t="s">
        <v>1798</v>
      </c>
    </row>
    <row r="865" spans="1:17" hidden="1" x14ac:dyDescent="0.2">
      <c r="A865" s="2" t="s">
        <v>1797</v>
      </c>
      <c r="B865" s="2" t="s">
        <v>33</v>
      </c>
      <c r="C865" s="2" t="s">
        <v>186</v>
      </c>
      <c r="D865" s="2" t="s">
        <v>20</v>
      </c>
      <c r="E865" s="3">
        <v>98003</v>
      </c>
      <c r="F865" s="4" t="s">
        <v>21</v>
      </c>
      <c r="G865" s="2" t="s">
        <v>1177</v>
      </c>
      <c r="H865" s="2" t="s">
        <v>1628</v>
      </c>
      <c r="I865" s="2" t="s">
        <v>212</v>
      </c>
      <c r="J865" s="2" t="s">
        <v>298</v>
      </c>
      <c r="K865" s="4" t="s">
        <v>27</v>
      </c>
      <c r="L865" s="4" t="s">
        <v>27</v>
      </c>
      <c r="M865" s="4" t="s">
        <v>187</v>
      </c>
      <c r="N865" s="5">
        <v>283080948</v>
      </c>
      <c r="O865" s="2" t="s">
        <v>458</v>
      </c>
      <c r="P865" s="2" t="s">
        <v>37</v>
      </c>
      <c r="Q865" s="4" t="s">
        <v>519</v>
      </c>
    </row>
    <row r="866" spans="1:17" hidden="1" x14ac:dyDescent="0.2">
      <c r="A866" s="2" t="s">
        <v>1799</v>
      </c>
      <c r="B866" s="2" t="s">
        <v>33</v>
      </c>
      <c r="C866" s="2" t="s">
        <v>83</v>
      </c>
      <c r="D866" s="2" t="s">
        <v>20</v>
      </c>
      <c r="E866" s="3">
        <v>98105</v>
      </c>
      <c r="F866" s="4" t="s">
        <v>121</v>
      </c>
      <c r="G866" s="2" t="s">
        <v>1177</v>
      </c>
      <c r="H866" s="2" t="s">
        <v>1628</v>
      </c>
      <c r="I866" s="2" t="s">
        <v>212</v>
      </c>
      <c r="J866" s="2" t="s">
        <v>298</v>
      </c>
      <c r="K866" s="4" t="s">
        <v>27</v>
      </c>
      <c r="L866" s="4" t="s">
        <v>27</v>
      </c>
      <c r="M866" s="4" t="s">
        <v>278</v>
      </c>
      <c r="N866" s="5">
        <v>268573133</v>
      </c>
      <c r="O866" s="2" t="s">
        <v>455</v>
      </c>
      <c r="P866" s="2" t="s">
        <v>37</v>
      </c>
      <c r="Q866" s="4" t="s">
        <v>1800</v>
      </c>
    </row>
    <row r="867" spans="1:17" hidden="1" x14ac:dyDescent="0.2">
      <c r="A867" s="2" t="s">
        <v>1801</v>
      </c>
      <c r="B867" s="2" t="s">
        <v>33</v>
      </c>
      <c r="C867" s="2" t="s">
        <v>83</v>
      </c>
      <c r="D867" s="2" t="s">
        <v>20</v>
      </c>
      <c r="E867" s="3">
        <v>98108</v>
      </c>
      <c r="F867" s="4" t="s">
        <v>21</v>
      </c>
      <c r="G867" s="2" t="s">
        <v>1177</v>
      </c>
      <c r="H867" s="2" t="s">
        <v>1628</v>
      </c>
      <c r="I867" s="2" t="s">
        <v>212</v>
      </c>
      <c r="J867" s="2" t="s">
        <v>298</v>
      </c>
      <c r="K867" s="4" t="s">
        <v>27</v>
      </c>
      <c r="L867" s="4" t="s">
        <v>27</v>
      </c>
      <c r="M867" s="4" t="s">
        <v>140</v>
      </c>
      <c r="N867" s="5">
        <v>259702145</v>
      </c>
      <c r="O867" s="2" t="s">
        <v>954</v>
      </c>
      <c r="P867" s="2" t="s">
        <v>86</v>
      </c>
      <c r="Q867" s="4" t="s">
        <v>524</v>
      </c>
    </row>
    <row r="868" spans="1:17" hidden="1" x14ac:dyDescent="0.2">
      <c r="A868" s="2" t="s">
        <v>1802</v>
      </c>
      <c r="B868" s="2" t="s">
        <v>33</v>
      </c>
      <c r="C868" s="2" t="s">
        <v>492</v>
      </c>
      <c r="D868" s="2" t="s">
        <v>20</v>
      </c>
      <c r="E868" s="3">
        <v>98065</v>
      </c>
      <c r="F868" s="4" t="s">
        <v>121</v>
      </c>
      <c r="G868" s="2" t="s">
        <v>1177</v>
      </c>
      <c r="H868" s="2" t="s">
        <v>1628</v>
      </c>
      <c r="I868" s="2" t="s">
        <v>212</v>
      </c>
      <c r="J868" s="2" t="s">
        <v>298</v>
      </c>
      <c r="K868" s="4" t="s">
        <v>27</v>
      </c>
      <c r="L868" s="4" t="s">
        <v>27</v>
      </c>
      <c r="M868" s="4" t="s">
        <v>35</v>
      </c>
      <c r="N868" s="5">
        <v>265661070</v>
      </c>
      <c r="O868" s="2" t="s">
        <v>493</v>
      </c>
      <c r="P868" s="2" t="s">
        <v>37</v>
      </c>
      <c r="Q868" s="4" t="s">
        <v>494</v>
      </c>
    </row>
    <row r="869" spans="1:17" hidden="1" x14ac:dyDescent="0.2">
      <c r="A869" s="2" t="s">
        <v>1803</v>
      </c>
      <c r="B869" s="2" t="s">
        <v>804</v>
      </c>
      <c r="C869" s="2" t="s">
        <v>1445</v>
      </c>
      <c r="D869" s="2" t="s">
        <v>20</v>
      </c>
      <c r="E869" s="3">
        <v>99337</v>
      </c>
      <c r="F869" s="4" t="s">
        <v>130</v>
      </c>
      <c r="G869" s="2" t="s">
        <v>1177</v>
      </c>
      <c r="H869" s="2" t="s">
        <v>1628</v>
      </c>
      <c r="I869" s="2" t="s">
        <v>212</v>
      </c>
      <c r="J869" s="2" t="s">
        <v>298</v>
      </c>
      <c r="K869" s="4" t="s">
        <v>27</v>
      </c>
      <c r="L869" s="4" t="s">
        <v>27</v>
      </c>
      <c r="M869" s="4" t="s">
        <v>806</v>
      </c>
      <c r="N869" s="5">
        <v>278386307</v>
      </c>
      <c r="O869" s="2" t="s">
        <v>1804</v>
      </c>
      <c r="P869" s="2" t="s">
        <v>1447</v>
      </c>
      <c r="Q869" s="4" t="s">
        <v>1805</v>
      </c>
    </row>
    <row r="870" spans="1:17" hidden="1" x14ac:dyDescent="0.2">
      <c r="A870" s="2" t="s">
        <v>1806</v>
      </c>
      <c r="B870" s="2" t="s">
        <v>48</v>
      </c>
      <c r="C870" s="2" t="s">
        <v>48</v>
      </c>
      <c r="D870" s="2" t="s">
        <v>20</v>
      </c>
      <c r="E870" s="3">
        <v>98902</v>
      </c>
      <c r="F870" s="4" t="s">
        <v>57</v>
      </c>
      <c r="G870" s="2" t="s">
        <v>1177</v>
      </c>
      <c r="H870" s="2" t="s">
        <v>1628</v>
      </c>
      <c r="I870" s="2" t="s">
        <v>212</v>
      </c>
      <c r="J870" s="2" t="s">
        <v>298</v>
      </c>
      <c r="K870" s="4" t="s">
        <v>27</v>
      </c>
      <c r="L870" s="4" t="s">
        <v>27</v>
      </c>
      <c r="M870" s="4" t="s">
        <v>323</v>
      </c>
      <c r="N870" s="5">
        <v>216932075</v>
      </c>
      <c r="O870" s="2" t="s">
        <v>421</v>
      </c>
      <c r="P870" s="2" t="s">
        <v>52</v>
      </c>
      <c r="Q870" s="4" t="s">
        <v>984</v>
      </c>
    </row>
    <row r="871" spans="1:17" hidden="1" x14ac:dyDescent="0.2">
      <c r="A871" s="2" t="s">
        <v>1806</v>
      </c>
      <c r="B871" s="2" t="s">
        <v>55</v>
      </c>
      <c r="C871" s="2" t="s">
        <v>800</v>
      </c>
      <c r="D871" s="2" t="s">
        <v>20</v>
      </c>
      <c r="E871" s="3">
        <v>98642</v>
      </c>
      <c r="F871" s="4" t="s">
        <v>57</v>
      </c>
      <c r="G871" s="2" t="s">
        <v>1177</v>
      </c>
      <c r="H871" s="2" t="s">
        <v>1628</v>
      </c>
      <c r="I871" s="2" t="s">
        <v>212</v>
      </c>
      <c r="J871" s="2" t="s">
        <v>298</v>
      </c>
      <c r="K871" s="4" t="s">
        <v>27</v>
      </c>
      <c r="L871" s="4" t="s">
        <v>27</v>
      </c>
      <c r="M871" s="4" t="s">
        <v>58</v>
      </c>
      <c r="N871" s="5">
        <v>220735889</v>
      </c>
      <c r="O871" s="2" t="s">
        <v>801</v>
      </c>
      <c r="P871" s="2" t="s">
        <v>60</v>
      </c>
      <c r="Q871" s="4" t="s">
        <v>1661</v>
      </c>
    </row>
    <row r="872" spans="1:17" hidden="1" x14ac:dyDescent="0.2">
      <c r="A872" s="2" t="s">
        <v>1807</v>
      </c>
      <c r="B872" s="2" t="s">
        <v>33</v>
      </c>
      <c r="C872" s="2" t="s">
        <v>669</v>
      </c>
      <c r="D872" s="2" t="s">
        <v>20</v>
      </c>
      <c r="E872" s="3">
        <v>98052</v>
      </c>
      <c r="F872" s="4" t="s">
        <v>21</v>
      </c>
      <c r="G872" s="2" t="s">
        <v>1177</v>
      </c>
      <c r="H872" s="2" t="s">
        <v>1628</v>
      </c>
      <c r="I872" s="2" t="s">
        <v>212</v>
      </c>
      <c r="J872" s="2" t="s">
        <v>298</v>
      </c>
      <c r="K872" s="4" t="s">
        <v>27</v>
      </c>
      <c r="L872" s="4" t="s">
        <v>27</v>
      </c>
      <c r="M872" s="4" t="s">
        <v>198</v>
      </c>
      <c r="N872" s="5">
        <v>259094860</v>
      </c>
      <c r="O872" s="2" t="s">
        <v>670</v>
      </c>
      <c r="P872" s="2" t="s">
        <v>37</v>
      </c>
      <c r="Q872" s="4" t="s">
        <v>1808</v>
      </c>
    </row>
    <row r="873" spans="1:17" hidden="1" x14ac:dyDescent="0.2">
      <c r="A873" s="2" t="s">
        <v>1807</v>
      </c>
      <c r="B873" s="2" t="s">
        <v>33</v>
      </c>
      <c r="C873" s="2" t="s">
        <v>83</v>
      </c>
      <c r="D873" s="2" t="s">
        <v>20</v>
      </c>
      <c r="E873" s="3">
        <v>98199</v>
      </c>
      <c r="F873" s="4" t="s">
        <v>21</v>
      </c>
      <c r="G873" s="2" t="s">
        <v>1177</v>
      </c>
      <c r="H873" s="2" t="s">
        <v>1628</v>
      </c>
      <c r="I873" s="2" t="s">
        <v>212</v>
      </c>
      <c r="J873" s="2" t="s">
        <v>298</v>
      </c>
      <c r="K873" s="4" t="s">
        <v>27</v>
      </c>
      <c r="L873" s="4" t="s">
        <v>27</v>
      </c>
      <c r="M873" s="4" t="s">
        <v>84</v>
      </c>
      <c r="N873" s="5">
        <v>255428155</v>
      </c>
      <c r="O873" s="2" t="s">
        <v>380</v>
      </c>
      <c r="P873" s="2" t="s">
        <v>86</v>
      </c>
      <c r="Q873" s="4" t="s">
        <v>381</v>
      </c>
    </row>
    <row r="874" spans="1:17" hidden="1" x14ac:dyDescent="0.2">
      <c r="A874" s="2" t="s">
        <v>1807</v>
      </c>
      <c r="B874" s="2" t="s">
        <v>110</v>
      </c>
      <c r="C874" s="2" t="s">
        <v>1745</v>
      </c>
      <c r="D874" s="2" t="s">
        <v>20</v>
      </c>
      <c r="E874" s="3">
        <v>98371</v>
      </c>
      <c r="F874" s="4" t="s">
        <v>21</v>
      </c>
      <c r="G874" s="2" t="s">
        <v>1177</v>
      </c>
      <c r="H874" s="2" t="s">
        <v>1628</v>
      </c>
      <c r="I874" s="2" t="s">
        <v>212</v>
      </c>
      <c r="J874" s="2" t="s">
        <v>298</v>
      </c>
      <c r="K874" s="4" t="s">
        <v>27</v>
      </c>
      <c r="L874" s="4" t="s">
        <v>27</v>
      </c>
      <c r="M874" s="4" t="s">
        <v>43</v>
      </c>
      <c r="N874" s="5">
        <v>260102937</v>
      </c>
      <c r="O874" s="2" t="s">
        <v>1746</v>
      </c>
      <c r="P874" s="2" t="s">
        <v>37</v>
      </c>
      <c r="Q874" s="4" t="s">
        <v>1747</v>
      </c>
    </row>
    <row r="875" spans="1:17" hidden="1" x14ac:dyDescent="0.2">
      <c r="A875" s="2" t="s">
        <v>1809</v>
      </c>
      <c r="B875" s="2" t="s">
        <v>331</v>
      </c>
      <c r="C875" s="2" t="s">
        <v>1810</v>
      </c>
      <c r="D875" s="2" t="s">
        <v>20</v>
      </c>
      <c r="E875" s="3">
        <v>99021</v>
      </c>
      <c r="F875" s="4" t="s">
        <v>121</v>
      </c>
      <c r="G875" s="2" t="s">
        <v>1177</v>
      </c>
      <c r="H875" s="2" t="s">
        <v>1628</v>
      </c>
      <c r="I875" s="2" t="s">
        <v>212</v>
      </c>
      <c r="J875" s="2" t="s">
        <v>298</v>
      </c>
      <c r="K875" s="4" t="s">
        <v>27</v>
      </c>
      <c r="L875" s="4" t="s">
        <v>27</v>
      </c>
      <c r="M875" s="4" t="s">
        <v>1381</v>
      </c>
      <c r="N875" s="5">
        <v>265051727</v>
      </c>
      <c r="O875" s="2" t="s">
        <v>1811</v>
      </c>
      <c r="P875" s="2" t="s">
        <v>334</v>
      </c>
      <c r="Q875" s="4" t="s">
        <v>1812</v>
      </c>
    </row>
    <row r="876" spans="1:17" hidden="1" x14ac:dyDescent="0.2">
      <c r="A876" s="2" t="s">
        <v>1813</v>
      </c>
      <c r="B876" s="2" t="s">
        <v>55</v>
      </c>
      <c r="C876" s="2" t="s">
        <v>56</v>
      </c>
      <c r="D876" s="2" t="s">
        <v>20</v>
      </c>
      <c r="E876" s="3">
        <v>98607</v>
      </c>
      <c r="F876" s="4" t="s">
        <v>21</v>
      </c>
      <c r="G876" s="2" t="s">
        <v>1177</v>
      </c>
      <c r="H876" s="2" t="s">
        <v>1628</v>
      </c>
      <c r="I876" s="2" t="s">
        <v>212</v>
      </c>
      <c r="J876" s="2" t="s">
        <v>298</v>
      </c>
      <c r="K876" s="4" t="s">
        <v>27</v>
      </c>
      <c r="L876" s="4" t="s">
        <v>27</v>
      </c>
      <c r="M876" s="4" t="s">
        <v>58</v>
      </c>
      <c r="N876" s="5">
        <v>225990390</v>
      </c>
      <c r="O876" s="2" t="s">
        <v>59</v>
      </c>
      <c r="P876" s="2" t="s">
        <v>60</v>
      </c>
      <c r="Q876" s="4" t="s">
        <v>1814</v>
      </c>
    </row>
    <row r="877" spans="1:17" hidden="1" x14ac:dyDescent="0.2">
      <c r="A877" s="2" t="s">
        <v>1815</v>
      </c>
      <c r="B877" s="2" t="s">
        <v>33</v>
      </c>
      <c r="C877" s="2" t="s">
        <v>146</v>
      </c>
      <c r="D877" s="2" t="s">
        <v>20</v>
      </c>
      <c r="E877" s="3">
        <v>98005</v>
      </c>
      <c r="F877" s="4" t="s">
        <v>121</v>
      </c>
      <c r="G877" s="2" t="s">
        <v>1177</v>
      </c>
      <c r="H877" s="2" t="s">
        <v>1628</v>
      </c>
      <c r="I877" s="2" t="s">
        <v>212</v>
      </c>
      <c r="J877" s="2" t="s">
        <v>298</v>
      </c>
      <c r="K877" s="4" t="s">
        <v>27</v>
      </c>
      <c r="L877" s="4" t="s">
        <v>27</v>
      </c>
      <c r="M877" s="4" t="s">
        <v>147</v>
      </c>
      <c r="N877" s="5">
        <v>265046449</v>
      </c>
      <c r="O877" s="2" t="s">
        <v>448</v>
      </c>
      <c r="P877" s="2" t="s">
        <v>37</v>
      </c>
      <c r="Q877" s="4" t="s">
        <v>1343</v>
      </c>
    </row>
    <row r="878" spans="1:17" hidden="1" x14ac:dyDescent="0.2">
      <c r="A878" s="2" t="s">
        <v>1816</v>
      </c>
      <c r="B878" s="2" t="s">
        <v>33</v>
      </c>
      <c r="C878" s="2" t="s">
        <v>169</v>
      </c>
      <c r="D878" s="2" t="s">
        <v>20</v>
      </c>
      <c r="E878" s="3">
        <v>98033</v>
      </c>
      <c r="F878" s="4" t="s">
        <v>57</v>
      </c>
      <c r="G878" s="2" t="s">
        <v>1177</v>
      </c>
      <c r="H878" s="2" t="s">
        <v>1628</v>
      </c>
      <c r="I878" s="2" t="s">
        <v>212</v>
      </c>
      <c r="J878" s="2" t="s">
        <v>298</v>
      </c>
      <c r="K878" s="4" t="s">
        <v>27</v>
      </c>
      <c r="L878" s="4" t="s">
        <v>27</v>
      </c>
      <c r="M878" s="4" t="s">
        <v>198</v>
      </c>
      <c r="N878" s="5">
        <v>194995734</v>
      </c>
      <c r="O878" s="2" t="s">
        <v>204</v>
      </c>
      <c r="P878" s="2" t="s">
        <v>37</v>
      </c>
      <c r="Q878" s="4" t="s">
        <v>1817</v>
      </c>
    </row>
    <row r="879" spans="1:17" hidden="1" x14ac:dyDescent="0.2">
      <c r="A879" s="2" t="s">
        <v>1816</v>
      </c>
      <c r="B879" s="2" t="s">
        <v>33</v>
      </c>
      <c r="C879" s="2" t="s">
        <v>83</v>
      </c>
      <c r="D879" s="2" t="s">
        <v>20</v>
      </c>
      <c r="E879" s="3">
        <v>98119</v>
      </c>
      <c r="F879" s="4" t="s">
        <v>57</v>
      </c>
      <c r="G879" s="2" t="s">
        <v>1177</v>
      </c>
      <c r="H879" s="2" t="s">
        <v>1628</v>
      </c>
      <c r="I879" s="2" t="s">
        <v>212</v>
      </c>
      <c r="J879" s="2" t="s">
        <v>298</v>
      </c>
      <c r="K879" s="4" t="s">
        <v>27</v>
      </c>
      <c r="L879" s="4" t="s">
        <v>27</v>
      </c>
      <c r="M879" s="4" t="s">
        <v>84</v>
      </c>
      <c r="N879" s="5">
        <v>214916208</v>
      </c>
      <c r="O879" s="2" t="s">
        <v>650</v>
      </c>
      <c r="P879" s="2" t="s">
        <v>86</v>
      </c>
      <c r="Q879" s="4" t="s">
        <v>1818</v>
      </c>
    </row>
    <row r="880" spans="1:17" hidden="1" x14ac:dyDescent="0.2">
      <c r="A880" s="2" t="s">
        <v>1819</v>
      </c>
      <c r="B880" s="2" t="s">
        <v>33</v>
      </c>
      <c r="C880" s="2" t="s">
        <v>620</v>
      </c>
      <c r="D880" s="2" t="s">
        <v>20</v>
      </c>
      <c r="E880" s="3">
        <v>98056</v>
      </c>
      <c r="F880" s="4" t="s">
        <v>21</v>
      </c>
      <c r="G880" s="2" t="s">
        <v>1177</v>
      </c>
      <c r="H880" s="2" t="s">
        <v>1628</v>
      </c>
      <c r="I880" s="2" t="s">
        <v>212</v>
      </c>
      <c r="J880" s="2" t="s">
        <v>298</v>
      </c>
      <c r="K880" s="4" t="s">
        <v>27</v>
      </c>
      <c r="L880" s="4" t="s">
        <v>27</v>
      </c>
      <c r="M880" s="4" t="s">
        <v>403</v>
      </c>
      <c r="N880" s="5">
        <v>225996291</v>
      </c>
      <c r="O880" s="2" t="s">
        <v>593</v>
      </c>
      <c r="P880" s="2" t="s">
        <v>37</v>
      </c>
      <c r="Q880" s="4" t="s">
        <v>1614</v>
      </c>
    </row>
    <row r="881" spans="1:17" hidden="1" x14ac:dyDescent="0.2">
      <c r="A881" s="2" t="s">
        <v>1819</v>
      </c>
      <c r="B881" s="2" t="s">
        <v>55</v>
      </c>
      <c r="C881" s="2" t="s">
        <v>836</v>
      </c>
      <c r="D881" s="2" t="s">
        <v>20</v>
      </c>
      <c r="E881" s="3">
        <v>98604</v>
      </c>
      <c r="F881" s="4" t="s">
        <v>21</v>
      </c>
      <c r="G881" s="2" t="s">
        <v>1177</v>
      </c>
      <c r="H881" s="2" t="s">
        <v>1628</v>
      </c>
      <c r="I881" s="2" t="s">
        <v>212</v>
      </c>
      <c r="J881" s="2" t="s">
        <v>298</v>
      </c>
      <c r="K881" s="4" t="s">
        <v>27</v>
      </c>
      <c r="L881" s="4" t="s">
        <v>27</v>
      </c>
      <c r="M881" s="4" t="s">
        <v>58</v>
      </c>
      <c r="N881" s="5">
        <v>224419275</v>
      </c>
      <c r="O881" s="2" t="s">
        <v>837</v>
      </c>
      <c r="P881" s="2" t="s">
        <v>60</v>
      </c>
      <c r="Q881" s="4" t="s">
        <v>838</v>
      </c>
    </row>
    <row r="882" spans="1:17" hidden="1" x14ac:dyDescent="0.2">
      <c r="A882" s="2" t="s">
        <v>1820</v>
      </c>
      <c r="B882" s="2" t="s">
        <v>33</v>
      </c>
      <c r="C882" s="2" t="s">
        <v>186</v>
      </c>
      <c r="D882" s="2" t="s">
        <v>20</v>
      </c>
      <c r="E882" s="3">
        <v>98003</v>
      </c>
      <c r="F882" s="4" t="s">
        <v>121</v>
      </c>
      <c r="G882" s="2" t="s">
        <v>1177</v>
      </c>
      <c r="H882" s="2" t="s">
        <v>1628</v>
      </c>
      <c r="I882" s="2" t="s">
        <v>212</v>
      </c>
      <c r="J882" s="2" t="s">
        <v>298</v>
      </c>
      <c r="K882" s="4" t="s">
        <v>27</v>
      </c>
      <c r="L882" s="4" t="s">
        <v>27</v>
      </c>
      <c r="M882" s="4" t="s">
        <v>187</v>
      </c>
      <c r="N882" s="5">
        <v>261416613</v>
      </c>
      <c r="O882" s="2" t="s">
        <v>458</v>
      </c>
      <c r="P882" s="2" t="s">
        <v>37</v>
      </c>
      <c r="Q882" s="4" t="s">
        <v>1821</v>
      </c>
    </row>
    <row r="883" spans="1:17" hidden="1" x14ac:dyDescent="0.2">
      <c r="A883" s="2" t="s">
        <v>1820</v>
      </c>
      <c r="B883" s="2" t="s">
        <v>33</v>
      </c>
      <c r="C883" s="2" t="s">
        <v>83</v>
      </c>
      <c r="D883" s="2" t="s">
        <v>20</v>
      </c>
      <c r="E883" s="3">
        <v>98117</v>
      </c>
      <c r="F883" s="4" t="s">
        <v>121</v>
      </c>
      <c r="G883" s="2" t="s">
        <v>1177</v>
      </c>
      <c r="H883" s="2" t="s">
        <v>1628</v>
      </c>
      <c r="I883" s="2" t="s">
        <v>212</v>
      </c>
      <c r="J883" s="2" t="s">
        <v>298</v>
      </c>
      <c r="K883" s="4" t="s">
        <v>27</v>
      </c>
      <c r="L883" s="4" t="s">
        <v>27</v>
      </c>
      <c r="M883" s="4" t="s">
        <v>84</v>
      </c>
      <c r="N883" s="5">
        <v>267711181</v>
      </c>
      <c r="O883" s="2" t="s">
        <v>622</v>
      </c>
      <c r="P883" s="2" t="s">
        <v>86</v>
      </c>
      <c r="Q883" s="4" t="s">
        <v>1209</v>
      </c>
    </row>
    <row r="884" spans="1:17" hidden="1" x14ac:dyDescent="0.2">
      <c r="A884" s="2" t="s">
        <v>1820</v>
      </c>
      <c r="B884" s="2" t="s">
        <v>33</v>
      </c>
      <c r="C884" s="2" t="s">
        <v>169</v>
      </c>
      <c r="D884" s="2" t="s">
        <v>20</v>
      </c>
      <c r="E884" s="3">
        <v>98034</v>
      </c>
      <c r="F884" s="4" t="s">
        <v>121</v>
      </c>
      <c r="G884" s="2" t="s">
        <v>1177</v>
      </c>
      <c r="H884" s="2" t="s">
        <v>1628</v>
      </c>
      <c r="I884" s="2" t="s">
        <v>212</v>
      </c>
      <c r="J884" s="2" t="s">
        <v>298</v>
      </c>
      <c r="K884" s="4" t="s">
        <v>27</v>
      </c>
      <c r="L884" s="4" t="s">
        <v>27</v>
      </c>
      <c r="M884" s="4" t="s">
        <v>198</v>
      </c>
      <c r="N884" s="5">
        <v>270963458</v>
      </c>
      <c r="O884" s="2" t="s">
        <v>171</v>
      </c>
      <c r="P884" s="2" t="s">
        <v>37</v>
      </c>
      <c r="Q884" s="4" t="s">
        <v>1316</v>
      </c>
    </row>
    <row r="885" spans="1:17" hidden="1" x14ac:dyDescent="0.2">
      <c r="A885" s="2" t="s">
        <v>1822</v>
      </c>
      <c r="B885" s="2" t="s">
        <v>40</v>
      </c>
      <c r="C885" s="2" t="s">
        <v>89</v>
      </c>
      <c r="D885" s="2" t="s">
        <v>20</v>
      </c>
      <c r="E885" s="3">
        <v>98012</v>
      </c>
      <c r="F885" s="4" t="s">
        <v>57</v>
      </c>
      <c r="G885" s="2" t="s">
        <v>1177</v>
      </c>
      <c r="H885" s="2" t="s">
        <v>1628</v>
      </c>
      <c r="I885" s="2" t="s">
        <v>212</v>
      </c>
      <c r="J885" s="2" t="s">
        <v>298</v>
      </c>
      <c r="K885" s="4" t="s">
        <v>27</v>
      </c>
      <c r="L885" s="4" t="s">
        <v>27</v>
      </c>
      <c r="M885" s="4" t="s">
        <v>170</v>
      </c>
      <c r="N885" s="5">
        <v>210032602</v>
      </c>
      <c r="O885" s="2" t="s">
        <v>91</v>
      </c>
      <c r="P885" s="2" t="s">
        <v>30</v>
      </c>
      <c r="Q885" s="4" t="s">
        <v>811</v>
      </c>
    </row>
    <row r="886" spans="1:17" hidden="1" x14ac:dyDescent="0.2">
      <c r="A886" s="2" t="s">
        <v>1822</v>
      </c>
      <c r="B886" s="2" t="s">
        <v>33</v>
      </c>
      <c r="C886" s="2" t="s">
        <v>669</v>
      </c>
      <c r="D886" s="2" t="s">
        <v>20</v>
      </c>
      <c r="E886" s="3">
        <v>98052</v>
      </c>
      <c r="F886" s="4" t="s">
        <v>57</v>
      </c>
      <c r="G886" s="2" t="s">
        <v>1177</v>
      </c>
      <c r="H886" s="2" t="s">
        <v>1628</v>
      </c>
      <c r="I886" s="2" t="s">
        <v>212</v>
      </c>
      <c r="J886" s="2" t="s">
        <v>298</v>
      </c>
      <c r="K886" s="4" t="s">
        <v>27</v>
      </c>
      <c r="L886" s="4" t="s">
        <v>27</v>
      </c>
      <c r="M886" s="4" t="s">
        <v>198</v>
      </c>
      <c r="N886" s="5">
        <v>194612400</v>
      </c>
      <c r="O886" s="2" t="s">
        <v>670</v>
      </c>
      <c r="P886" s="2" t="s">
        <v>37</v>
      </c>
      <c r="Q886" s="4" t="s">
        <v>1331</v>
      </c>
    </row>
    <row r="887" spans="1:17" hidden="1" x14ac:dyDescent="0.2">
      <c r="A887" s="2" t="s">
        <v>1823</v>
      </c>
      <c r="B887" s="2" t="s">
        <v>33</v>
      </c>
      <c r="C887" s="2" t="s">
        <v>34</v>
      </c>
      <c r="D887" s="2" t="s">
        <v>20</v>
      </c>
      <c r="E887" s="3">
        <v>98027</v>
      </c>
      <c r="F887" s="4" t="s">
        <v>21</v>
      </c>
      <c r="G887" s="2" t="s">
        <v>1177</v>
      </c>
      <c r="H887" s="2" t="s">
        <v>1628</v>
      </c>
      <c r="I887" s="2" t="s">
        <v>212</v>
      </c>
      <c r="J887" s="2" t="s">
        <v>298</v>
      </c>
      <c r="K887" s="4" t="s">
        <v>27</v>
      </c>
      <c r="L887" s="4" t="s">
        <v>27</v>
      </c>
      <c r="M887" s="4" t="s">
        <v>35</v>
      </c>
      <c r="N887" s="5">
        <v>260994527</v>
      </c>
      <c r="O887" s="2" t="s">
        <v>36</v>
      </c>
      <c r="P887" s="2" t="s">
        <v>37</v>
      </c>
      <c r="Q887" s="4" t="s">
        <v>369</v>
      </c>
    </row>
    <row r="888" spans="1:17" hidden="1" x14ac:dyDescent="0.2">
      <c r="A888" s="2" t="s">
        <v>1823</v>
      </c>
      <c r="B888" s="2" t="s">
        <v>33</v>
      </c>
      <c r="C888" s="2" t="s">
        <v>620</v>
      </c>
      <c r="D888" s="2" t="s">
        <v>20</v>
      </c>
      <c r="E888" s="3">
        <v>98056</v>
      </c>
      <c r="F888" s="4" t="s">
        <v>21</v>
      </c>
      <c r="G888" s="2" t="s">
        <v>1177</v>
      </c>
      <c r="H888" s="2" t="s">
        <v>1628</v>
      </c>
      <c r="I888" s="2" t="s">
        <v>212</v>
      </c>
      <c r="J888" s="2" t="s">
        <v>298</v>
      </c>
      <c r="K888" s="4" t="s">
        <v>27</v>
      </c>
      <c r="L888" s="4" t="s">
        <v>27</v>
      </c>
      <c r="M888" s="4" t="s">
        <v>403</v>
      </c>
      <c r="N888" s="5">
        <v>244242848</v>
      </c>
      <c r="O888" s="2" t="s">
        <v>593</v>
      </c>
      <c r="P888" s="2" t="s">
        <v>37</v>
      </c>
      <c r="Q888" s="4" t="s">
        <v>1614</v>
      </c>
    </row>
    <row r="889" spans="1:17" hidden="1" x14ac:dyDescent="0.2">
      <c r="A889" s="2" t="s">
        <v>1823</v>
      </c>
      <c r="B889" s="2" t="s">
        <v>55</v>
      </c>
      <c r="C889" s="2" t="s">
        <v>63</v>
      </c>
      <c r="D889" s="2" t="s">
        <v>20</v>
      </c>
      <c r="E889" s="3">
        <v>98684</v>
      </c>
      <c r="F889" s="4" t="s">
        <v>21</v>
      </c>
      <c r="G889" s="2" t="s">
        <v>1177</v>
      </c>
      <c r="H889" s="2" t="s">
        <v>1628</v>
      </c>
      <c r="I889" s="2" t="s">
        <v>212</v>
      </c>
      <c r="J889" s="2" t="s">
        <v>298</v>
      </c>
      <c r="K889" s="4" t="s">
        <v>27</v>
      </c>
      <c r="L889" s="4" t="s">
        <v>27</v>
      </c>
      <c r="M889" s="4" t="s">
        <v>64</v>
      </c>
      <c r="N889" s="5">
        <v>260677539</v>
      </c>
      <c r="O889" s="2" t="s">
        <v>1824</v>
      </c>
      <c r="P889" s="2" t="s">
        <v>60</v>
      </c>
      <c r="Q889" s="4" t="s">
        <v>1825</v>
      </c>
    </row>
    <row r="890" spans="1:17" hidden="1" x14ac:dyDescent="0.2">
      <c r="A890" s="2" t="s">
        <v>1826</v>
      </c>
      <c r="B890" s="2" t="s">
        <v>40</v>
      </c>
      <c r="C890" s="2" t="s">
        <v>120</v>
      </c>
      <c r="D890" s="2" t="s">
        <v>20</v>
      </c>
      <c r="E890" s="3">
        <v>98292</v>
      </c>
      <c r="F890" s="4" t="s">
        <v>121</v>
      </c>
      <c r="G890" s="2" t="s">
        <v>1177</v>
      </c>
      <c r="H890" s="2" t="s">
        <v>1628</v>
      </c>
      <c r="I890" s="2" t="s">
        <v>212</v>
      </c>
      <c r="J890" s="2" t="s">
        <v>298</v>
      </c>
      <c r="K890" s="4" t="s">
        <v>27</v>
      </c>
      <c r="L890" s="4" t="s">
        <v>27</v>
      </c>
      <c r="M890" s="4" t="s">
        <v>96</v>
      </c>
      <c r="N890" s="5">
        <v>262431844</v>
      </c>
      <c r="O890" s="2" t="s">
        <v>122</v>
      </c>
      <c r="P890" s="2" t="s">
        <v>107</v>
      </c>
      <c r="Q890" s="4" t="s">
        <v>123</v>
      </c>
    </row>
    <row r="891" spans="1:17" hidden="1" x14ac:dyDescent="0.2">
      <c r="A891" s="2" t="s">
        <v>1827</v>
      </c>
      <c r="B891" s="2" t="s">
        <v>33</v>
      </c>
      <c r="C891" s="2" t="s">
        <v>669</v>
      </c>
      <c r="D891" s="2" t="s">
        <v>20</v>
      </c>
      <c r="E891" s="3">
        <v>98053</v>
      </c>
      <c r="F891" s="4" t="s">
        <v>130</v>
      </c>
      <c r="G891" s="2" t="s">
        <v>1177</v>
      </c>
      <c r="H891" s="2" t="s">
        <v>1628</v>
      </c>
      <c r="I891" s="2" t="s">
        <v>212</v>
      </c>
      <c r="J891" s="2" t="s">
        <v>298</v>
      </c>
      <c r="K891" s="4" t="s">
        <v>27</v>
      </c>
      <c r="L891" s="4" t="s">
        <v>27</v>
      </c>
      <c r="M891" s="4" t="s">
        <v>198</v>
      </c>
      <c r="N891" s="5">
        <v>276833378</v>
      </c>
      <c r="O891" s="2" t="s">
        <v>1002</v>
      </c>
      <c r="P891" s="2" t="s">
        <v>37</v>
      </c>
      <c r="Q891" s="4" t="s">
        <v>1003</v>
      </c>
    </row>
    <row r="892" spans="1:17" hidden="1" x14ac:dyDescent="0.2">
      <c r="A892" s="2" t="s">
        <v>1827</v>
      </c>
      <c r="B892" s="2" t="s">
        <v>151</v>
      </c>
      <c r="C892" s="2" t="s">
        <v>152</v>
      </c>
      <c r="D892" s="2" t="s">
        <v>20</v>
      </c>
      <c r="E892" s="3">
        <v>98513</v>
      </c>
      <c r="F892" s="4" t="s">
        <v>130</v>
      </c>
      <c r="G892" s="2" t="s">
        <v>1177</v>
      </c>
      <c r="H892" s="2" t="s">
        <v>1628</v>
      </c>
      <c r="I892" s="2" t="s">
        <v>212</v>
      </c>
      <c r="J892" s="2" t="s">
        <v>298</v>
      </c>
      <c r="K892" s="4" t="s">
        <v>27</v>
      </c>
      <c r="L892" s="4" t="s">
        <v>27</v>
      </c>
      <c r="M892" s="4" t="s">
        <v>357</v>
      </c>
      <c r="N892" s="5">
        <v>279998295</v>
      </c>
      <c r="O892" s="2" t="s">
        <v>657</v>
      </c>
      <c r="P892" s="2" t="s">
        <v>30</v>
      </c>
      <c r="Q892" s="4" t="s">
        <v>658</v>
      </c>
    </row>
    <row r="893" spans="1:17" hidden="1" x14ac:dyDescent="0.2">
      <c r="A893" s="2" t="s">
        <v>1828</v>
      </c>
      <c r="B893" s="2" t="s">
        <v>33</v>
      </c>
      <c r="C893" s="2" t="s">
        <v>83</v>
      </c>
      <c r="D893" s="2" t="s">
        <v>20</v>
      </c>
      <c r="E893" s="3">
        <v>98125</v>
      </c>
      <c r="F893" s="4" t="s">
        <v>121</v>
      </c>
      <c r="G893" s="2" t="s">
        <v>1177</v>
      </c>
      <c r="H893" s="2" t="s">
        <v>1628</v>
      </c>
      <c r="I893" s="2" t="s">
        <v>212</v>
      </c>
      <c r="J893" s="2" t="s">
        <v>298</v>
      </c>
      <c r="K893" s="4" t="s">
        <v>27</v>
      </c>
      <c r="L893" s="4" t="s">
        <v>27</v>
      </c>
      <c r="M893" s="4" t="s">
        <v>278</v>
      </c>
      <c r="N893" s="5">
        <v>275113184</v>
      </c>
      <c r="O893" s="2" t="s">
        <v>279</v>
      </c>
      <c r="P893" s="2" t="s">
        <v>86</v>
      </c>
      <c r="Q893" s="4" t="s">
        <v>613</v>
      </c>
    </row>
    <row r="894" spans="1:17" hidden="1" x14ac:dyDescent="0.2">
      <c r="A894" s="2" t="s">
        <v>1828</v>
      </c>
      <c r="B894" s="2" t="s">
        <v>33</v>
      </c>
      <c r="C894" s="2" t="s">
        <v>146</v>
      </c>
      <c r="D894" s="2" t="s">
        <v>20</v>
      </c>
      <c r="E894" s="3">
        <v>98005</v>
      </c>
      <c r="F894" s="4" t="s">
        <v>121</v>
      </c>
      <c r="G894" s="2" t="s">
        <v>1177</v>
      </c>
      <c r="H894" s="2" t="s">
        <v>1628</v>
      </c>
      <c r="I894" s="2" t="s">
        <v>212</v>
      </c>
      <c r="J894" s="2" t="s">
        <v>298</v>
      </c>
      <c r="K894" s="4" t="s">
        <v>27</v>
      </c>
      <c r="L894" s="4" t="s">
        <v>27</v>
      </c>
      <c r="M894" s="4" t="s">
        <v>403</v>
      </c>
      <c r="N894" s="5">
        <v>262720853</v>
      </c>
      <c r="O894" s="2" t="s">
        <v>448</v>
      </c>
      <c r="P894" s="2" t="s">
        <v>37</v>
      </c>
      <c r="Q894" s="4" t="s">
        <v>449</v>
      </c>
    </row>
    <row r="895" spans="1:17" hidden="1" x14ac:dyDescent="0.2">
      <c r="A895" s="2" t="s">
        <v>1828</v>
      </c>
      <c r="B895" s="2" t="s">
        <v>33</v>
      </c>
      <c r="C895" s="2" t="s">
        <v>1056</v>
      </c>
      <c r="D895" s="2" t="s">
        <v>20</v>
      </c>
      <c r="E895" s="3">
        <v>98030</v>
      </c>
      <c r="F895" s="4" t="s">
        <v>121</v>
      </c>
      <c r="G895" s="2" t="s">
        <v>1177</v>
      </c>
      <c r="H895" s="2" t="s">
        <v>1628</v>
      </c>
      <c r="I895" s="2" t="s">
        <v>212</v>
      </c>
      <c r="J895" s="2" t="s">
        <v>298</v>
      </c>
      <c r="K895" s="4" t="s">
        <v>27</v>
      </c>
      <c r="L895" s="4" t="s">
        <v>27</v>
      </c>
      <c r="M895" s="4" t="s">
        <v>69</v>
      </c>
      <c r="N895" s="5">
        <v>267548270</v>
      </c>
      <c r="O895" s="2" t="s">
        <v>1344</v>
      </c>
      <c r="P895" s="2" t="s">
        <v>37</v>
      </c>
      <c r="Q895" s="4" t="s">
        <v>1829</v>
      </c>
    </row>
    <row r="896" spans="1:17" hidden="1" x14ac:dyDescent="0.2">
      <c r="A896" s="2" t="s">
        <v>1830</v>
      </c>
      <c r="B896" s="2" t="s">
        <v>33</v>
      </c>
      <c r="C896" s="2" t="s">
        <v>139</v>
      </c>
      <c r="D896" s="2" t="s">
        <v>20</v>
      </c>
      <c r="E896" s="3">
        <v>98058</v>
      </c>
      <c r="F896" s="4" t="s">
        <v>130</v>
      </c>
      <c r="G896" s="2" t="s">
        <v>1177</v>
      </c>
      <c r="H896" s="2" t="s">
        <v>1628</v>
      </c>
      <c r="I896" s="2" t="s">
        <v>212</v>
      </c>
      <c r="J896" s="2" t="s">
        <v>298</v>
      </c>
      <c r="K896" s="4" t="s">
        <v>27</v>
      </c>
      <c r="L896" s="4" t="s">
        <v>27</v>
      </c>
      <c r="M896" s="4" t="s">
        <v>69</v>
      </c>
      <c r="N896" s="5">
        <v>278253265</v>
      </c>
      <c r="O896" s="2" t="s">
        <v>141</v>
      </c>
      <c r="P896" s="2" t="s">
        <v>37</v>
      </c>
      <c r="Q896" s="4" t="s">
        <v>848</v>
      </c>
    </row>
    <row r="897" spans="1:17" hidden="1" x14ac:dyDescent="0.2">
      <c r="A897" s="2" t="s">
        <v>1831</v>
      </c>
      <c r="B897" s="2" t="s">
        <v>55</v>
      </c>
      <c r="C897" s="2" t="s">
        <v>63</v>
      </c>
      <c r="D897" s="2" t="s">
        <v>20</v>
      </c>
      <c r="E897" s="3">
        <v>98664</v>
      </c>
      <c r="F897" s="4" t="s">
        <v>121</v>
      </c>
      <c r="G897" s="2" t="s">
        <v>1177</v>
      </c>
      <c r="H897" s="2" t="s">
        <v>1628</v>
      </c>
      <c r="I897" s="2" t="s">
        <v>212</v>
      </c>
      <c r="J897" s="2" t="s">
        <v>298</v>
      </c>
      <c r="K897" s="4" t="s">
        <v>27</v>
      </c>
      <c r="L897" s="4" t="s">
        <v>27</v>
      </c>
      <c r="M897" s="4" t="s">
        <v>191</v>
      </c>
      <c r="N897" s="5">
        <v>268361936</v>
      </c>
      <c r="O897" s="2" t="s">
        <v>703</v>
      </c>
      <c r="P897" s="2" t="s">
        <v>60</v>
      </c>
      <c r="Q897" s="4" t="s">
        <v>1832</v>
      </c>
    </row>
    <row r="898" spans="1:17" hidden="1" x14ac:dyDescent="0.2">
      <c r="A898" s="2" t="s">
        <v>1833</v>
      </c>
      <c r="B898" s="2" t="s">
        <v>40</v>
      </c>
      <c r="C898" s="2" t="s">
        <v>73</v>
      </c>
      <c r="D898" s="2" t="s">
        <v>20</v>
      </c>
      <c r="E898" s="3">
        <v>98036</v>
      </c>
      <c r="F898" s="4" t="s">
        <v>130</v>
      </c>
      <c r="G898" s="2" t="s">
        <v>1177</v>
      </c>
      <c r="H898" s="2" t="s">
        <v>1628</v>
      </c>
      <c r="I898" s="2" t="s">
        <v>212</v>
      </c>
      <c r="J898" s="2" t="s">
        <v>298</v>
      </c>
      <c r="K898" s="4" t="s">
        <v>27</v>
      </c>
      <c r="L898" s="4" t="s">
        <v>27</v>
      </c>
      <c r="M898" s="4" t="s">
        <v>74</v>
      </c>
      <c r="N898" s="5">
        <v>277779638</v>
      </c>
      <c r="O898" s="2" t="s">
        <v>75</v>
      </c>
      <c r="P898" s="2" t="s">
        <v>30</v>
      </c>
      <c r="Q898" s="4" t="s">
        <v>819</v>
      </c>
    </row>
    <row r="899" spans="1:17" hidden="1" x14ac:dyDescent="0.2">
      <c r="A899" s="2" t="s">
        <v>1834</v>
      </c>
      <c r="B899" s="2" t="s">
        <v>33</v>
      </c>
      <c r="C899" s="2" t="s">
        <v>146</v>
      </c>
      <c r="D899" s="2" t="s">
        <v>20</v>
      </c>
      <c r="E899" s="3">
        <v>98006</v>
      </c>
      <c r="F899" s="4" t="s">
        <v>57</v>
      </c>
      <c r="G899" s="2" t="s">
        <v>1177</v>
      </c>
      <c r="H899" s="2" t="s">
        <v>1628</v>
      </c>
      <c r="I899" s="2" t="s">
        <v>212</v>
      </c>
      <c r="J899" s="2" t="s">
        <v>298</v>
      </c>
      <c r="K899" s="4" t="s">
        <v>27</v>
      </c>
      <c r="L899" s="4" t="s">
        <v>27</v>
      </c>
      <c r="M899" s="4" t="s">
        <v>403</v>
      </c>
      <c r="N899" s="5">
        <v>192507535</v>
      </c>
      <c r="O899" s="2" t="s">
        <v>1249</v>
      </c>
      <c r="P899" s="2" t="s">
        <v>37</v>
      </c>
      <c r="Q899" s="4" t="s">
        <v>1835</v>
      </c>
    </row>
    <row r="900" spans="1:17" hidden="1" x14ac:dyDescent="0.2">
      <c r="A900" s="2" t="s">
        <v>1834</v>
      </c>
      <c r="B900" s="2" t="s">
        <v>33</v>
      </c>
      <c r="C900" s="2" t="s">
        <v>669</v>
      </c>
      <c r="D900" s="2" t="s">
        <v>20</v>
      </c>
      <c r="E900" s="3">
        <v>98052</v>
      </c>
      <c r="F900" s="4" t="s">
        <v>57</v>
      </c>
      <c r="G900" s="2" t="s">
        <v>1177</v>
      </c>
      <c r="H900" s="2" t="s">
        <v>1628</v>
      </c>
      <c r="I900" s="2" t="s">
        <v>212</v>
      </c>
      <c r="J900" s="2" t="s">
        <v>298</v>
      </c>
      <c r="K900" s="4" t="s">
        <v>27</v>
      </c>
      <c r="L900" s="4" t="s">
        <v>27</v>
      </c>
      <c r="M900" s="4" t="s">
        <v>198</v>
      </c>
      <c r="N900" s="5">
        <v>207162070</v>
      </c>
      <c r="O900" s="2" t="s">
        <v>670</v>
      </c>
      <c r="P900" s="2" t="s">
        <v>37</v>
      </c>
      <c r="Q900" s="4" t="s">
        <v>1047</v>
      </c>
    </row>
    <row r="901" spans="1:17" hidden="1" x14ac:dyDescent="0.2">
      <c r="A901" s="2" t="s">
        <v>1836</v>
      </c>
      <c r="B901" s="2" t="s">
        <v>33</v>
      </c>
      <c r="C901" s="2" t="s">
        <v>669</v>
      </c>
      <c r="D901" s="2" t="s">
        <v>20</v>
      </c>
      <c r="E901" s="3">
        <v>98052</v>
      </c>
      <c r="F901" s="4" t="s">
        <v>21</v>
      </c>
      <c r="G901" s="2" t="s">
        <v>1177</v>
      </c>
      <c r="H901" s="2" t="s">
        <v>1628</v>
      </c>
      <c r="I901" s="2" t="s">
        <v>212</v>
      </c>
      <c r="J901" s="2" t="s">
        <v>298</v>
      </c>
      <c r="K901" s="4" t="s">
        <v>27</v>
      </c>
      <c r="L901" s="4" t="s">
        <v>27</v>
      </c>
      <c r="M901" s="4" t="s">
        <v>198</v>
      </c>
      <c r="N901" s="5">
        <v>260502126</v>
      </c>
      <c r="O901" s="2" t="s">
        <v>670</v>
      </c>
      <c r="P901" s="2" t="s">
        <v>37</v>
      </c>
      <c r="Q901" s="4" t="s">
        <v>1673</v>
      </c>
    </row>
    <row r="902" spans="1:17" hidden="1" x14ac:dyDescent="0.2">
      <c r="A902" s="2" t="s">
        <v>1837</v>
      </c>
      <c r="B902" s="2" t="s">
        <v>33</v>
      </c>
      <c r="C902" s="2" t="s">
        <v>169</v>
      </c>
      <c r="D902" s="2" t="s">
        <v>20</v>
      </c>
      <c r="E902" s="3">
        <v>98034</v>
      </c>
      <c r="F902" s="4" t="s">
        <v>121</v>
      </c>
      <c r="G902" s="2" t="s">
        <v>1177</v>
      </c>
      <c r="H902" s="2" t="s">
        <v>1628</v>
      </c>
      <c r="I902" s="2" t="s">
        <v>212</v>
      </c>
      <c r="J902" s="2" t="s">
        <v>298</v>
      </c>
      <c r="K902" s="4" t="s">
        <v>27</v>
      </c>
      <c r="L902" s="4" t="s">
        <v>27</v>
      </c>
      <c r="M902" s="4" t="s">
        <v>198</v>
      </c>
      <c r="N902" s="5">
        <v>268611857</v>
      </c>
      <c r="O902" s="2" t="s">
        <v>171</v>
      </c>
      <c r="P902" s="2" t="s">
        <v>37</v>
      </c>
      <c r="Q902" s="4" t="s">
        <v>205</v>
      </c>
    </row>
    <row r="903" spans="1:17" hidden="1" x14ac:dyDescent="0.2">
      <c r="A903" s="2" t="s">
        <v>1838</v>
      </c>
      <c r="B903" s="2" t="s">
        <v>151</v>
      </c>
      <c r="C903" s="2" t="s">
        <v>566</v>
      </c>
      <c r="D903" s="2" t="s">
        <v>20</v>
      </c>
      <c r="E903" s="3">
        <v>98513</v>
      </c>
      <c r="F903" s="4" t="s">
        <v>1113</v>
      </c>
      <c r="G903" s="2" t="s">
        <v>1177</v>
      </c>
      <c r="H903" s="2" t="s">
        <v>1628</v>
      </c>
      <c r="I903" s="2" t="s">
        <v>212</v>
      </c>
      <c r="J903" s="2" t="s">
        <v>298</v>
      </c>
      <c r="K903" s="4" t="s">
        <v>27</v>
      </c>
      <c r="L903" s="4" t="s">
        <v>27</v>
      </c>
      <c r="M903" s="4" t="s">
        <v>90</v>
      </c>
      <c r="N903" s="5">
        <v>283417648</v>
      </c>
      <c r="O903" s="2" t="s">
        <v>657</v>
      </c>
      <c r="P903" s="2" t="s">
        <v>30</v>
      </c>
      <c r="Q903" s="4" t="s">
        <v>1839</v>
      </c>
    </row>
    <row r="904" spans="1:17" hidden="1" x14ac:dyDescent="0.2">
      <c r="A904" s="2" t="s">
        <v>1840</v>
      </c>
      <c r="B904" s="2" t="s">
        <v>33</v>
      </c>
      <c r="C904" s="2" t="s">
        <v>186</v>
      </c>
      <c r="D904" s="2" t="s">
        <v>20</v>
      </c>
      <c r="E904" s="3">
        <v>98023</v>
      </c>
      <c r="F904" s="4" t="s">
        <v>130</v>
      </c>
      <c r="G904" s="2" t="s">
        <v>1177</v>
      </c>
      <c r="H904" s="2" t="s">
        <v>1628</v>
      </c>
      <c r="I904" s="2" t="s">
        <v>212</v>
      </c>
      <c r="J904" s="2" t="s">
        <v>298</v>
      </c>
      <c r="K904" s="4" t="s">
        <v>27</v>
      </c>
      <c r="L904" s="4" t="s">
        <v>27</v>
      </c>
      <c r="M904" s="4" t="s">
        <v>187</v>
      </c>
      <c r="N904" s="5">
        <v>276855869</v>
      </c>
      <c r="O904" s="2" t="s">
        <v>188</v>
      </c>
      <c r="P904" s="2" t="s">
        <v>37</v>
      </c>
      <c r="Q904" s="4" t="s">
        <v>740</v>
      </c>
    </row>
    <row r="905" spans="1:17" hidden="1" x14ac:dyDescent="0.2">
      <c r="A905" s="2" t="s">
        <v>1841</v>
      </c>
      <c r="B905" s="2" t="s">
        <v>40</v>
      </c>
      <c r="C905" s="2" t="s">
        <v>89</v>
      </c>
      <c r="D905" s="2" t="s">
        <v>20</v>
      </c>
      <c r="E905" s="3">
        <v>98012</v>
      </c>
      <c r="F905" s="4" t="s">
        <v>121</v>
      </c>
      <c r="G905" s="2" t="s">
        <v>1177</v>
      </c>
      <c r="H905" s="2" t="s">
        <v>1628</v>
      </c>
      <c r="I905" s="2" t="s">
        <v>212</v>
      </c>
      <c r="J905" s="2" t="s">
        <v>298</v>
      </c>
      <c r="K905" s="4" t="s">
        <v>27</v>
      </c>
      <c r="L905" s="4" t="s">
        <v>27</v>
      </c>
      <c r="M905" s="4" t="s">
        <v>116</v>
      </c>
      <c r="N905" s="5">
        <v>265104507</v>
      </c>
      <c r="O905" s="2" t="s">
        <v>91</v>
      </c>
      <c r="P905" s="2" t="s">
        <v>30</v>
      </c>
      <c r="Q905" s="4" t="s">
        <v>521</v>
      </c>
    </row>
    <row r="906" spans="1:17" hidden="1" x14ac:dyDescent="0.2">
      <c r="A906" s="2" t="s">
        <v>1842</v>
      </c>
      <c r="B906" s="2" t="s">
        <v>33</v>
      </c>
      <c r="C906" s="2" t="s">
        <v>169</v>
      </c>
      <c r="D906" s="2" t="s">
        <v>20</v>
      </c>
      <c r="E906" s="3">
        <v>98034</v>
      </c>
      <c r="F906" s="4" t="s">
        <v>130</v>
      </c>
      <c r="G906" s="2" t="s">
        <v>1177</v>
      </c>
      <c r="H906" s="2" t="s">
        <v>1628</v>
      </c>
      <c r="I906" s="2" t="s">
        <v>212</v>
      </c>
      <c r="J906" s="2" t="s">
        <v>298</v>
      </c>
      <c r="K906" s="4" t="s">
        <v>27</v>
      </c>
      <c r="L906" s="4" t="s">
        <v>27</v>
      </c>
      <c r="M906" s="4" t="s">
        <v>170</v>
      </c>
      <c r="N906" s="5">
        <v>275451865</v>
      </c>
      <c r="O906" s="2" t="s">
        <v>171</v>
      </c>
      <c r="P906" s="2" t="s">
        <v>37</v>
      </c>
      <c r="Q906" s="4" t="s">
        <v>1843</v>
      </c>
    </row>
    <row r="907" spans="1:17" hidden="1" x14ac:dyDescent="0.2">
      <c r="A907" s="2" t="s">
        <v>1844</v>
      </c>
      <c r="B907" s="2" t="s">
        <v>33</v>
      </c>
      <c r="C907" s="2" t="s">
        <v>1204</v>
      </c>
      <c r="D907" s="2" t="s">
        <v>20</v>
      </c>
      <c r="E907" s="3">
        <v>98168</v>
      </c>
      <c r="F907" s="4" t="s">
        <v>130</v>
      </c>
      <c r="G907" s="2" t="s">
        <v>1177</v>
      </c>
      <c r="H907" s="2" t="s">
        <v>1628</v>
      </c>
      <c r="I907" s="2" t="s">
        <v>212</v>
      </c>
      <c r="J907" s="2" t="s">
        <v>298</v>
      </c>
      <c r="K907" s="4" t="s">
        <v>27</v>
      </c>
      <c r="L907" s="4" t="s">
        <v>27</v>
      </c>
      <c r="M907" s="4" t="s">
        <v>909</v>
      </c>
      <c r="N907" s="5">
        <v>277169469</v>
      </c>
      <c r="O907" s="2" t="s">
        <v>397</v>
      </c>
      <c r="P907" s="2" t="s">
        <v>86</v>
      </c>
      <c r="Q907" s="4" t="s">
        <v>1845</v>
      </c>
    </row>
    <row r="908" spans="1:17" hidden="1" x14ac:dyDescent="0.2">
      <c r="A908" s="2" t="s">
        <v>1846</v>
      </c>
      <c r="B908" s="2" t="s">
        <v>33</v>
      </c>
      <c r="C908" s="2" t="s">
        <v>83</v>
      </c>
      <c r="D908" s="2" t="s">
        <v>20</v>
      </c>
      <c r="E908" s="3">
        <v>98199</v>
      </c>
      <c r="F908" s="4" t="s">
        <v>21</v>
      </c>
      <c r="G908" s="2" t="s">
        <v>1177</v>
      </c>
      <c r="H908" s="2" t="s">
        <v>1628</v>
      </c>
      <c r="I908" s="2" t="s">
        <v>212</v>
      </c>
      <c r="J908" s="2" t="s">
        <v>298</v>
      </c>
      <c r="K908" s="4" t="s">
        <v>27</v>
      </c>
      <c r="L908" s="4" t="s">
        <v>27</v>
      </c>
      <c r="M908" s="4" t="s">
        <v>84</v>
      </c>
      <c r="N908" s="5">
        <v>260955201</v>
      </c>
      <c r="O908" s="2" t="s">
        <v>380</v>
      </c>
      <c r="P908" s="2" t="s">
        <v>86</v>
      </c>
      <c r="Q908" s="4" t="s">
        <v>381</v>
      </c>
    </row>
    <row r="909" spans="1:17" hidden="1" x14ac:dyDescent="0.2">
      <c r="A909" s="2" t="s">
        <v>1847</v>
      </c>
      <c r="B909" s="2" t="s">
        <v>18</v>
      </c>
      <c r="C909" s="2" t="s">
        <v>100</v>
      </c>
      <c r="D909" s="2" t="s">
        <v>20</v>
      </c>
      <c r="E909" s="3">
        <v>98366</v>
      </c>
      <c r="F909" s="4" t="s">
        <v>1113</v>
      </c>
      <c r="G909" s="2" t="s">
        <v>1177</v>
      </c>
      <c r="H909" s="2" t="s">
        <v>1628</v>
      </c>
      <c r="I909" s="2" t="s">
        <v>212</v>
      </c>
      <c r="J909" s="2" t="s">
        <v>298</v>
      </c>
      <c r="K909" s="4" t="s">
        <v>27</v>
      </c>
      <c r="L909" s="4" t="s">
        <v>27</v>
      </c>
      <c r="M909" s="4" t="s">
        <v>101</v>
      </c>
      <c r="N909" s="5">
        <v>282170521</v>
      </c>
      <c r="O909" s="2" t="s">
        <v>102</v>
      </c>
      <c r="P909" s="2" t="s">
        <v>30</v>
      </c>
      <c r="Q909" s="4" t="s">
        <v>103</v>
      </c>
    </row>
    <row r="910" spans="1:17" hidden="1" x14ac:dyDescent="0.2">
      <c r="A910" s="2" t="s">
        <v>1847</v>
      </c>
      <c r="B910" s="2" t="s">
        <v>33</v>
      </c>
      <c r="C910" s="2" t="s">
        <v>83</v>
      </c>
      <c r="D910" s="2" t="s">
        <v>20</v>
      </c>
      <c r="E910" s="3">
        <v>98116</v>
      </c>
      <c r="F910" s="4" t="s">
        <v>1113</v>
      </c>
      <c r="G910" s="2" t="s">
        <v>1177</v>
      </c>
      <c r="H910" s="2" t="s">
        <v>1628</v>
      </c>
      <c r="I910" s="2" t="s">
        <v>212</v>
      </c>
      <c r="J910" s="2" t="s">
        <v>298</v>
      </c>
      <c r="K910" s="4" t="s">
        <v>27</v>
      </c>
      <c r="L910" s="4" t="s">
        <v>27</v>
      </c>
      <c r="M910" s="4" t="s">
        <v>319</v>
      </c>
      <c r="N910" s="5">
        <v>284612590</v>
      </c>
      <c r="O910" s="2" t="s">
        <v>1034</v>
      </c>
      <c r="P910" s="2" t="s">
        <v>86</v>
      </c>
      <c r="Q910" s="4" t="s">
        <v>1035</v>
      </c>
    </row>
    <row r="911" spans="1:17" hidden="1" x14ac:dyDescent="0.2">
      <c r="A911" s="2" t="s">
        <v>1848</v>
      </c>
      <c r="B911" s="2" t="s">
        <v>33</v>
      </c>
      <c r="C911" s="2" t="s">
        <v>169</v>
      </c>
      <c r="D911" s="2" t="s">
        <v>20</v>
      </c>
      <c r="E911" s="3">
        <v>98034</v>
      </c>
      <c r="F911" s="4" t="s">
        <v>130</v>
      </c>
      <c r="G911" s="2" t="s">
        <v>1177</v>
      </c>
      <c r="H911" s="2" t="s">
        <v>1628</v>
      </c>
      <c r="I911" s="2" t="s">
        <v>212</v>
      </c>
      <c r="J911" s="2" t="s">
        <v>298</v>
      </c>
      <c r="K911" s="4" t="s">
        <v>27</v>
      </c>
      <c r="L911" s="4" t="s">
        <v>27</v>
      </c>
      <c r="M911" s="4" t="s">
        <v>198</v>
      </c>
      <c r="N911" s="5">
        <v>284950627</v>
      </c>
      <c r="O911" s="2" t="s">
        <v>171</v>
      </c>
      <c r="P911" s="2" t="s">
        <v>37</v>
      </c>
      <c r="Q911" s="4" t="s">
        <v>724</v>
      </c>
    </row>
    <row r="912" spans="1:17" hidden="1" x14ac:dyDescent="0.2">
      <c r="A912" s="2" t="s">
        <v>1849</v>
      </c>
      <c r="B912" s="2" t="s">
        <v>33</v>
      </c>
      <c r="C912" s="2" t="s">
        <v>451</v>
      </c>
      <c r="D912" s="2" t="s">
        <v>20</v>
      </c>
      <c r="E912" s="3">
        <v>98029</v>
      </c>
      <c r="F912" s="4" t="s">
        <v>130</v>
      </c>
      <c r="G912" s="2" t="s">
        <v>1177</v>
      </c>
      <c r="H912" s="2" t="s">
        <v>1628</v>
      </c>
      <c r="I912" s="2" t="s">
        <v>212</v>
      </c>
      <c r="J912" s="2" t="s">
        <v>298</v>
      </c>
      <c r="K912" s="4" t="s">
        <v>27</v>
      </c>
      <c r="L912" s="4" t="s">
        <v>27</v>
      </c>
      <c r="M912" s="4" t="s">
        <v>35</v>
      </c>
      <c r="N912" s="5">
        <v>278696393</v>
      </c>
      <c r="O912" s="2" t="s">
        <v>795</v>
      </c>
      <c r="P912" s="2" t="s">
        <v>37</v>
      </c>
      <c r="Q912" s="4" t="s">
        <v>1778</v>
      </c>
    </row>
    <row r="913" spans="1:17" hidden="1" x14ac:dyDescent="0.2">
      <c r="A913" s="2" t="s">
        <v>1849</v>
      </c>
      <c r="B913" s="2" t="s">
        <v>33</v>
      </c>
      <c r="C913" s="2" t="s">
        <v>68</v>
      </c>
      <c r="D913" s="2" t="s">
        <v>20</v>
      </c>
      <c r="E913" s="3">
        <v>98092</v>
      </c>
      <c r="F913" s="4" t="s">
        <v>130</v>
      </c>
      <c r="G913" s="2" t="s">
        <v>1177</v>
      </c>
      <c r="H913" s="2" t="s">
        <v>1628</v>
      </c>
      <c r="I913" s="2" t="s">
        <v>212</v>
      </c>
      <c r="J913" s="2" t="s">
        <v>298</v>
      </c>
      <c r="K913" s="4" t="s">
        <v>27</v>
      </c>
      <c r="L913" s="4" t="s">
        <v>27</v>
      </c>
      <c r="M913" s="4" t="s">
        <v>69</v>
      </c>
      <c r="N913" s="5">
        <v>273974249</v>
      </c>
      <c r="O913" s="2" t="s">
        <v>540</v>
      </c>
      <c r="P913" s="2" t="s">
        <v>37</v>
      </c>
      <c r="Q913" s="4" t="s">
        <v>1336</v>
      </c>
    </row>
    <row r="914" spans="1:17" hidden="1" x14ac:dyDescent="0.2">
      <c r="A914" s="2" t="s">
        <v>1850</v>
      </c>
      <c r="B914" s="2" t="s">
        <v>40</v>
      </c>
      <c r="C914" s="2" t="s">
        <v>197</v>
      </c>
      <c r="D914" s="2" t="s">
        <v>20</v>
      </c>
      <c r="E914" s="3">
        <v>98077</v>
      </c>
      <c r="F914" s="4" t="s">
        <v>57</v>
      </c>
      <c r="G914" s="2" t="s">
        <v>1177</v>
      </c>
      <c r="H914" s="2" t="s">
        <v>1628</v>
      </c>
      <c r="I914" s="2" t="s">
        <v>212</v>
      </c>
      <c r="J914" s="2" t="s">
        <v>298</v>
      </c>
      <c r="K914" s="4" t="s">
        <v>27</v>
      </c>
      <c r="L914" s="4" t="s">
        <v>27</v>
      </c>
      <c r="M914" s="4" t="s">
        <v>170</v>
      </c>
      <c r="N914" s="5">
        <v>205293812</v>
      </c>
      <c r="O914" s="2" t="s">
        <v>1851</v>
      </c>
      <c r="P914" s="2" t="s">
        <v>30</v>
      </c>
      <c r="Q914" s="4" t="s">
        <v>1852</v>
      </c>
    </row>
    <row r="915" spans="1:17" hidden="1" x14ac:dyDescent="0.2">
      <c r="A915" s="2" t="s">
        <v>1850</v>
      </c>
      <c r="B915" s="2" t="s">
        <v>40</v>
      </c>
      <c r="C915" s="2" t="s">
        <v>89</v>
      </c>
      <c r="D915" s="2" t="s">
        <v>20</v>
      </c>
      <c r="E915" s="3">
        <v>98021</v>
      </c>
      <c r="F915" s="4" t="s">
        <v>57</v>
      </c>
      <c r="G915" s="2" t="s">
        <v>1177</v>
      </c>
      <c r="H915" s="2" t="s">
        <v>1628</v>
      </c>
      <c r="I915" s="2" t="s">
        <v>212</v>
      </c>
      <c r="J915" s="2" t="s">
        <v>298</v>
      </c>
      <c r="K915" s="4" t="s">
        <v>27</v>
      </c>
      <c r="L915" s="4" t="s">
        <v>27</v>
      </c>
      <c r="M915" s="4" t="s">
        <v>170</v>
      </c>
      <c r="N915" s="5">
        <v>220245742</v>
      </c>
      <c r="O915" s="2" t="s">
        <v>247</v>
      </c>
      <c r="P915" s="2" t="s">
        <v>30</v>
      </c>
      <c r="Q915" s="4" t="s">
        <v>994</v>
      </c>
    </row>
    <row r="916" spans="1:17" hidden="1" x14ac:dyDescent="0.2">
      <c r="A916" s="2" t="s">
        <v>1853</v>
      </c>
      <c r="B916" s="2" t="s">
        <v>18</v>
      </c>
      <c r="C916" s="2" t="s">
        <v>218</v>
      </c>
      <c r="D916" s="2" t="s">
        <v>20</v>
      </c>
      <c r="E916" s="3">
        <v>98311</v>
      </c>
      <c r="F916" s="4" t="s">
        <v>21</v>
      </c>
      <c r="G916" s="2" t="s">
        <v>1177</v>
      </c>
      <c r="H916" s="2" t="s">
        <v>1628</v>
      </c>
      <c r="I916" s="2" t="s">
        <v>212</v>
      </c>
      <c r="J916" s="2" t="s">
        <v>298</v>
      </c>
      <c r="K916" s="4" t="s">
        <v>27</v>
      </c>
      <c r="L916" s="4" t="s">
        <v>27</v>
      </c>
      <c r="M916" s="4" t="s">
        <v>28</v>
      </c>
      <c r="N916" s="5">
        <v>229642976</v>
      </c>
      <c r="O916" s="2" t="s">
        <v>222</v>
      </c>
      <c r="P916" s="2" t="s">
        <v>30</v>
      </c>
      <c r="Q916" s="4" t="s">
        <v>1579</v>
      </c>
    </row>
    <row r="917" spans="1:17" hidden="1" x14ac:dyDescent="0.2">
      <c r="A917" s="2" t="s">
        <v>1853</v>
      </c>
      <c r="B917" s="2" t="s">
        <v>110</v>
      </c>
      <c r="C917" s="2" t="s">
        <v>1854</v>
      </c>
      <c r="D917" s="2" t="s">
        <v>20</v>
      </c>
      <c r="E917" s="3">
        <v>98466</v>
      </c>
      <c r="F917" s="4" t="s">
        <v>21</v>
      </c>
      <c r="G917" s="2" t="s">
        <v>1177</v>
      </c>
      <c r="H917" s="2" t="s">
        <v>1628</v>
      </c>
      <c r="I917" s="2" t="s">
        <v>212</v>
      </c>
      <c r="J917" s="2" t="s">
        <v>298</v>
      </c>
      <c r="K917" s="4" t="s">
        <v>27</v>
      </c>
      <c r="L917" s="4" t="s">
        <v>27</v>
      </c>
      <c r="M917" s="4" t="s">
        <v>478</v>
      </c>
      <c r="N917" s="5">
        <v>252393095</v>
      </c>
      <c r="O917" s="2" t="s">
        <v>1855</v>
      </c>
      <c r="P917" s="2" t="s">
        <v>310</v>
      </c>
      <c r="Q917" s="4" t="s">
        <v>1856</v>
      </c>
    </row>
    <row r="918" spans="1:17" hidden="1" x14ac:dyDescent="0.2">
      <c r="A918" s="2" t="s">
        <v>1853</v>
      </c>
      <c r="B918" s="2" t="s">
        <v>40</v>
      </c>
      <c r="C918" s="2" t="s">
        <v>89</v>
      </c>
      <c r="D918" s="2" t="s">
        <v>20</v>
      </c>
      <c r="E918" s="3">
        <v>98012</v>
      </c>
      <c r="F918" s="4" t="s">
        <v>21</v>
      </c>
      <c r="G918" s="2" t="s">
        <v>1177</v>
      </c>
      <c r="H918" s="2" t="s">
        <v>1628</v>
      </c>
      <c r="I918" s="2" t="s">
        <v>212</v>
      </c>
      <c r="J918" s="2" t="s">
        <v>298</v>
      </c>
      <c r="K918" s="4" t="s">
        <v>27</v>
      </c>
      <c r="L918" s="4" t="s">
        <v>27</v>
      </c>
      <c r="M918" s="4" t="s">
        <v>170</v>
      </c>
      <c r="N918" s="5">
        <v>249830703</v>
      </c>
      <c r="O918" s="2" t="s">
        <v>91</v>
      </c>
      <c r="P918" s="2" t="s">
        <v>30</v>
      </c>
      <c r="Q918" s="4" t="s">
        <v>1214</v>
      </c>
    </row>
    <row r="919" spans="1:17" hidden="1" x14ac:dyDescent="0.2">
      <c r="A919" s="2" t="s">
        <v>1853</v>
      </c>
      <c r="B919" s="2" t="s">
        <v>40</v>
      </c>
      <c r="C919" s="2" t="s">
        <v>73</v>
      </c>
      <c r="D919" s="2" t="s">
        <v>20</v>
      </c>
      <c r="E919" s="3">
        <v>98087</v>
      </c>
      <c r="F919" s="4" t="s">
        <v>21</v>
      </c>
      <c r="G919" s="2" t="s">
        <v>1177</v>
      </c>
      <c r="H919" s="2" t="s">
        <v>1628</v>
      </c>
      <c r="I919" s="2" t="s">
        <v>212</v>
      </c>
      <c r="J919" s="2" t="s">
        <v>298</v>
      </c>
      <c r="K919" s="4" t="s">
        <v>27</v>
      </c>
      <c r="L919" s="4" t="s">
        <v>27</v>
      </c>
      <c r="M919" s="4" t="s">
        <v>26</v>
      </c>
      <c r="N919" s="5">
        <v>258252977</v>
      </c>
      <c r="O919" s="2" t="s">
        <v>496</v>
      </c>
      <c r="P919" s="2" t="s">
        <v>30</v>
      </c>
      <c r="Q919" s="4" t="s">
        <v>1179</v>
      </c>
    </row>
    <row r="920" spans="1:17" hidden="1" x14ac:dyDescent="0.2">
      <c r="A920" s="2" t="s">
        <v>1853</v>
      </c>
      <c r="B920" s="2" t="s">
        <v>33</v>
      </c>
      <c r="C920" s="2" t="s">
        <v>146</v>
      </c>
      <c r="D920" s="2" t="s">
        <v>20</v>
      </c>
      <c r="E920" s="3">
        <v>98004</v>
      </c>
      <c r="F920" s="4" t="s">
        <v>21</v>
      </c>
      <c r="G920" s="2" t="s">
        <v>1177</v>
      </c>
      <c r="H920" s="2" t="s">
        <v>1628</v>
      </c>
      <c r="I920" s="2" t="s">
        <v>212</v>
      </c>
      <c r="J920" s="2" t="s">
        <v>298</v>
      </c>
      <c r="K920" s="4" t="s">
        <v>27</v>
      </c>
      <c r="L920" s="4" t="s">
        <v>27</v>
      </c>
      <c r="M920" s="4" t="s">
        <v>403</v>
      </c>
      <c r="N920" s="5">
        <v>228480493</v>
      </c>
      <c r="O920" s="2" t="s">
        <v>148</v>
      </c>
      <c r="P920" s="2" t="s">
        <v>37</v>
      </c>
      <c r="Q920" s="4" t="s">
        <v>1857</v>
      </c>
    </row>
    <row r="921" spans="1:17" hidden="1" x14ac:dyDescent="0.2">
      <c r="A921" s="2" t="s">
        <v>1858</v>
      </c>
      <c r="B921" s="2" t="s">
        <v>33</v>
      </c>
      <c r="C921" s="2" t="s">
        <v>669</v>
      </c>
      <c r="D921" s="2" t="s">
        <v>20</v>
      </c>
      <c r="E921" s="3">
        <v>98052</v>
      </c>
      <c r="F921" s="4" t="s">
        <v>121</v>
      </c>
      <c r="G921" s="2" t="s">
        <v>1177</v>
      </c>
      <c r="H921" s="2" t="s">
        <v>1628</v>
      </c>
      <c r="I921" s="2" t="s">
        <v>212</v>
      </c>
      <c r="J921" s="2" t="s">
        <v>298</v>
      </c>
      <c r="K921" s="4" t="s">
        <v>27</v>
      </c>
      <c r="L921" s="4" t="s">
        <v>27</v>
      </c>
      <c r="M921" s="4" t="s">
        <v>198</v>
      </c>
      <c r="N921" s="5">
        <v>272460212</v>
      </c>
      <c r="O921" s="2" t="s">
        <v>670</v>
      </c>
      <c r="P921" s="2" t="s">
        <v>37</v>
      </c>
      <c r="Q921" s="4" t="s">
        <v>1808</v>
      </c>
    </row>
    <row r="922" spans="1:17" hidden="1" x14ac:dyDescent="0.2">
      <c r="A922" s="2" t="s">
        <v>1858</v>
      </c>
      <c r="B922" s="2" t="s">
        <v>40</v>
      </c>
      <c r="C922" s="2" t="s">
        <v>1859</v>
      </c>
      <c r="D922" s="2" t="s">
        <v>20</v>
      </c>
      <c r="E922" s="3">
        <v>98252</v>
      </c>
      <c r="F922" s="4" t="s">
        <v>121</v>
      </c>
      <c r="G922" s="2" t="s">
        <v>1177</v>
      </c>
      <c r="H922" s="2" t="s">
        <v>1628</v>
      </c>
      <c r="I922" s="2" t="s">
        <v>212</v>
      </c>
      <c r="J922" s="2" t="s">
        <v>298</v>
      </c>
      <c r="K922" s="4" t="s">
        <v>27</v>
      </c>
      <c r="L922" s="4" t="s">
        <v>27</v>
      </c>
      <c r="M922" s="4" t="s">
        <v>44</v>
      </c>
      <c r="N922" s="5">
        <v>265132213</v>
      </c>
      <c r="O922" s="2" t="s">
        <v>1860</v>
      </c>
      <c r="P922" s="2" t="s">
        <v>30</v>
      </c>
      <c r="Q922" s="4" t="s">
        <v>1861</v>
      </c>
    </row>
    <row r="923" spans="1:17" hidden="1" x14ac:dyDescent="0.2">
      <c r="A923" s="2" t="s">
        <v>1858</v>
      </c>
      <c r="B923" s="2" t="s">
        <v>33</v>
      </c>
      <c r="C923" s="2" t="s">
        <v>708</v>
      </c>
      <c r="D923" s="2" t="s">
        <v>20</v>
      </c>
      <c r="E923" s="3">
        <v>98038</v>
      </c>
      <c r="F923" s="4" t="s">
        <v>121</v>
      </c>
      <c r="G923" s="2" t="s">
        <v>1177</v>
      </c>
      <c r="H923" s="2" t="s">
        <v>1628</v>
      </c>
      <c r="I923" s="2" t="s">
        <v>212</v>
      </c>
      <c r="J923" s="2" t="s">
        <v>298</v>
      </c>
      <c r="K923" s="4" t="s">
        <v>27</v>
      </c>
      <c r="L923" s="4" t="s">
        <v>27</v>
      </c>
      <c r="M923" s="4" t="s">
        <v>35</v>
      </c>
      <c r="N923" s="5">
        <v>262506009</v>
      </c>
      <c r="O923" s="2" t="s">
        <v>709</v>
      </c>
      <c r="P923" s="2" t="s">
        <v>37</v>
      </c>
      <c r="Q923" s="4" t="s">
        <v>1862</v>
      </c>
    </row>
    <row r="924" spans="1:17" hidden="1" x14ac:dyDescent="0.2">
      <c r="A924" s="2" t="s">
        <v>1863</v>
      </c>
      <c r="B924" s="2" t="s">
        <v>55</v>
      </c>
      <c r="C924" s="2" t="s">
        <v>63</v>
      </c>
      <c r="D924" s="2" t="s">
        <v>20</v>
      </c>
      <c r="E924" s="3">
        <v>98665</v>
      </c>
      <c r="F924" s="4" t="s">
        <v>130</v>
      </c>
      <c r="G924" s="2" t="s">
        <v>1177</v>
      </c>
      <c r="H924" s="2" t="s">
        <v>1628</v>
      </c>
      <c r="I924" s="2" t="s">
        <v>212</v>
      </c>
      <c r="J924" s="2" t="s">
        <v>298</v>
      </c>
      <c r="K924" s="4" t="s">
        <v>27</v>
      </c>
      <c r="L924" s="4" t="s">
        <v>27</v>
      </c>
      <c r="M924" s="4" t="s">
        <v>191</v>
      </c>
      <c r="N924" s="5">
        <v>273563055</v>
      </c>
      <c r="O924" s="2" t="s">
        <v>1864</v>
      </c>
      <c r="P924" s="2" t="s">
        <v>60</v>
      </c>
      <c r="Q924" s="4" t="s">
        <v>1865</v>
      </c>
    </row>
    <row r="925" spans="1:17" hidden="1" x14ac:dyDescent="0.2">
      <c r="A925" s="2" t="s">
        <v>1866</v>
      </c>
      <c r="B925" s="2" t="s">
        <v>33</v>
      </c>
      <c r="C925" s="2" t="s">
        <v>83</v>
      </c>
      <c r="D925" s="2" t="s">
        <v>20</v>
      </c>
      <c r="E925" s="3">
        <v>98146</v>
      </c>
      <c r="F925" s="4" t="s">
        <v>1113</v>
      </c>
      <c r="G925" s="2" t="s">
        <v>1177</v>
      </c>
      <c r="H925" s="2" t="s">
        <v>1628</v>
      </c>
      <c r="I925" s="2" t="s">
        <v>212</v>
      </c>
      <c r="J925" s="2" t="s">
        <v>298</v>
      </c>
      <c r="K925" s="4" t="s">
        <v>27</v>
      </c>
      <c r="L925" s="4" t="s">
        <v>27</v>
      </c>
      <c r="M925" s="4" t="s">
        <v>319</v>
      </c>
      <c r="N925" s="5">
        <v>285140670</v>
      </c>
      <c r="O925" s="2" t="s">
        <v>543</v>
      </c>
      <c r="P925" s="2" t="s">
        <v>86</v>
      </c>
      <c r="Q925" s="4" t="s">
        <v>1867</v>
      </c>
    </row>
    <row r="926" spans="1:17" hidden="1" x14ac:dyDescent="0.2">
      <c r="A926" s="2" t="s">
        <v>1868</v>
      </c>
      <c r="B926" s="2" t="s">
        <v>33</v>
      </c>
      <c r="C926" s="2" t="s">
        <v>146</v>
      </c>
      <c r="D926" s="2" t="s">
        <v>20</v>
      </c>
      <c r="E926" s="3">
        <v>98006</v>
      </c>
      <c r="F926" s="4" t="s">
        <v>57</v>
      </c>
      <c r="G926" s="2" t="s">
        <v>1177</v>
      </c>
      <c r="H926" s="2" t="s">
        <v>1628</v>
      </c>
      <c r="I926" s="2" t="s">
        <v>212</v>
      </c>
      <c r="J926" s="2" t="s">
        <v>298</v>
      </c>
      <c r="K926" s="4" t="s">
        <v>27</v>
      </c>
      <c r="L926" s="4" t="s">
        <v>27</v>
      </c>
      <c r="M926" s="4" t="s">
        <v>403</v>
      </c>
      <c r="N926" s="5">
        <v>205664238</v>
      </c>
      <c r="O926" s="2" t="s">
        <v>1249</v>
      </c>
      <c r="P926" s="2" t="s">
        <v>37</v>
      </c>
      <c r="Q926" s="4" t="s">
        <v>1869</v>
      </c>
    </row>
    <row r="927" spans="1:17" hidden="1" x14ac:dyDescent="0.2">
      <c r="A927" s="2" t="s">
        <v>1868</v>
      </c>
      <c r="B927" s="2" t="s">
        <v>40</v>
      </c>
      <c r="C927" s="2" t="s">
        <v>383</v>
      </c>
      <c r="D927" s="2" t="s">
        <v>20</v>
      </c>
      <c r="E927" s="3">
        <v>98208</v>
      </c>
      <c r="F927" s="4" t="s">
        <v>57</v>
      </c>
      <c r="G927" s="2" t="s">
        <v>1177</v>
      </c>
      <c r="H927" s="2" t="s">
        <v>1628</v>
      </c>
      <c r="I927" s="2" t="s">
        <v>212</v>
      </c>
      <c r="J927" s="2" t="s">
        <v>298</v>
      </c>
      <c r="K927" s="4" t="s">
        <v>27</v>
      </c>
      <c r="L927" s="4" t="s">
        <v>27</v>
      </c>
      <c r="M927" s="4" t="s">
        <v>116</v>
      </c>
      <c r="N927" s="5">
        <v>202029705</v>
      </c>
      <c r="O927" s="2" t="s">
        <v>384</v>
      </c>
      <c r="P927" s="2" t="s">
        <v>30</v>
      </c>
      <c r="Q927" s="4" t="s">
        <v>1182</v>
      </c>
    </row>
    <row r="928" spans="1:17" hidden="1" x14ac:dyDescent="0.2">
      <c r="A928" s="2" t="s">
        <v>1870</v>
      </c>
      <c r="B928" s="2" t="s">
        <v>1376</v>
      </c>
      <c r="C928" s="2" t="s">
        <v>1871</v>
      </c>
      <c r="D928" s="2" t="s">
        <v>20</v>
      </c>
      <c r="E928" s="3">
        <v>98632</v>
      </c>
      <c r="F928" s="4" t="s">
        <v>21</v>
      </c>
      <c r="G928" s="2" t="s">
        <v>1177</v>
      </c>
      <c r="H928" s="2" t="s">
        <v>1628</v>
      </c>
      <c r="I928" s="2" t="s">
        <v>212</v>
      </c>
      <c r="J928" s="2" t="s">
        <v>298</v>
      </c>
      <c r="K928" s="4" t="s">
        <v>27</v>
      </c>
      <c r="L928" s="4" t="s">
        <v>27</v>
      </c>
      <c r="M928" s="4" t="s">
        <v>221</v>
      </c>
      <c r="N928" s="5">
        <v>245569320</v>
      </c>
      <c r="O928" s="2" t="s">
        <v>1872</v>
      </c>
      <c r="P928" s="2" t="s">
        <v>1379</v>
      </c>
      <c r="Q928" s="4" t="s">
        <v>1873</v>
      </c>
    </row>
    <row r="929" spans="1:17" hidden="1" x14ac:dyDescent="0.2">
      <c r="A929" s="2" t="s">
        <v>1874</v>
      </c>
      <c r="B929" s="2" t="s">
        <v>18</v>
      </c>
      <c r="C929" s="2" t="s">
        <v>218</v>
      </c>
      <c r="D929" s="2" t="s">
        <v>20</v>
      </c>
      <c r="E929" s="3">
        <v>98337</v>
      </c>
      <c r="F929" s="4" t="s">
        <v>121</v>
      </c>
      <c r="G929" s="2" t="s">
        <v>1177</v>
      </c>
      <c r="H929" s="2" t="s">
        <v>1628</v>
      </c>
      <c r="I929" s="2" t="s">
        <v>212</v>
      </c>
      <c r="J929" s="2" t="s">
        <v>298</v>
      </c>
      <c r="K929" s="4" t="s">
        <v>27</v>
      </c>
      <c r="L929" s="4" t="s">
        <v>27</v>
      </c>
      <c r="M929" s="4" t="s">
        <v>101</v>
      </c>
      <c r="N929" s="5">
        <v>262383285</v>
      </c>
      <c r="O929" s="2" t="s">
        <v>1875</v>
      </c>
      <c r="P929" s="2" t="s">
        <v>30</v>
      </c>
      <c r="Q929" s="4" t="s">
        <v>1876</v>
      </c>
    </row>
    <row r="930" spans="1:17" hidden="1" x14ac:dyDescent="0.2">
      <c r="A930" s="2" t="s">
        <v>1874</v>
      </c>
      <c r="B930" s="2" t="s">
        <v>33</v>
      </c>
      <c r="C930" s="2" t="s">
        <v>83</v>
      </c>
      <c r="D930" s="2" t="s">
        <v>20</v>
      </c>
      <c r="E930" s="3">
        <v>98178</v>
      </c>
      <c r="F930" s="4" t="s">
        <v>121</v>
      </c>
      <c r="G930" s="2" t="s">
        <v>1177</v>
      </c>
      <c r="H930" s="2" t="s">
        <v>1628</v>
      </c>
      <c r="I930" s="2" t="s">
        <v>212</v>
      </c>
      <c r="J930" s="2" t="s">
        <v>298</v>
      </c>
      <c r="K930" s="4" t="s">
        <v>27</v>
      </c>
      <c r="L930" s="4" t="s">
        <v>27</v>
      </c>
      <c r="M930" s="4" t="s">
        <v>284</v>
      </c>
      <c r="N930" s="5">
        <v>273489877</v>
      </c>
      <c r="O930" s="2" t="s">
        <v>1301</v>
      </c>
      <c r="P930" s="2" t="s">
        <v>37</v>
      </c>
      <c r="Q930" s="4" t="s">
        <v>1877</v>
      </c>
    </row>
    <row r="931" spans="1:17" hidden="1" x14ac:dyDescent="0.2">
      <c r="A931" s="2" t="s">
        <v>1878</v>
      </c>
      <c r="B931" s="2" t="s">
        <v>33</v>
      </c>
      <c r="C931" s="2" t="s">
        <v>146</v>
      </c>
      <c r="D931" s="2" t="s">
        <v>20</v>
      </c>
      <c r="E931" s="3">
        <v>98004</v>
      </c>
      <c r="F931" s="4" t="s">
        <v>130</v>
      </c>
      <c r="G931" s="2" t="s">
        <v>1177</v>
      </c>
      <c r="H931" s="2" t="s">
        <v>1628</v>
      </c>
      <c r="I931" s="2" t="s">
        <v>212</v>
      </c>
      <c r="J931" s="2" t="s">
        <v>298</v>
      </c>
      <c r="K931" s="4" t="s">
        <v>27</v>
      </c>
      <c r="L931" s="4" t="s">
        <v>27</v>
      </c>
      <c r="M931" s="4" t="s">
        <v>403</v>
      </c>
      <c r="N931" s="5">
        <v>276649124</v>
      </c>
      <c r="O931" s="2" t="s">
        <v>148</v>
      </c>
      <c r="P931" s="2" t="s">
        <v>37</v>
      </c>
      <c r="Q931" s="4" t="s">
        <v>534</v>
      </c>
    </row>
    <row r="932" spans="1:17" hidden="1" x14ac:dyDescent="0.2">
      <c r="A932" s="2" t="s">
        <v>1878</v>
      </c>
      <c r="B932" s="2" t="s">
        <v>33</v>
      </c>
      <c r="C932" s="2" t="s">
        <v>83</v>
      </c>
      <c r="D932" s="2" t="s">
        <v>20</v>
      </c>
      <c r="E932" s="3">
        <v>98118</v>
      </c>
      <c r="F932" s="4" t="s">
        <v>130</v>
      </c>
      <c r="G932" s="2" t="s">
        <v>1177</v>
      </c>
      <c r="H932" s="2" t="s">
        <v>1628</v>
      </c>
      <c r="I932" s="2" t="s">
        <v>212</v>
      </c>
      <c r="J932" s="2" t="s">
        <v>298</v>
      </c>
      <c r="K932" s="4" t="s">
        <v>27</v>
      </c>
      <c r="L932" s="4" t="s">
        <v>27</v>
      </c>
      <c r="M932" s="4" t="s">
        <v>284</v>
      </c>
      <c r="N932" s="5">
        <v>276840294</v>
      </c>
      <c r="O932" s="2" t="s">
        <v>523</v>
      </c>
      <c r="P932" s="2" t="s">
        <v>86</v>
      </c>
      <c r="Q932" s="4" t="s">
        <v>1879</v>
      </c>
    </row>
    <row r="933" spans="1:17" hidden="1" x14ac:dyDescent="0.2">
      <c r="A933" s="2" t="s">
        <v>1880</v>
      </c>
      <c r="B933" s="2" t="s">
        <v>33</v>
      </c>
      <c r="C933" s="2" t="s">
        <v>89</v>
      </c>
      <c r="D933" s="2" t="s">
        <v>20</v>
      </c>
      <c r="E933" s="3">
        <v>98011</v>
      </c>
      <c r="F933" s="4" t="s">
        <v>1113</v>
      </c>
      <c r="G933" s="2" t="s">
        <v>1177</v>
      </c>
      <c r="H933" s="2" t="s">
        <v>1628</v>
      </c>
      <c r="I933" s="2" t="s">
        <v>212</v>
      </c>
      <c r="J933" s="2" t="s">
        <v>298</v>
      </c>
      <c r="K933" s="4" t="s">
        <v>27</v>
      </c>
      <c r="L933" s="4" t="s">
        <v>27</v>
      </c>
      <c r="M933" s="4" t="s">
        <v>170</v>
      </c>
      <c r="N933" s="5">
        <v>279319169</v>
      </c>
      <c r="O933" s="2" t="s">
        <v>503</v>
      </c>
      <c r="P933" s="2" t="s">
        <v>37</v>
      </c>
      <c r="Q933" s="4" t="s">
        <v>700</v>
      </c>
    </row>
    <row r="934" spans="1:17" hidden="1" x14ac:dyDescent="0.2">
      <c r="A934" s="2" t="s">
        <v>1881</v>
      </c>
      <c r="B934" s="2" t="s">
        <v>40</v>
      </c>
      <c r="C934" s="2" t="s">
        <v>89</v>
      </c>
      <c r="D934" s="2" t="s">
        <v>20</v>
      </c>
      <c r="E934" s="3">
        <v>98012</v>
      </c>
      <c r="F934" s="4" t="s">
        <v>57</v>
      </c>
      <c r="G934" s="2" t="s">
        <v>1177</v>
      </c>
      <c r="H934" s="2" t="s">
        <v>1628</v>
      </c>
      <c r="I934" s="2" t="s">
        <v>212</v>
      </c>
      <c r="J934" s="2" t="s">
        <v>298</v>
      </c>
      <c r="K934" s="4" t="s">
        <v>27</v>
      </c>
      <c r="L934" s="4" t="s">
        <v>27</v>
      </c>
      <c r="M934" s="4" t="s">
        <v>116</v>
      </c>
      <c r="N934" s="5">
        <v>196481575</v>
      </c>
      <c r="O934" s="2" t="s">
        <v>91</v>
      </c>
      <c r="P934" s="2" t="s">
        <v>30</v>
      </c>
      <c r="Q934" s="4" t="s">
        <v>521</v>
      </c>
    </row>
    <row r="935" spans="1:17" hidden="1" x14ac:dyDescent="0.2">
      <c r="A935" s="2" t="s">
        <v>1881</v>
      </c>
      <c r="B935" s="2" t="s">
        <v>110</v>
      </c>
      <c r="C935" s="2" t="s">
        <v>634</v>
      </c>
      <c r="D935" s="2" t="s">
        <v>20</v>
      </c>
      <c r="E935" s="3">
        <v>98335</v>
      </c>
      <c r="F935" s="4" t="s">
        <v>57</v>
      </c>
      <c r="G935" s="2" t="s">
        <v>1177</v>
      </c>
      <c r="H935" s="2" t="s">
        <v>1628</v>
      </c>
      <c r="I935" s="2" t="s">
        <v>212</v>
      </c>
      <c r="J935" s="2" t="s">
        <v>298</v>
      </c>
      <c r="K935" s="4" t="s">
        <v>27</v>
      </c>
      <c r="L935" s="4" t="s">
        <v>27</v>
      </c>
      <c r="M935" s="4" t="s">
        <v>101</v>
      </c>
      <c r="N935" s="5">
        <v>186096291</v>
      </c>
      <c r="O935" s="2" t="s">
        <v>1087</v>
      </c>
      <c r="P935" s="2" t="s">
        <v>310</v>
      </c>
      <c r="Q935" s="4" t="s">
        <v>1882</v>
      </c>
    </row>
    <row r="936" spans="1:17" hidden="1" x14ac:dyDescent="0.2">
      <c r="A936" s="2" t="s">
        <v>1883</v>
      </c>
      <c r="B936" s="2" t="s">
        <v>18</v>
      </c>
      <c r="C936" s="2" t="s">
        <v>234</v>
      </c>
      <c r="D936" s="2" t="s">
        <v>20</v>
      </c>
      <c r="E936" s="3">
        <v>98110</v>
      </c>
      <c r="F936" s="4" t="s">
        <v>21</v>
      </c>
      <c r="G936" s="2" t="s">
        <v>1177</v>
      </c>
      <c r="H936" s="2" t="s">
        <v>1628</v>
      </c>
      <c r="I936" s="2" t="s">
        <v>212</v>
      </c>
      <c r="J936" s="2" t="s">
        <v>298</v>
      </c>
      <c r="K936" s="4" t="s">
        <v>27</v>
      </c>
      <c r="L936" s="4" t="s">
        <v>27</v>
      </c>
      <c r="M936" s="4" t="s">
        <v>28</v>
      </c>
      <c r="N936" s="5">
        <v>255193669</v>
      </c>
      <c r="O936" s="2" t="s">
        <v>235</v>
      </c>
      <c r="P936" s="2" t="s">
        <v>30</v>
      </c>
      <c r="Q936" s="4" t="s">
        <v>236</v>
      </c>
    </row>
    <row r="937" spans="1:17" hidden="1" x14ac:dyDescent="0.2">
      <c r="A937" s="2" t="s">
        <v>1883</v>
      </c>
      <c r="B937" s="2" t="s">
        <v>33</v>
      </c>
      <c r="C937" s="2" t="s">
        <v>669</v>
      </c>
      <c r="D937" s="2" t="s">
        <v>20</v>
      </c>
      <c r="E937" s="3">
        <v>98053</v>
      </c>
      <c r="F937" s="4" t="s">
        <v>21</v>
      </c>
      <c r="G937" s="2" t="s">
        <v>1177</v>
      </c>
      <c r="H937" s="2" t="s">
        <v>1628</v>
      </c>
      <c r="I937" s="2" t="s">
        <v>212</v>
      </c>
      <c r="J937" s="2" t="s">
        <v>298</v>
      </c>
      <c r="K937" s="4" t="s">
        <v>27</v>
      </c>
      <c r="L937" s="4" t="s">
        <v>27</v>
      </c>
      <c r="M937" s="4" t="s">
        <v>198</v>
      </c>
      <c r="N937" s="5">
        <v>225733063</v>
      </c>
      <c r="O937" s="2" t="s">
        <v>1002</v>
      </c>
      <c r="P937" s="2" t="s">
        <v>37</v>
      </c>
      <c r="Q937" s="4" t="s">
        <v>1884</v>
      </c>
    </row>
    <row r="938" spans="1:17" hidden="1" x14ac:dyDescent="0.2">
      <c r="A938" s="2" t="s">
        <v>1883</v>
      </c>
      <c r="B938" s="2" t="s">
        <v>33</v>
      </c>
      <c r="C938" s="2" t="s">
        <v>396</v>
      </c>
      <c r="D938" s="2" t="s">
        <v>20</v>
      </c>
      <c r="E938" s="3">
        <v>98178</v>
      </c>
      <c r="F938" s="4" t="s">
        <v>21</v>
      </c>
      <c r="G938" s="2" t="s">
        <v>1177</v>
      </c>
      <c r="H938" s="2" t="s">
        <v>1628</v>
      </c>
      <c r="I938" s="2" t="s">
        <v>212</v>
      </c>
      <c r="J938" s="2" t="s">
        <v>298</v>
      </c>
      <c r="K938" s="4" t="s">
        <v>27</v>
      </c>
      <c r="L938" s="4" t="s">
        <v>27</v>
      </c>
      <c r="M938" s="4" t="s">
        <v>140</v>
      </c>
      <c r="N938" s="5">
        <v>260353782</v>
      </c>
      <c r="O938" s="2" t="s">
        <v>1301</v>
      </c>
      <c r="P938" s="2" t="s">
        <v>86</v>
      </c>
      <c r="Q938" s="4" t="s">
        <v>1885</v>
      </c>
    </row>
    <row r="939" spans="1:17" hidden="1" x14ac:dyDescent="0.2">
      <c r="A939" s="2" t="s">
        <v>1886</v>
      </c>
      <c r="B939" s="2" t="s">
        <v>33</v>
      </c>
      <c r="C939" s="2" t="s">
        <v>68</v>
      </c>
      <c r="D939" s="2" t="s">
        <v>20</v>
      </c>
      <c r="E939" s="3">
        <v>98092</v>
      </c>
      <c r="F939" s="4" t="s">
        <v>121</v>
      </c>
      <c r="G939" s="2" t="s">
        <v>1177</v>
      </c>
      <c r="H939" s="2" t="s">
        <v>1628</v>
      </c>
      <c r="I939" s="2" t="s">
        <v>212</v>
      </c>
      <c r="J939" s="2" t="s">
        <v>298</v>
      </c>
      <c r="K939" s="4" t="s">
        <v>27</v>
      </c>
      <c r="L939" s="4" t="s">
        <v>27</v>
      </c>
      <c r="M939" s="4" t="s">
        <v>69</v>
      </c>
      <c r="N939" s="5">
        <v>269954212</v>
      </c>
      <c r="O939" s="2" t="s">
        <v>540</v>
      </c>
      <c r="P939" s="2" t="s">
        <v>37</v>
      </c>
      <c r="Q939" s="4" t="s">
        <v>1485</v>
      </c>
    </row>
    <row r="940" spans="1:17" hidden="1" x14ac:dyDescent="0.2">
      <c r="A940" s="2" t="s">
        <v>1887</v>
      </c>
      <c r="B940" s="2" t="s">
        <v>33</v>
      </c>
      <c r="C940" s="2" t="s">
        <v>83</v>
      </c>
      <c r="D940" s="2" t="s">
        <v>20</v>
      </c>
      <c r="E940" s="3">
        <v>98119</v>
      </c>
      <c r="F940" s="4" t="s">
        <v>130</v>
      </c>
      <c r="G940" s="2" t="s">
        <v>1177</v>
      </c>
      <c r="H940" s="2" t="s">
        <v>1628</v>
      </c>
      <c r="I940" s="2" t="s">
        <v>212</v>
      </c>
      <c r="J940" s="2" t="s">
        <v>298</v>
      </c>
      <c r="K940" s="4" t="s">
        <v>27</v>
      </c>
      <c r="L940" s="4" t="s">
        <v>27</v>
      </c>
      <c r="M940" s="4" t="s">
        <v>84</v>
      </c>
      <c r="N940" s="5">
        <v>276997878</v>
      </c>
      <c r="O940" s="2" t="s">
        <v>650</v>
      </c>
      <c r="P940" s="2" t="s">
        <v>86</v>
      </c>
      <c r="Q940" s="4" t="s">
        <v>1218</v>
      </c>
    </row>
    <row r="941" spans="1:17" hidden="1" x14ac:dyDescent="0.2">
      <c r="A941" s="2" t="s">
        <v>1888</v>
      </c>
      <c r="B941" s="2" t="s">
        <v>18</v>
      </c>
      <c r="C941" s="2" t="s">
        <v>218</v>
      </c>
      <c r="D941" s="2" t="s">
        <v>20</v>
      </c>
      <c r="E941" s="3">
        <v>98311</v>
      </c>
      <c r="F941" s="4" t="s">
        <v>57</v>
      </c>
      <c r="G941" s="2" t="s">
        <v>1177</v>
      </c>
      <c r="H941" s="2" t="s">
        <v>1628</v>
      </c>
      <c r="I941" s="2" t="s">
        <v>212</v>
      </c>
      <c r="J941" s="2" t="s">
        <v>298</v>
      </c>
      <c r="K941" s="4" t="s">
        <v>27</v>
      </c>
      <c r="L941" s="4" t="s">
        <v>27</v>
      </c>
      <c r="M941" s="4" t="s">
        <v>28</v>
      </c>
      <c r="N941" s="5">
        <v>205039621</v>
      </c>
      <c r="O941" s="2" t="s">
        <v>222</v>
      </c>
      <c r="P941" s="2" t="s">
        <v>30</v>
      </c>
      <c r="Q941" s="4" t="s">
        <v>223</v>
      </c>
    </row>
    <row r="942" spans="1:17" hidden="1" x14ac:dyDescent="0.2">
      <c r="A942" s="2" t="s">
        <v>1888</v>
      </c>
      <c r="B942" s="2" t="s">
        <v>33</v>
      </c>
      <c r="C942" s="2" t="s">
        <v>1889</v>
      </c>
      <c r="D942" s="2" t="s">
        <v>20</v>
      </c>
      <c r="E942" s="3">
        <v>98010</v>
      </c>
      <c r="F942" s="4" t="s">
        <v>57</v>
      </c>
      <c r="G942" s="2" t="s">
        <v>1177</v>
      </c>
      <c r="H942" s="2" t="s">
        <v>1628</v>
      </c>
      <c r="I942" s="2" t="s">
        <v>212</v>
      </c>
      <c r="J942" s="2" t="s">
        <v>298</v>
      </c>
      <c r="K942" s="4" t="s">
        <v>27</v>
      </c>
      <c r="L942" s="4" t="s">
        <v>27</v>
      </c>
      <c r="M942" s="4" t="s">
        <v>35</v>
      </c>
      <c r="N942" s="5">
        <v>218674396</v>
      </c>
      <c r="O942" s="2" t="s">
        <v>1890</v>
      </c>
      <c r="P942" s="2" t="s">
        <v>37</v>
      </c>
      <c r="Q942" s="4" t="s">
        <v>1891</v>
      </c>
    </row>
    <row r="943" spans="1:17" hidden="1" x14ac:dyDescent="0.2">
      <c r="A943" s="2" t="s">
        <v>1888</v>
      </c>
      <c r="B943" s="2" t="s">
        <v>33</v>
      </c>
      <c r="C943" s="2" t="s">
        <v>146</v>
      </c>
      <c r="D943" s="2" t="s">
        <v>20</v>
      </c>
      <c r="E943" s="3">
        <v>98005</v>
      </c>
      <c r="F943" s="4" t="s">
        <v>57</v>
      </c>
      <c r="G943" s="2" t="s">
        <v>1177</v>
      </c>
      <c r="H943" s="2" t="s">
        <v>1628</v>
      </c>
      <c r="I943" s="2" t="s">
        <v>212</v>
      </c>
      <c r="J943" s="2" t="s">
        <v>298</v>
      </c>
      <c r="K943" s="4" t="s">
        <v>27</v>
      </c>
      <c r="L943" s="4" t="s">
        <v>27</v>
      </c>
      <c r="M943" s="4" t="s">
        <v>403</v>
      </c>
      <c r="N943" s="5">
        <v>198614573</v>
      </c>
      <c r="O943" s="2" t="s">
        <v>448</v>
      </c>
      <c r="P943" s="2" t="s">
        <v>37</v>
      </c>
      <c r="Q943" s="4" t="s">
        <v>1605</v>
      </c>
    </row>
    <row r="944" spans="1:17" hidden="1" x14ac:dyDescent="0.2">
      <c r="A944" s="2" t="s">
        <v>1888</v>
      </c>
      <c r="B944" s="2" t="s">
        <v>262</v>
      </c>
      <c r="C944" s="2" t="s">
        <v>263</v>
      </c>
      <c r="D944" s="2" t="s">
        <v>20</v>
      </c>
      <c r="E944" s="3">
        <v>98837</v>
      </c>
      <c r="F944" s="4" t="s">
        <v>57</v>
      </c>
      <c r="G944" s="2" t="s">
        <v>1177</v>
      </c>
      <c r="H944" s="2" t="s">
        <v>1628</v>
      </c>
      <c r="I944" s="2" t="s">
        <v>212</v>
      </c>
      <c r="J944" s="2" t="s">
        <v>298</v>
      </c>
      <c r="K944" s="4" t="s">
        <v>27</v>
      </c>
      <c r="L944" s="4" t="s">
        <v>27</v>
      </c>
      <c r="M944" s="4" t="s">
        <v>264</v>
      </c>
      <c r="N944" s="5">
        <v>223584133</v>
      </c>
      <c r="O944" s="2" t="s">
        <v>265</v>
      </c>
      <c r="P944" s="2" t="s">
        <v>266</v>
      </c>
      <c r="Q944" s="4" t="s">
        <v>1370</v>
      </c>
    </row>
    <row r="945" spans="1:17" hidden="1" x14ac:dyDescent="0.2">
      <c r="A945" s="2" t="s">
        <v>1892</v>
      </c>
      <c r="B945" s="2" t="s">
        <v>33</v>
      </c>
      <c r="C945" s="2" t="s">
        <v>68</v>
      </c>
      <c r="D945" s="2" t="s">
        <v>20</v>
      </c>
      <c r="E945" s="3">
        <v>98092</v>
      </c>
      <c r="F945" s="4" t="s">
        <v>21</v>
      </c>
      <c r="G945" s="2" t="s">
        <v>1177</v>
      </c>
      <c r="H945" s="2" t="s">
        <v>1628</v>
      </c>
      <c r="I945" s="2" t="s">
        <v>212</v>
      </c>
      <c r="J945" s="2" t="s">
        <v>298</v>
      </c>
      <c r="K945" s="4" t="s">
        <v>27</v>
      </c>
      <c r="L945" s="4" t="s">
        <v>27</v>
      </c>
      <c r="M945" s="4" t="s">
        <v>69</v>
      </c>
      <c r="N945" s="5">
        <v>252730502</v>
      </c>
      <c r="O945" s="2" t="s">
        <v>540</v>
      </c>
      <c r="P945" s="2" t="s">
        <v>37</v>
      </c>
      <c r="Q945" s="4" t="s">
        <v>1336</v>
      </c>
    </row>
    <row r="946" spans="1:17" hidden="1" x14ac:dyDescent="0.2">
      <c r="A946" s="2" t="s">
        <v>1892</v>
      </c>
      <c r="B946" s="2" t="s">
        <v>33</v>
      </c>
      <c r="C946" s="2" t="s">
        <v>451</v>
      </c>
      <c r="D946" s="2" t="s">
        <v>20</v>
      </c>
      <c r="E946" s="3">
        <v>98075</v>
      </c>
      <c r="F946" s="4" t="s">
        <v>21</v>
      </c>
      <c r="G946" s="2" t="s">
        <v>1177</v>
      </c>
      <c r="H946" s="2" t="s">
        <v>1628</v>
      </c>
      <c r="I946" s="2" t="s">
        <v>212</v>
      </c>
      <c r="J946" s="2" t="s">
        <v>298</v>
      </c>
      <c r="K946" s="4" t="s">
        <v>27</v>
      </c>
      <c r="L946" s="4" t="s">
        <v>27</v>
      </c>
      <c r="M946" s="4" t="s">
        <v>403</v>
      </c>
      <c r="N946" s="5">
        <v>251467401</v>
      </c>
      <c r="O946" s="2" t="s">
        <v>452</v>
      </c>
      <c r="P946" s="2" t="s">
        <v>37</v>
      </c>
      <c r="Q946" s="4" t="s">
        <v>714</v>
      </c>
    </row>
    <row r="947" spans="1:17" hidden="1" x14ac:dyDescent="0.2">
      <c r="A947" s="2" t="s">
        <v>1893</v>
      </c>
      <c r="B947" s="2" t="s">
        <v>33</v>
      </c>
      <c r="C947" s="2" t="s">
        <v>169</v>
      </c>
      <c r="D947" s="2" t="s">
        <v>20</v>
      </c>
      <c r="E947" s="3">
        <v>98034</v>
      </c>
      <c r="F947" s="4" t="s">
        <v>121</v>
      </c>
      <c r="G947" s="2" t="s">
        <v>1177</v>
      </c>
      <c r="H947" s="2" t="s">
        <v>1628</v>
      </c>
      <c r="I947" s="2" t="s">
        <v>212</v>
      </c>
      <c r="J947" s="2" t="s">
        <v>298</v>
      </c>
      <c r="K947" s="4" t="s">
        <v>27</v>
      </c>
      <c r="L947" s="4" t="s">
        <v>27</v>
      </c>
      <c r="M947" s="4" t="s">
        <v>198</v>
      </c>
      <c r="N947" s="5">
        <v>279930269</v>
      </c>
      <c r="O947" s="2" t="s">
        <v>171</v>
      </c>
      <c r="P947" s="2" t="s">
        <v>37</v>
      </c>
      <c r="Q947" s="4" t="s">
        <v>724</v>
      </c>
    </row>
    <row r="948" spans="1:17" hidden="1" x14ac:dyDescent="0.2">
      <c r="A948" s="2" t="s">
        <v>1893</v>
      </c>
      <c r="B948" s="2" t="s">
        <v>33</v>
      </c>
      <c r="C948" s="2" t="s">
        <v>146</v>
      </c>
      <c r="D948" s="2" t="s">
        <v>20</v>
      </c>
      <c r="E948" s="3">
        <v>98004</v>
      </c>
      <c r="F948" s="4" t="s">
        <v>121</v>
      </c>
      <c r="G948" s="2" t="s">
        <v>1177</v>
      </c>
      <c r="H948" s="2" t="s">
        <v>1628</v>
      </c>
      <c r="I948" s="2" t="s">
        <v>212</v>
      </c>
      <c r="J948" s="2" t="s">
        <v>298</v>
      </c>
      <c r="K948" s="4" t="s">
        <v>27</v>
      </c>
      <c r="L948" s="4" t="s">
        <v>27</v>
      </c>
      <c r="M948" s="4" t="s">
        <v>147</v>
      </c>
      <c r="N948" s="5">
        <v>285086686</v>
      </c>
      <c r="O948" s="2" t="s">
        <v>148</v>
      </c>
      <c r="P948" s="2" t="s">
        <v>37</v>
      </c>
      <c r="Q948" s="4" t="s">
        <v>1193</v>
      </c>
    </row>
    <row r="949" spans="1:17" hidden="1" x14ac:dyDescent="0.2">
      <c r="A949" s="2" t="s">
        <v>1894</v>
      </c>
      <c r="B949" s="2" t="s">
        <v>40</v>
      </c>
      <c r="C949" s="2" t="s">
        <v>40</v>
      </c>
      <c r="D949" s="2" t="s">
        <v>20</v>
      </c>
      <c r="E949" s="3">
        <v>98290</v>
      </c>
      <c r="F949" s="4" t="s">
        <v>1113</v>
      </c>
      <c r="G949" s="2" t="s">
        <v>1177</v>
      </c>
      <c r="H949" s="2" t="s">
        <v>1628</v>
      </c>
      <c r="I949" s="2" t="s">
        <v>212</v>
      </c>
      <c r="J949" s="2" t="s">
        <v>298</v>
      </c>
      <c r="K949" s="4" t="s">
        <v>27</v>
      </c>
      <c r="L949" s="4" t="s">
        <v>27</v>
      </c>
      <c r="M949" s="4" t="s">
        <v>44</v>
      </c>
      <c r="N949" s="5">
        <v>285265074</v>
      </c>
      <c r="O949" s="2" t="s">
        <v>117</v>
      </c>
      <c r="P949" s="2" t="s">
        <v>30</v>
      </c>
      <c r="Q949" s="4" t="s">
        <v>1387</v>
      </c>
    </row>
    <row r="950" spans="1:17" hidden="1" x14ac:dyDescent="0.2">
      <c r="A950" s="2" t="s">
        <v>1894</v>
      </c>
      <c r="B950" s="2" t="s">
        <v>110</v>
      </c>
      <c r="C950" s="2" t="s">
        <v>1745</v>
      </c>
      <c r="D950" s="2" t="s">
        <v>20</v>
      </c>
      <c r="E950" s="3">
        <v>98373</v>
      </c>
      <c r="F950" s="4" t="s">
        <v>1113</v>
      </c>
      <c r="G950" s="2" t="s">
        <v>1177</v>
      </c>
      <c r="H950" s="2" t="s">
        <v>1628</v>
      </c>
      <c r="I950" s="2" t="s">
        <v>212</v>
      </c>
      <c r="J950" s="2" t="s">
        <v>298</v>
      </c>
      <c r="K950" s="4" t="s">
        <v>27</v>
      </c>
      <c r="L950" s="4" t="s">
        <v>27</v>
      </c>
      <c r="M950" s="4" t="s">
        <v>43</v>
      </c>
      <c r="N950" s="5">
        <v>283414757</v>
      </c>
      <c r="O950" s="2" t="s">
        <v>674</v>
      </c>
      <c r="P950" s="2" t="s">
        <v>37</v>
      </c>
      <c r="Q950" s="4" t="s">
        <v>1895</v>
      </c>
    </row>
    <row r="951" spans="1:17" hidden="1" x14ac:dyDescent="0.2">
      <c r="A951" s="2" t="s">
        <v>1894</v>
      </c>
      <c r="B951" s="2" t="s">
        <v>110</v>
      </c>
      <c r="C951" s="2" t="s">
        <v>1896</v>
      </c>
      <c r="D951" s="2" t="s">
        <v>20</v>
      </c>
      <c r="E951" s="3">
        <v>98580</v>
      </c>
      <c r="F951" s="4" t="s">
        <v>1113</v>
      </c>
      <c r="G951" s="2" t="s">
        <v>1177</v>
      </c>
      <c r="H951" s="2" t="s">
        <v>1628</v>
      </c>
      <c r="I951" s="2" t="s">
        <v>212</v>
      </c>
      <c r="J951" s="2" t="s">
        <v>298</v>
      </c>
      <c r="K951" s="4" t="s">
        <v>27</v>
      </c>
      <c r="L951" s="4" t="s">
        <v>27</v>
      </c>
      <c r="M951" s="4" t="s">
        <v>357</v>
      </c>
      <c r="N951" s="5">
        <v>282472305</v>
      </c>
      <c r="O951" s="2" t="s">
        <v>1897</v>
      </c>
      <c r="P951" s="2" t="s">
        <v>37</v>
      </c>
      <c r="Q951" s="4" t="s">
        <v>1898</v>
      </c>
    </row>
    <row r="952" spans="1:17" hidden="1" x14ac:dyDescent="0.2">
      <c r="A952" s="2" t="s">
        <v>1894</v>
      </c>
      <c r="B952" s="2" t="s">
        <v>110</v>
      </c>
      <c r="C952" s="2" t="s">
        <v>1220</v>
      </c>
      <c r="D952" s="2" t="s">
        <v>20</v>
      </c>
      <c r="E952" s="3">
        <v>98321</v>
      </c>
      <c r="F952" s="4" t="s">
        <v>1113</v>
      </c>
      <c r="G952" s="2" t="s">
        <v>1177</v>
      </c>
      <c r="H952" s="2" t="s">
        <v>1628</v>
      </c>
      <c r="I952" s="2" t="s">
        <v>212</v>
      </c>
      <c r="J952" s="2" t="s">
        <v>298</v>
      </c>
      <c r="K952" s="4" t="s">
        <v>27</v>
      </c>
      <c r="L952" s="4" t="s">
        <v>27</v>
      </c>
      <c r="M952" s="4" t="s">
        <v>112</v>
      </c>
      <c r="N952" s="5">
        <v>282575527</v>
      </c>
      <c r="O952" s="2" t="s">
        <v>1221</v>
      </c>
      <c r="P952" s="2" t="s">
        <v>37</v>
      </c>
      <c r="Q952" s="4" t="s">
        <v>1899</v>
      </c>
    </row>
    <row r="953" spans="1:17" hidden="1" x14ac:dyDescent="0.2">
      <c r="A953" s="2" t="s">
        <v>1900</v>
      </c>
      <c r="B953" s="2" t="s">
        <v>33</v>
      </c>
      <c r="C953" s="2" t="s">
        <v>146</v>
      </c>
      <c r="D953" s="2" t="s">
        <v>20</v>
      </c>
      <c r="E953" s="3">
        <v>98005</v>
      </c>
      <c r="F953" s="4" t="s">
        <v>21</v>
      </c>
      <c r="G953" s="2" t="s">
        <v>1177</v>
      </c>
      <c r="H953" s="2" t="s">
        <v>1628</v>
      </c>
      <c r="I953" s="2" t="s">
        <v>212</v>
      </c>
      <c r="J953" s="2" t="s">
        <v>298</v>
      </c>
      <c r="K953" s="4" t="s">
        <v>27</v>
      </c>
      <c r="L953" s="4" t="s">
        <v>27</v>
      </c>
      <c r="M953" s="4" t="s">
        <v>147</v>
      </c>
      <c r="N953" s="5">
        <v>237891433</v>
      </c>
      <c r="O953" s="2" t="s">
        <v>448</v>
      </c>
      <c r="P953" s="2" t="s">
        <v>37</v>
      </c>
      <c r="Q953" s="4" t="s">
        <v>195</v>
      </c>
    </row>
    <row r="954" spans="1:17" hidden="1" x14ac:dyDescent="0.2">
      <c r="A954" s="2" t="s">
        <v>1900</v>
      </c>
      <c r="B954" s="2" t="s">
        <v>156</v>
      </c>
      <c r="C954" s="2" t="s">
        <v>157</v>
      </c>
      <c r="D954" s="2" t="s">
        <v>20</v>
      </c>
      <c r="E954" s="3">
        <v>98531</v>
      </c>
      <c r="F954" s="4" t="s">
        <v>21</v>
      </c>
      <c r="G954" s="2" t="s">
        <v>1177</v>
      </c>
      <c r="H954" s="2" t="s">
        <v>1628</v>
      </c>
      <c r="I954" s="2" t="s">
        <v>212</v>
      </c>
      <c r="J954" s="2" t="s">
        <v>298</v>
      </c>
      <c r="K954" s="4" t="s">
        <v>27</v>
      </c>
      <c r="L954" s="4" t="s">
        <v>27</v>
      </c>
      <c r="M954" s="4" t="s">
        <v>79</v>
      </c>
      <c r="N954" s="5">
        <v>263820826</v>
      </c>
      <c r="O954" s="2" t="s">
        <v>158</v>
      </c>
      <c r="P954" s="2" t="s">
        <v>159</v>
      </c>
      <c r="Q954" s="4" t="s">
        <v>1901</v>
      </c>
    </row>
    <row r="955" spans="1:17" hidden="1" x14ac:dyDescent="0.2">
      <c r="A955" s="2" t="s">
        <v>1900</v>
      </c>
      <c r="B955" s="2" t="s">
        <v>40</v>
      </c>
      <c r="C955" s="2" t="s">
        <v>1902</v>
      </c>
      <c r="D955" s="2" t="s">
        <v>20</v>
      </c>
      <c r="E955" s="3">
        <v>98036</v>
      </c>
      <c r="F955" s="4" t="s">
        <v>21</v>
      </c>
      <c r="G955" s="2" t="s">
        <v>1177</v>
      </c>
      <c r="H955" s="2" t="s">
        <v>1628</v>
      </c>
      <c r="I955" s="2" t="s">
        <v>212</v>
      </c>
      <c r="J955" s="2" t="s">
        <v>298</v>
      </c>
      <c r="K955" s="4" t="s">
        <v>27</v>
      </c>
      <c r="L955" s="4" t="s">
        <v>27</v>
      </c>
      <c r="M955" s="4" t="s">
        <v>170</v>
      </c>
      <c r="N955" s="5">
        <v>221447572</v>
      </c>
      <c r="O955" s="2" t="s">
        <v>75</v>
      </c>
      <c r="P955" s="2" t="s">
        <v>30</v>
      </c>
      <c r="Q955" s="4" t="s">
        <v>1725</v>
      </c>
    </row>
    <row r="956" spans="1:17" hidden="1" x14ac:dyDescent="0.2">
      <c r="A956" s="2" t="s">
        <v>1900</v>
      </c>
      <c r="B956" s="2" t="s">
        <v>33</v>
      </c>
      <c r="C956" s="2" t="s">
        <v>83</v>
      </c>
      <c r="D956" s="2" t="s">
        <v>20</v>
      </c>
      <c r="E956" s="3">
        <v>98112</v>
      </c>
      <c r="F956" s="4" t="s">
        <v>21</v>
      </c>
      <c r="G956" s="2" t="s">
        <v>1177</v>
      </c>
      <c r="H956" s="2" t="s">
        <v>1628</v>
      </c>
      <c r="I956" s="2" t="s">
        <v>212</v>
      </c>
      <c r="J956" s="2" t="s">
        <v>298</v>
      </c>
      <c r="K956" s="4" t="s">
        <v>27</v>
      </c>
      <c r="L956" s="4" t="s">
        <v>27</v>
      </c>
      <c r="M956" s="4" t="s">
        <v>436</v>
      </c>
      <c r="N956" s="5">
        <v>249806336</v>
      </c>
      <c r="O956" s="2" t="s">
        <v>736</v>
      </c>
      <c r="P956" s="2" t="s">
        <v>86</v>
      </c>
      <c r="Q956" s="4" t="s">
        <v>779</v>
      </c>
    </row>
    <row r="957" spans="1:17" hidden="1" x14ac:dyDescent="0.2">
      <c r="A957" s="2" t="s">
        <v>1900</v>
      </c>
      <c r="B957" s="2" t="s">
        <v>40</v>
      </c>
      <c r="C957" s="2" t="s">
        <v>383</v>
      </c>
      <c r="D957" s="2" t="s">
        <v>20</v>
      </c>
      <c r="E957" s="3">
        <v>98204</v>
      </c>
      <c r="F957" s="4" t="s">
        <v>21</v>
      </c>
      <c r="G957" s="2" t="s">
        <v>1177</v>
      </c>
      <c r="H957" s="2" t="s">
        <v>1628</v>
      </c>
      <c r="I957" s="2" t="s">
        <v>212</v>
      </c>
      <c r="J957" s="2" t="s">
        <v>298</v>
      </c>
      <c r="K957" s="4" t="s">
        <v>27</v>
      </c>
      <c r="L957" s="4" t="s">
        <v>27</v>
      </c>
      <c r="M957" s="4" t="s">
        <v>26</v>
      </c>
      <c r="N957" s="5">
        <v>255473319</v>
      </c>
      <c r="O957" s="2" t="s">
        <v>1417</v>
      </c>
      <c r="P957" s="2" t="s">
        <v>30</v>
      </c>
      <c r="Q957" s="4" t="s">
        <v>1240</v>
      </c>
    </row>
    <row r="958" spans="1:17" hidden="1" x14ac:dyDescent="0.2">
      <c r="A958" s="2" t="s">
        <v>1903</v>
      </c>
      <c r="B958" s="2" t="s">
        <v>33</v>
      </c>
      <c r="C958" s="2" t="s">
        <v>83</v>
      </c>
      <c r="D958" s="2" t="s">
        <v>20</v>
      </c>
      <c r="E958" s="3">
        <v>98119</v>
      </c>
      <c r="F958" s="4" t="s">
        <v>121</v>
      </c>
      <c r="G958" s="2" t="s">
        <v>1177</v>
      </c>
      <c r="H958" s="2" t="s">
        <v>1628</v>
      </c>
      <c r="I958" s="2" t="s">
        <v>212</v>
      </c>
      <c r="J958" s="2" t="s">
        <v>298</v>
      </c>
      <c r="K958" s="4" t="s">
        <v>27</v>
      </c>
      <c r="L958" s="4" t="s">
        <v>27</v>
      </c>
      <c r="M958" s="4" t="s">
        <v>84</v>
      </c>
      <c r="N958" s="5">
        <v>273751292</v>
      </c>
      <c r="O958" s="2" t="s">
        <v>650</v>
      </c>
      <c r="P958" s="2" t="s">
        <v>86</v>
      </c>
      <c r="Q958" s="4" t="s">
        <v>629</v>
      </c>
    </row>
    <row r="959" spans="1:17" hidden="1" x14ac:dyDescent="0.2">
      <c r="A959" s="2" t="s">
        <v>1903</v>
      </c>
      <c r="B959" s="2" t="s">
        <v>33</v>
      </c>
      <c r="C959" s="2" t="s">
        <v>169</v>
      </c>
      <c r="D959" s="2" t="s">
        <v>20</v>
      </c>
      <c r="E959" s="3">
        <v>98034</v>
      </c>
      <c r="F959" s="4" t="s">
        <v>121</v>
      </c>
      <c r="G959" s="2" t="s">
        <v>1177</v>
      </c>
      <c r="H959" s="2" t="s">
        <v>1628</v>
      </c>
      <c r="I959" s="2" t="s">
        <v>212</v>
      </c>
      <c r="J959" s="2" t="s">
        <v>298</v>
      </c>
      <c r="K959" s="4" t="s">
        <v>27</v>
      </c>
      <c r="L959" s="4" t="s">
        <v>27</v>
      </c>
      <c r="M959" s="4" t="s">
        <v>198</v>
      </c>
      <c r="N959" s="5">
        <v>267567282</v>
      </c>
      <c r="O959" s="2" t="s">
        <v>171</v>
      </c>
      <c r="P959" s="2" t="s">
        <v>37</v>
      </c>
      <c r="Q959" s="4" t="s">
        <v>649</v>
      </c>
    </row>
    <row r="960" spans="1:17" hidden="1" x14ac:dyDescent="0.2">
      <c r="A960" s="2" t="s">
        <v>1903</v>
      </c>
      <c r="B960" s="2" t="s">
        <v>18</v>
      </c>
      <c r="C960" s="2" t="s">
        <v>561</v>
      </c>
      <c r="D960" s="2" t="s">
        <v>20</v>
      </c>
      <c r="E960" s="3">
        <v>98383</v>
      </c>
      <c r="F960" s="4" t="s">
        <v>121</v>
      </c>
      <c r="G960" s="2" t="s">
        <v>1177</v>
      </c>
      <c r="H960" s="2" t="s">
        <v>1628</v>
      </c>
      <c r="I960" s="2" t="s">
        <v>212</v>
      </c>
      <c r="J960" s="2" t="s">
        <v>298</v>
      </c>
      <c r="K960" s="4" t="s">
        <v>27</v>
      </c>
      <c r="L960" s="4" t="s">
        <v>27</v>
      </c>
      <c r="M960" s="4" t="s">
        <v>28</v>
      </c>
      <c r="N960" s="5">
        <v>265245578</v>
      </c>
      <c r="O960" s="2" t="s">
        <v>562</v>
      </c>
      <c r="P960" s="2" t="s">
        <v>30</v>
      </c>
      <c r="Q960" s="4" t="s">
        <v>563</v>
      </c>
    </row>
    <row r="961" spans="1:17" hidden="1" x14ac:dyDescent="0.2">
      <c r="A961" s="2" t="s">
        <v>1904</v>
      </c>
      <c r="B961" s="2" t="s">
        <v>40</v>
      </c>
      <c r="C961" s="2" t="s">
        <v>89</v>
      </c>
      <c r="D961" s="2" t="s">
        <v>20</v>
      </c>
      <c r="E961" s="3">
        <v>98021</v>
      </c>
      <c r="F961" s="4" t="s">
        <v>57</v>
      </c>
      <c r="G961" s="2" t="s">
        <v>1177</v>
      </c>
      <c r="H961" s="2" t="s">
        <v>1628</v>
      </c>
      <c r="I961" s="2" t="s">
        <v>212</v>
      </c>
      <c r="J961" s="2" t="s">
        <v>298</v>
      </c>
      <c r="K961" s="4" t="s">
        <v>27</v>
      </c>
      <c r="L961" s="4" t="s">
        <v>27</v>
      </c>
      <c r="M961" s="4" t="s">
        <v>170</v>
      </c>
      <c r="N961" s="5">
        <v>207328523</v>
      </c>
      <c r="O961" s="2" t="s">
        <v>247</v>
      </c>
      <c r="P961" s="2" t="s">
        <v>30</v>
      </c>
      <c r="Q961" s="4" t="s">
        <v>1905</v>
      </c>
    </row>
    <row r="962" spans="1:17" hidden="1" x14ac:dyDescent="0.2">
      <c r="A962" s="2" t="s">
        <v>1904</v>
      </c>
      <c r="B962" s="2" t="s">
        <v>40</v>
      </c>
      <c r="C962" s="2" t="s">
        <v>89</v>
      </c>
      <c r="D962" s="2" t="s">
        <v>20</v>
      </c>
      <c r="E962" s="3">
        <v>98021</v>
      </c>
      <c r="F962" s="4" t="s">
        <v>57</v>
      </c>
      <c r="G962" s="2" t="s">
        <v>1177</v>
      </c>
      <c r="H962" s="2" t="s">
        <v>1628</v>
      </c>
      <c r="I962" s="2" t="s">
        <v>212</v>
      </c>
      <c r="J962" s="2" t="s">
        <v>298</v>
      </c>
      <c r="K962" s="4" t="s">
        <v>27</v>
      </c>
      <c r="L962" s="4" t="s">
        <v>27</v>
      </c>
      <c r="M962" s="4" t="s">
        <v>170</v>
      </c>
      <c r="N962" s="5">
        <v>202065174</v>
      </c>
      <c r="O962" s="2" t="s">
        <v>247</v>
      </c>
      <c r="P962" s="2" t="s">
        <v>30</v>
      </c>
      <c r="Q962" s="4" t="s">
        <v>994</v>
      </c>
    </row>
    <row r="963" spans="1:17" hidden="1" x14ac:dyDescent="0.2">
      <c r="A963" s="2" t="s">
        <v>1904</v>
      </c>
      <c r="B963" s="2" t="s">
        <v>33</v>
      </c>
      <c r="C963" s="2" t="s">
        <v>186</v>
      </c>
      <c r="D963" s="2" t="s">
        <v>20</v>
      </c>
      <c r="E963" s="3">
        <v>98023</v>
      </c>
      <c r="F963" s="4" t="s">
        <v>57</v>
      </c>
      <c r="G963" s="2" t="s">
        <v>1177</v>
      </c>
      <c r="H963" s="2" t="s">
        <v>1628</v>
      </c>
      <c r="I963" s="2" t="s">
        <v>212</v>
      </c>
      <c r="J963" s="2" t="s">
        <v>298</v>
      </c>
      <c r="K963" s="4" t="s">
        <v>27</v>
      </c>
      <c r="L963" s="4" t="s">
        <v>27</v>
      </c>
      <c r="M963" s="4" t="s">
        <v>187</v>
      </c>
      <c r="N963" s="5">
        <v>212376720</v>
      </c>
      <c r="O963" s="2" t="s">
        <v>188</v>
      </c>
      <c r="P963" s="2" t="s">
        <v>37</v>
      </c>
      <c r="Q963" s="4" t="s">
        <v>189</v>
      </c>
    </row>
    <row r="964" spans="1:17" hidden="1" x14ac:dyDescent="0.2">
      <c r="A964" s="2" t="s">
        <v>1906</v>
      </c>
      <c r="B964" s="2" t="s">
        <v>40</v>
      </c>
      <c r="C964" s="2" t="s">
        <v>1385</v>
      </c>
      <c r="D964" s="2" t="s">
        <v>20</v>
      </c>
      <c r="E964" s="3">
        <v>98272</v>
      </c>
      <c r="F964" s="4" t="s">
        <v>21</v>
      </c>
      <c r="G964" s="2" t="s">
        <v>1177</v>
      </c>
      <c r="H964" s="2" t="s">
        <v>1628</v>
      </c>
      <c r="I964" s="2" t="s">
        <v>212</v>
      </c>
      <c r="J964" s="2" t="s">
        <v>298</v>
      </c>
      <c r="K964" s="4" t="s">
        <v>27</v>
      </c>
      <c r="L964" s="4" t="s">
        <v>27</v>
      </c>
      <c r="M964" s="4" t="s">
        <v>44</v>
      </c>
      <c r="N964" s="5">
        <v>229452996</v>
      </c>
      <c r="O964" s="2" t="s">
        <v>1386</v>
      </c>
      <c r="P964" s="2" t="s">
        <v>30</v>
      </c>
      <c r="Q964" s="4" t="s">
        <v>1387</v>
      </c>
    </row>
    <row r="965" spans="1:17" hidden="1" x14ac:dyDescent="0.2">
      <c r="A965" s="2" t="s">
        <v>1906</v>
      </c>
      <c r="B965" s="2" t="s">
        <v>33</v>
      </c>
      <c r="C965" s="2" t="s">
        <v>83</v>
      </c>
      <c r="D965" s="2" t="s">
        <v>20</v>
      </c>
      <c r="E965" s="3">
        <v>98116</v>
      </c>
      <c r="F965" s="4" t="s">
        <v>21</v>
      </c>
      <c r="G965" s="2" t="s">
        <v>1177</v>
      </c>
      <c r="H965" s="2" t="s">
        <v>1628</v>
      </c>
      <c r="I965" s="2" t="s">
        <v>212</v>
      </c>
      <c r="J965" s="2" t="s">
        <v>298</v>
      </c>
      <c r="K965" s="4" t="s">
        <v>27</v>
      </c>
      <c r="L965" s="4" t="s">
        <v>27</v>
      </c>
      <c r="M965" s="4" t="s">
        <v>319</v>
      </c>
      <c r="N965" s="5">
        <v>227282359</v>
      </c>
      <c r="O965" s="2" t="s">
        <v>1034</v>
      </c>
      <c r="P965" s="2" t="s">
        <v>86</v>
      </c>
      <c r="Q965" s="4" t="s">
        <v>1035</v>
      </c>
    </row>
    <row r="966" spans="1:17" hidden="1" x14ac:dyDescent="0.2">
      <c r="A966" s="2" t="s">
        <v>1906</v>
      </c>
      <c r="B966" s="2" t="s">
        <v>33</v>
      </c>
      <c r="C966" s="2" t="s">
        <v>669</v>
      </c>
      <c r="D966" s="2" t="s">
        <v>20</v>
      </c>
      <c r="E966" s="3">
        <v>98052</v>
      </c>
      <c r="F966" s="4" t="s">
        <v>21</v>
      </c>
      <c r="G966" s="2" t="s">
        <v>1177</v>
      </c>
      <c r="H966" s="2" t="s">
        <v>1628</v>
      </c>
      <c r="I966" s="2" t="s">
        <v>212</v>
      </c>
      <c r="J966" s="2" t="s">
        <v>298</v>
      </c>
      <c r="K966" s="4" t="s">
        <v>27</v>
      </c>
      <c r="L966" s="4" t="s">
        <v>27</v>
      </c>
      <c r="M966" s="4" t="s">
        <v>147</v>
      </c>
      <c r="N966" s="5">
        <v>240729394</v>
      </c>
      <c r="O966" s="2" t="s">
        <v>670</v>
      </c>
      <c r="P966" s="2" t="s">
        <v>37</v>
      </c>
      <c r="Q966" s="4" t="s">
        <v>671</v>
      </c>
    </row>
    <row r="967" spans="1:17" hidden="1" x14ac:dyDescent="0.2">
      <c r="A967" s="2" t="s">
        <v>1906</v>
      </c>
      <c r="B967" s="2" t="s">
        <v>33</v>
      </c>
      <c r="C967" s="2" t="s">
        <v>186</v>
      </c>
      <c r="D967" s="2" t="s">
        <v>20</v>
      </c>
      <c r="E967" s="3">
        <v>98023</v>
      </c>
      <c r="F967" s="4" t="s">
        <v>21</v>
      </c>
      <c r="G967" s="2" t="s">
        <v>1177</v>
      </c>
      <c r="H967" s="2" t="s">
        <v>1628</v>
      </c>
      <c r="I967" s="2" t="s">
        <v>212</v>
      </c>
      <c r="J967" s="2" t="s">
        <v>298</v>
      </c>
      <c r="K967" s="4" t="s">
        <v>27</v>
      </c>
      <c r="L967" s="4" t="s">
        <v>27</v>
      </c>
      <c r="M967" s="4" t="s">
        <v>187</v>
      </c>
      <c r="N967" s="5">
        <v>255293223</v>
      </c>
      <c r="O967" s="2" t="s">
        <v>188</v>
      </c>
      <c r="P967" s="2" t="s">
        <v>37</v>
      </c>
      <c r="Q967" s="4" t="s">
        <v>1907</v>
      </c>
    </row>
    <row r="968" spans="1:17" hidden="1" x14ac:dyDescent="0.2">
      <c r="A968" s="2" t="s">
        <v>1906</v>
      </c>
      <c r="B968" s="2" t="s">
        <v>33</v>
      </c>
      <c r="C968" s="2" t="s">
        <v>169</v>
      </c>
      <c r="D968" s="2" t="s">
        <v>20</v>
      </c>
      <c r="E968" s="3">
        <v>98033</v>
      </c>
      <c r="F968" s="4" t="s">
        <v>21</v>
      </c>
      <c r="G968" s="2" t="s">
        <v>1177</v>
      </c>
      <c r="H968" s="2" t="s">
        <v>1628</v>
      </c>
      <c r="I968" s="2" t="s">
        <v>212</v>
      </c>
      <c r="J968" s="2" t="s">
        <v>298</v>
      </c>
      <c r="K968" s="4" t="s">
        <v>27</v>
      </c>
      <c r="L968" s="4" t="s">
        <v>27</v>
      </c>
      <c r="M968" s="4" t="s">
        <v>147</v>
      </c>
      <c r="N968" s="5">
        <v>256427160</v>
      </c>
      <c r="O968" s="2" t="s">
        <v>204</v>
      </c>
      <c r="P968" s="2" t="s">
        <v>37</v>
      </c>
      <c r="Q968" s="4" t="s">
        <v>205</v>
      </c>
    </row>
    <row r="969" spans="1:17" hidden="1" x14ac:dyDescent="0.2">
      <c r="A969" s="2" t="s">
        <v>1906</v>
      </c>
      <c r="B969" s="2" t="s">
        <v>33</v>
      </c>
      <c r="C969" s="2" t="s">
        <v>669</v>
      </c>
      <c r="D969" s="2" t="s">
        <v>20</v>
      </c>
      <c r="E969" s="3">
        <v>98052</v>
      </c>
      <c r="F969" s="4" t="s">
        <v>21</v>
      </c>
      <c r="G969" s="2" t="s">
        <v>1177</v>
      </c>
      <c r="H969" s="2" t="s">
        <v>1628</v>
      </c>
      <c r="I969" s="2" t="s">
        <v>212</v>
      </c>
      <c r="J969" s="2" t="s">
        <v>298</v>
      </c>
      <c r="K969" s="4" t="s">
        <v>27</v>
      </c>
      <c r="L969" s="4" t="s">
        <v>27</v>
      </c>
      <c r="M969" s="4" t="s">
        <v>198</v>
      </c>
      <c r="N969" s="5">
        <v>249751967</v>
      </c>
      <c r="O969" s="2" t="s">
        <v>670</v>
      </c>
      <c r="P969" s="2" t="s">
        <v>37</v>
      </c>
      <c r="Q969" s="4" t="s">
        <v>1047</v>
      </c>
    </row>
    <row r="970" spans="1:17" hidden="1" x14ac:dyDescent="0.2">
      <c r="A970" s="2" t="s">
        <v>1906</v>
      </c>
      <c r="B970" s="2" t="s">
        <v>40</v>
      </c>
      <c r="C970" s="2" t="s">
        <v>1908</v>
      </c>
      <c r="D970" s="2" t="s">
        <v>20</v>
      </c>
      <c r="E970" s="3">
        <v>98020</v>
      </c>
      <c r="F970" s="4" t="s">
        <v>21</v>
      </c>
      <c r="G970" s="2" t="s">
        <v>1177</v>
      </c>
      <c r="H970" s="2" t="s">
        <v>1628</v>
      </c>
      <c r="I970" s="2" t="s">
        <v>212</v>
      </c>
      <c r="J970" s="2" t="s">
        <v>298</v>
      </c>
      <c r="K970" s="4" t="s">
        <v>27</v>
      </c>
      <c r="L970" s="4" t="s">
        <v>27</v>
      </c>
      <c r="M970" s="4" t="s">
        <v>74</v>
      </c>
      <c r="N970" s="5">
        <v>260474868</v>
      </c>
      <c r="O970" s="2" t="s">
        <v>269</v>
      </c>
      <c r="P970" s="2" t="s">
        <v>30</v>
      </c>
      <c r="Q970" s="4" t="s">
        <v>1909</v>
      </c>
    </row>
    <row r="971" spans="1:17" hidden="1" x14ac:dyDescent="0.2">
      <c r="A971" s="2" t="s">
        <v>1910</v>
      </c>
      <c r="B971" s="2" t="s">
        <v>33</v>
      </c>
      <c r="C971" s="2" t="s">
        <v>146</v>
      </c>
      <c r="D971" s="2" t="s">
        <v>20</v>
      </c>
      <c r="E971" s="3">
        <v>98004</v>
      </c>
      <c r="F971" s="4" t="s">
        <v>121</v>
      </c>
      <c r="G971" s="2" t="s">
        <v>1177</v>
      </c>
      <c r="H971" s="2" t="s">
        <v>1628</v>
      </c>
      <c r="I971" s="2" t="s">
        <v>212</v>
      </c>
      <c r="J971" s="2" t="s">
        <v>298</v>
      </c>
      <c r="K971" s="4" t="s">
        <v>27</v>
      </c>
      <c r="L971" s="4" t="s">
        <v>27</v>
      </c>
      <c r="M971" s="4" t="s">
        <v>403</v>
      </c>
      <c r="N971" s="5">
        <v>270725654</v>
      </c>
      <c r="O971" s="2" t="s">
        <v>148</v>
      </c>
      <c r="P971" s="2" t="s">
        <v>37</v>
      </c>
      <c r="Q971" s="4" t="s">
        <v>1857</v>
      </c>
    </row>
    <row r="972" spans="1:17" hidden="1" x14ac:dyDescent="0.2">
      <c r="A972" s="2" t="s">
        <v>1910</v>
      </c>
      <c r="B972" s="2" t="s">
        <v>40</v>
      </c>
      <c r="C972" s="2" t="s">
        <v>784</v>
      </c>
      <c r="D972" s="2" t="s">
        <v>20</v>
      </c>
      <c r="E972" s="3">
        <v>98275</v>
      </c>
      <c r="F972" s="4" t="s">
        <v>121</v>
      </c>
      <c r="G972" s="2" t="s">
        <v>1177</v>
      </c>
      <c r="H972" s="2" t="s">
        <v>1628</v>
      </c>
      <c r="I972" s="2" t="s">
        <v>212</v>
      </c>
      <c r="J972" s="2" t="s">
        <v>298</v>
      </c>
      <c r="K972" s="4" t="s">
        <v>27</v>
      </c>
      <c r="L972" s="4" t="s">
        <v>27</v>
      </c>
      <c r="M972" s="4" t="s">
        <v>26</v>
      </c>
      <c r="N972" s="5">
        <v>263031338</v>
      </c>
      <c r="O972" s="2" t="s">
        <v>785</v>
      </c>
      <c r="P972" s="2" t="s">
        <v>30</v>
      </c>
      <c r="Q972" s="4" t="s">
        <v>1130</v>
      </c>
    </row>
    <row r="973" spans="1:17" hidden="1" x14ac:dyDescent="0.2">
      <c r="A973" s="2" t="s">
        <v>1911</v>
      </c>
      <c r="B973" s="2" t="s">
        <v>33</v>
      </c>
      <c r="C973" s="2" t="s">
        <v>146</v>
      </c>
      <c r="D973" s="2" t="s">
        <v>20</v>
      </c>
      <c r="E973" s="3">
        <v>98007</v>
      </c>
      <c r="F973" s="4" t="s">
        <v>130</v>
      </c>
      <c r="G973" s="2" t="s">
        <v>1177</v>
      </c>
      <c r="H973" s="2" t="s">
        <v>1628</v>
      </c>
      <c r="I973" s="2" t="s">
        <v>212</v>
      </c>
      <c r="J973" s="2" t="s">
        <v>298</v>
      </c>
      <c r="K973" s="4" t="s">
        <v>27</v>
      </c>
      <c r="L973" s="4" t="s">
        <v>27</v>
      </c>
      <c r="M973" s="4" t="s">
        <v>147</v>
      </c>
      <c r="N973" s="5">
        <v>276359807</v>
      </c>
      <c r="O973" s="2" t="s">
        <v>753</v>
      </c>
      <c r="P973" s="2" t="s">
        <v>37</v>
      </c>
      <c r="Q973" s="4" t="s">
        <v>970</v>
      </c>
    </row>
    <row r="974" spans="1:17" hidden="1" x14ac:dyDescent="0.2">
      <c r="A974" s="2" t="s">
        <v>1911</v>
      </c>
      <c r="B974" s="2" t="s">
        <v>33</v>
      </c>
      <c r="C974" s="2" t="s">
        <v>139</v>
      </c>
      <c r="D974" s="2" t="s">
        <v>20</v>
      </c>
      <c r="E974" s="3">
        <v>98057</v>
      </c>
      <c r="F974" s="4" t="s">
        <v>130</v>
      </c>
      <c r="G974" s="2" t="s">
        <v>1177</v>
      </c>
      <c r="H974" s="2" t="s">
        <v>1628</v>
      </c>
      <c r="I974" s="2" t="s">
        <v>212</v>
      </c>
      <c r="J974" s="2" t="s">
        <v>298</v>
      </c>
      <c r="K974" s="4" t="s">
        <v>27</v>
      </c>
      <c r="L974" s="4" t="s">
        <v>27</v>
      </c>
      <c r="M974" s="4" t="s">
        <v>284</v>
      </c>
      <c r="N974" s="5">
        <v>277013551</v>
      </c>
      <c r="O974" s="2" t="s">
        <v>1025</v>
      </c>
      <c r="P974" s="2" t="s">
        <v>37</v>
      </c>
      <c r="Q974" s="4" t="s">
        <v>1912</v>
      </c>
    </row>
    <row r="975" spans="1:17" hidden="1" x14ac:dyDescent="0.2">
      <c r="A975" s="2" t="s">
        <v>1913</v>
      </c>
      <c r="B975" s="2" t="s">
        <v>55</v>
      </c>
      <c r="C975" s="2" t="s">
        <v>56</v>
      </c>
      <c r="D975" s="2" t="s">
        <v>20</v>
      </c>
      <c r="E975" s="3">
        <v>98607</v>
      </c>
      <c r="F975" s="4" t="s">
        <v>1113</v>
      </c>
      <c r="G975" s="2" t="s">
        <v>1177</v>
      </c>
      <c r="H975" s="2" t="s">
        <v>1628</v>
      </c>
      <c r="I975" s="2" t="s">
        <v>212</v>
      </c>
      <c r="J975" s="2" t="s">
        <v>298</v>
      </c>
      <c r="K975" s="4" t="s">
        <v>27</v>
      </c>
      <c r="L975" s="4" t="s">
        <v>27</v>
      </c>
      <c r="M975" s="4" t="s">
        <v>58</v>
      </c>
      <c r="N975" s="5">
        <v>282073347</v>
      </c>
      <c r="O975" s="2" t="s">
        <v>59</v>
      </c>
      <c r="P975" s="2" t="s">
        <v>60</v>
      </c>
      <c r="Q975" s="4" t="s">
        <v>1389</v>
      </c>
    </row>
    <row r="976" spans="1:17" hidden="1" x14ac:dyDescent="0.2">
      <c r="A976" s="2" t="s">
        <v>1913</v>
      </c>
      <c r="B976" s="2" t="s">
        <v>33</v>
      </c>
      <c r="C976" s="2" t="s">
        <v>1391</v>
      </c>
      <c r="D976" s="2" t="s">
        <v>20</v>
      </c>
      <c r="E976" s="3">
        <v>98039</v>
      </c>
      <c r="F976" s="4" t="s">
        <v>1113</v>
      </c>
      <c r="G976" s="2" t="s">
        <v>1177</v>
      </c>
      <c r="H976" s="2" t="s">
        <v>1628</v>
      </c>
      <c r="I976" s="2" t="s">
        <v>212</v>
      </c>
      <c r="J976" s="2" t="s">
        <v>298</v>
      </c>
      <c r="K976" s="4" t="s">
        <v>27</v>
      </c>
      <c r="L976" s="4" t="s">
        <v>27</v>
      </c>
      <c r="M976" s="4" t="s">
        <v>147</v>
      </c>
      <c r="N976" s="5">
        <v>282521536</v>
      </c>
      <c r="O976" s="2" t="s">
        <v>1392</v>
      </c>
      <c r="P976" s="2" t="s">
        <v>86</v>
      </c>
      <c r="Q976" s="4" t="s">
        <v>1393</v>
      </c>
    </row>
    <row r="977" spans="1:17" hidden="1" x14ac:dyDescent="0.2">
      <c r="A977" s="2" t="s">
        <v>1914</v>
      </c>
      <c r="B977" s="2" t="s">
        <v>33</v>
      </c>
      <c r="C977" s="2" t="s">
        <v>83</v>
      </c>
      <c r="D977" s="2" t="s">
        <v>20</v>
      </c>
      <c r="E977" s="3">
        <v>98109</v>
      </c>
      <c r="F977" s="4" t="s">
        <v>57</v>
      </c>
      <c r="G977" s="2" t="s">
        <v>1177</v>
      </c>
      <c r="H977" s="2" t="s">
        <v>1628</v>
      </c>
      <c r="I977" s="2" t="s">
        <v>212</v>
      </c>
      <c r="J977" s="2" t="s">
        <v>298</v>
      </c>
      <c r="K977" s="4" t="s">
        <v>27</v>
      </c>
      <c r="L977" s="4" t="s">
        <v>27</v>
      </c>
      <c r="M977" s="4" t="s">
        <v>84</v>
      </c>
      <c r="N977" s="5">
        <v>279273179</v>
      </c>
      <c r="O977" s="2" t="s">
        <v>437</v>
      </c>
      <c r="P977" s="2" t="s">
        <v>86</v>
      </c>
      <c r="Q977" s="4" t="s">
        <v>1218</v>
      </c>
    </row>
    <row r="978" spans="1:17" hidden="1" x14ac:dyDescent="0.2">
      <c r="A978" s="2" t="s">
        <v>1915</v>
      </c>
      <c r="B978" s="2" t="s">
        <v>40</v>
      </c>
      <c r="C978" s="2" t="s">
        <v>1902</v>
      </c>
      <c r="D978" s="2" t="s">
        <v>20</v>
      </c>
      <c r="E978" s="3">
        <v>98036</v>
      </c>
      <c r="F978" s="4" t="s">
        <v>21</v>
      </c>
      <c r="G978" s="2" t="s">
        <v>1177</v>
      </c>
      <c r="H978" s="2" t="s">
        <v>1628</v>
      </c>
      <c r="I978" s="2" t="s">
        <v>212</v>
      </c>
      <c r="J978" s="2" t="s">
        <v>298</v>
      </c>
      <c r="K978" s="4" t="s">
        <v>27</v>
      </c>
      <c r="L978" s="4" t="s">
        <v>27</v>
      </c>
      <c r="M978" s="4" t="s">
        <v>170</v>
      </c>
      <c r="N978" s="5">
        <v>252490906</v>
      </c>
      <c r="O978" s="2" t="s">
        <v>75</v>
      </c>
      <c r="P978" s="2" t="s">
        <v>30</v>
      </c>
      <c r="Q978" s="4" t="s">
        <v>1916</v>
      </c>
    </row>
    <row r="979" spans="1:17" hidden="1" x14ac:dyDescent="0.2">
      <c r="A979" s="2" t="s">
        <v>1915</v>
      </c>
      <c r="B979" s="2" t="s">
        <v>33</v>
      </c>
      <c r="C979" s="2" t="s">
        <v>146</v>
      </c>
      <c r="D979" s="2" t="s">
        <v>20</v>
      </c>
      <c r="E979" s="3">
        <v>98004</v>
      </c>
      <c r="F979" s="4" t="s">
        <v>21</v>
      </c>
      <c r="G979" s="2" t="s">
        <v>1177</v>
      </c>
      <c r="H979" s="2" t="s">
        <v>1628</v>
      </c>
      <c r="I979" s="2" t="s">
        <v>212</v>
      </c>
      <c r="J979" s="2" t="s">
        <v>298</v>
      </c>
      <c r="K979" s="4" t="s">
        <v>27</v>
      </c>
      <c r="L979" s="4" t="s">
        <v>27</v>
      </c>
      <c r="M979" s="4" t="s">
        <v>403</v>
      </c>
      <c r="N979" s="5">
        <v>286394202</v>
      </c>
      <c r="O979" s="2" t="s">
        <v>148</v>
      </c>
      <c r="P979" s="2" t="s">
        <v>37</v>
      </c>
      <c r="Q979" s="4" t="s">
        <v>1406</v>
      </c>
    </row>
    <row r="980" spans="1:17" hidden="1" x14ac:dyDescent="0.2">
      <c r="A980" s="2" t="s">
        <v>1917</v>
      </c>
      <c r="B980" s="2" t="s">
        <v>40</v>
      </c>
      <c r="C980" s="2" t="s">
        <v>89</v>
      </c>
      <c r="D980" s="2" t="s">
        <v>20</v>
      </c>
      <c r="E980" s="3">
        <v>98012</v>
      </c>
      <c r="F980" s="4" t="s">
        <v>121</v>
      </c>
      <c r="G980" s="2" t="s">
        <v>1177</v>
      </c>
      <c r="H980" s="2" t="s">
        <v>1628</v>
      </c>
      <c r="I980" s="2" t="s">
        <v>212</v>
      </c>
      <c r="J980" s="2" t="s">
        <v>298</v>
      </c>
      <c r="K980" s="4" t="s">
        <v>27</v>
      </c>
      <c r="L980" s="4" t="s">
        <v>27</v>
      </c>
      <c r="M980" s="4" t="s">
        <v>26</v>
      </c>
      <c r="N980" s="5">
        <v>267986232</v>
      </c>
      <c r="O980" s="2" t="s">
        <v>91</v>
      </c>
      <c r="P980" s="2" t="s">
        <v>30</v>
      </c>
      <c r="Q980" s="4" t="s">
        <v>92</v>
      </c>
    </row>
    <row r="981" spans="1:17" hidden="1" x14ac:dyDescent="0.2">
      <c r="A981" s="2" t="s">
        <v>1918</v>
      </c>
      <c r="B981" s="2" t="s">
        <v>33</v>
      </c>
      <c r="C981" s="2" t="s">
        <v>492</v>
      </c>
      <c r="D981" s="2" t="s">
        <v>20</v>
      </c>
      <c r="E981" s="3">
        <v>98065</v>
      </c>
      <c r="F981" s="4" t="s">
        <v>130</v>
      </c>
      <c r="G981" s="2" t="s">
        <v>1177</v>
      </c>
      <c r="H981" s="2" t="s">
        <v>1628</v>
      </c>
      <c r="I981" s="2" t="s">
        <v>212</v>
      </c>
      <c r="J981" s="2" t="s">
        <v>298</v>
      </c>
      <c r="K981" s="4" t="s">
        <v>27</v>
      </c>
      <c r="L981" s="4" t="s">
        <v>27</v>
      </c>
      <c r="M981" s="4" t="s">
        <v>35</v>
      </c>
      <c r="N981" s="5">
        <v>274580008</v>
      </c>
      <c r="O981" s="2" t="s">
        <v>493</v>
      </c>
      <c r="P981" s="2" t="s">
        <v>37</v>
      </c>
      <c r="Q981" s="4" t="s">
        <v>494</v>
      </c>
    </row>
    <row r="982" spans="1:17" hidden="1" x14ac:dyDescent="0.2">
      <c r="A982" s="2" t="s">
        <v>1919</v>
      </c>
      <c r="B982" s="2" t="s">
        <v>33</v>
      </c>
      <c r="C982" s="2" t="s">
        <v>146</v>
      </c>
      <c r="D982" s="2" t="s">
        <v>20</v>
      </c>
      <c r="E982" s="3">
        <v>98008</v>
      </c>
      <c r="F982" s="4" t="s">
        <v>1113</v>
      </c>
      <c r="G982" s="2" t="s">
        <v>1177</v>
      </c>
      <c r="H982" s="2" t="s">
        <v>1628</v>
      </c>
      <c r="I982" s="2" t="s">
        <v>212</v>
      </c>
      <c r="J982" s="2" t="s">
        <v>298</v>
      </c>
      <c r="K982" s="4" t="s">
        <v>27</v>
      </c>
      <c r="L982" s="4" t="s">
        <v>27</v>
      </c>
      <c r="M982" s="4" t="s">
        <v>147</v>
      </c>
      <c r="N982" s="5">
        <v>282371946</v>
      </c>
      <c r="O982" s="2" t="s">
        <v>537</v>
      </c>
      <c r="P982" s="2" t="s">
        <v>37</v>
      </c>
      <c r="Q982" s="4" t="s">
        <v>538</v>
      </c>
    </row>
    <row r="983" spans="1:17" hidden="1" x14ac:dyDescent="0.2">
      <c r="A983" s="2" t="s">
        <v>1920</v>
      </c>
      <c r="B983" s="2" t="s">
        <v>33</v>
      </c>
      <c r="C983" s="2" t="s">
        <v>83</v>
      </c>
      <c r="D983" s="2" t="s">
        <v>20</v>
      </c>
      <c r="E983" s="3">
        <v>98126</v>
      </c>
      <c r="F983" s="4" t="s">
        <v>21</v>
      </c>
      <c r="G983" s="2" t="s">
        <v>1177</v>
      </c>
      <c r="H983" s="2" t="s">
        <v>1628</v>
      </c>
      <c r="I983" s="2" t="s">
        <v>212</v>
      </c>
      <c r="J983" s="2" t="s">
        <v>298</v>
      </c>
      <c r="K983" s="4" t="s">
        <v>27</v>
      </c>
      <c r="L983" s="4" t="s">
        <v>27</v>
      </c>
      <c r="M983" s="4" t="s">
        <v>319</v>
      </c>
      <c r="N983" s="5">
        <v>227140182</v>
      </c>
      <c r="O983" s="2" t="s">
        <v>440</v>
      </c>
      <c r="P983" s="2" t="s">
        <v>86</v>
      </c>
      <c r="Q983" s="4" t="s">
        <v>441</v>
      </c>
    </row>
    <row r="984" spans="1:17" hidden="1" x14ac:dyDescent="0.2">
      <c r="A984" s="2" t="s">
        <v>1920</v>
      </c>
      <c r="B984" s="2" t="s">
        <v>33</v>
      </c>
      <c r="C984" s="2" t="s">
        <v>139</v>
      </c>
      <c r="D984" s="2" t="s">
        <v>20</v>
      </c>
      <c r="E984" s="3">
        <v>98056</v>
      </c>
      <c r="F984" s="4" t="s">
        <v>21</v>
      </c>
      <c r="G984" s="2" t="s">
        <v>1177</v>
      </c>
      <c r="H984" s="2" t="s">
        <v>1628</v>
      </c>
      <c r="I984" s="2" t="s">
        <v>212</v>
      </c>
      <c r="J984" s="2" t="s">
        <v>298</v>
      </c>
      <c r="K984" s="4" t="s">
        <v>27</v>
      </c>
      <c r="L984" s="4" t="s">
        <v>27</v>
      </c>
      <c r="M984" s="4" t="s">
        <v>403</v>
      </c>
      <c r="N984" s="5">
        <v>250972200</v>
      </c>
      <c r="O984" s="2" t="s">
        <v>593</v>
      </c>
      <c r="P984" s="2" t="s">
        <v>37</v>
      </c>
      <c r="Q984" s="4" t="s">
        <v>1869</v>
      </c>
    </row>
    <row r="985" spans="1:17" hidden="1" x14ac:dyDescent="0.2">
      <c r="A985" s="2" t="s">
        <v>1920</v>
      </c>
      <c r="B985" s="2" t="s">
        <v>151</v>
      </c>
      <c r="C985" s="2" t="s">
        <v>566</v>
      </c>
      <c r="D985" s="2" t="s">
        <v>20</v>
      </c>
      <c r="E985" s="3">
        <v>98503</v>
      </c>
      <c r="F985" s="4" t="s">
        <v>21</v>
      </c>
      <c r="G985" s="2" t="s">
        <v>1177</v>
      </c>
      <c r="H985" s="2" t="s">
        <v>1628</v>
      </c>
      <c r="I985" s="2" t="s">
        <v>212</v>
      </c>
      <c r="J985" s="2" t="s">
        <v>298</v>
      </c>
      <c r="K985" s="4" t="s">
        <v>27</v>
      </c>
      <c r="L985" s="4" t="s">
        <v>27</v>
      </c>
      <c r="M985" s="4" t="s">
        <v>90</v>
      </c>
      <c r="N985" s="5">
        <v>237670611</v>
      </c>
      <c r="O985" s="2" t="s">
        <v>567</v>
      </c>
      <c r="P985" s="2" t="s">
        <v>30</v>
      </c>
      <c r="Q985" s="4" t="s">
        <v>835</v>
      </c>
    </row>
    <row r="986" spans="1:17" hidden="1" x14ac:dyDescent="0.2">
      <c r="A986" s="2" t="s">
        <v>1921</v>
      </c>
      <c r="B986" s="2" t="s">
        <v>33</v>
      </c>
      <c r="C986" s="2" t="s">
        <v>169</v>
      </c>
      <c r="D986" s="2" t="s">
        <v>20</v>
      </c>
      <c r="E986" s="3">
        <v>98033</v>
      </c>
      <c r="F986" s="4" t="s">
        <v>121</v>
      </c>
      <c r="G986" s="2" t="s">
        <v>1177</v>
      </c>
      <c r="H986" s="2" t="s">
        <v>1628</v>
      </c>
      <c r="I986" s="2" t="s">
        <v>212</v>
      </c>
      <c r="J986" s="2" t="s">
        <v>298</v>
      </c>
      <c r="K986" s="4" t="s">
        <v>27</v>
      </c>
      <c r="L986" s="4" t="s">
        <v>27</v>
      </c>
      <c r="M986" s="4" t="s">
        <v>147</v>
      </c>
      <c r="N986" s="5">
        <v>261810482</v>
      </c>
      <c r="O986" s="2" t="s">
        <v>204</v>
      </c>
      <c r="P986" s="2" t="s">
        <v>37</v>
      </c>
      <c r="Q986" s="4" t="s">
        <v>894</v>
      </c>
    </row>
    <row r="987" spans="1:17" hidden="1" x14ac:dyDescent="0.2">
      <c r="A987" s="2" t="s">
        <v>1921</v>
      </c>
      <c r="B987" s="2" t="s">
        <v>40</v>
      </c>
      <c r="C987" s="2" t="s">
        <v>1922</v>
      </c>
      <c r="D987" s="2" t="s">
        <v>20</v>
      </c>
      <c r="E987" s="3">
        <v>98251</v>
      </c>
      <c r="F987" s="4" t="s">
        <v>121</v>
      </c>
      <c r="G987" s="2" t="s">
        <v>1177</v>
      </c>
      <c r="H987" s="2" t="s">
        <v>1628</v>
      </c>
      <c r="I987" s="2" t="s">
        <v>212</v>
      </c>
      <c r="J987" s="2" t="s">
        <v>298</v>
      </c>
      <c r="K987" s="4" t="s">
        <v>27</v>
      </c>
      <c r="L987" s="4" t="s">
        <v>27</v>
      </c>
      <c r="M987" s="4" t="s">
        <v>44</v>
      </c>
      <c r="N987" s="5">
        <v>266592455</v>
      </c>
      <c r="O987" s="2" t="s">
        <v>1923</v>
      </c>
      <c r="P987" s="2" t="s">
        <v>107</v>
      </c>
      <c r="Q987" s="4" t="s">
        <v>1924</v>
      </c>
    </row>
    <row r="988" spans="1:17" hidden="1" x14ac:dyDescent="0.2">
      <c r="A988" s="2" t="s">
        <v>1925</v>
      </c>
      <c r="B988" s="2" t="s">
        <v>110</v>
      </c>
      <c r="C988" s="2" t="s">
        <v>634</v>
      </c>
      <c r="D988" s="2" t="s">
        <v>20</v>
      </c>
      <c r="E988" s="3">
        <v>98332</v>
      </c>
      <c r="F988" s="4" t="s">
        <v>130</v>
      </c>
      <c r="G988" s="2" t="s">
        <v>1177</v>
      </c>
      <c r="H988" s="2" t="s">
        <v>1628</v>
      </c>
      <c r="I988" s="2" t="s">
        <v>212</v>
      </c>
      <c r="J988" s="2" t="s">
        <v>298</v>
      </c>
      <c r="K988" s="4" t="s">
        <v>27</v>
      </c>
      <c r="L988" s="4" t="s">
        <v>27</v>
      </c>
      <c r="M988" s="4" t="s">
        <v>101</v>
      </c>
      <c r="N988" s="5">
        <v>275478073</v>
      </c>
      <c r="O988" s="2" t="s">
        <v>1420</v>
      </c>
      <c r="P988" s="2" t="s">
        <v>310</v>
      </c>
      <c r="Q988" s="4" t="s">
        <v>1926</v>
      </c>
    </row>
    <row r="989" spans="1:17" hidden="1" x14ac:dyDescent="0.2">
      <c r="A989" s="2" t="s">
        <v>1925</v>
      </c>
      <c r="B989" s="2" t="s">
        <v>110</v>
      </c>
      <c r="C989" s="2" t="s">
        <v>1927</v>
      </c>
      <c r="D989" s="2" t="s">
        <v>20</v>
      </c>
      <c r="E989" s="3">
        <v>98372</v>
      </c>
      <c r="F989" s="4" t="s">
        <v>130</v>
      </c>
      <c r="G989" s="2" t="s">
        <v>1177</v>
      </c>
      <c r="H989" s="2" t="s">
        <v>1628</v>
      </c>
      <c r="I989" s="2" t="s">
        <v>212</v>
      </c>
      <c r="J989" s="2" t="s">
        <v>298</v>
      </c>
      <c r="K989" s="4" t="s">
        <v>27</v>
      </c>
      <c r="L989" s="4" t="s">
        <v>27</v>
      </c>
      <c r="M989" s="4" t="s">
        <v>112</v>
      </c>
      <c r="N989" s="5">
        <v>275575345</v>
      </c>
      <c r="O989" s="2" t="s">
        <v>1928</v>
      </c>
      <c r="P989" s="2" t="s">
        <v>37</v>
      </c>
      <c r="Q989" s="4" t="s">
        <v>1929</v>
      </c>
    </row>
    <row r="990" spans="1:17" hidden="1" x14ac:dyDescent="0.2">
      <c r="A990" s="2" t="s">
        <v>1930</v>
      </c>
      <c r="B990" s="2" t="s">
        <v>33</v>
      </c>
      <c r="C990" s="2" t="s">
        <v>451</v>
      </c>
      <c r="D990" s="2" t="s">
        <v>20</v>
      </c>
      <c r="E990" s="3">
        <v>98075</v>
      </c>
      <c r="F990" s="4" t="s">
        <v>1113</v>
      </c>
      <c r="G990" s="2" t="s">
        <v>1177</v>
      </c>
      <c r="H990" s="2" t="s">
        <v>1628</v>
      </c>
      <c r="I990" s="2" t="s">
        <v>212</v>
      </c>
      <c r="J990" s="2" t="s">
        <v>298</v>
      </c>
      <c r="K990" s="4" t="s">
        <v>27</v>
      </c>
      <c r="L990" s="4" t="s">
        <v>27</v>
      </c>
      <c r="M990" s="4" t="s">
        <v>403</v>
      </c>
      <c r="N990" s="5">
        <v>279309089</v>
      </c>
      <c r="O990" s="2" t="s">
        <v>452</v>
      </c>
      <c r="P990" s="2" t="s">
        <v>37</v>
      </c>
      <c r="Q990" s="4" t="s">
        <v>1265</v>
      </c>
    </row>
    <row r="991" spans="1:17" hidden="1" x14ac:dyDescent="0.2">
      <c r="A991" s="2" t="s">
        <v>1931</v>
      </c>
      <c r="B991" s="2" t="s">
        <v>1932</v>
      </c>
      <c r="C991" s="2" t="s">
        <v>1933</v>
      </c>
      <c r="D991" s="2" t="s">
        <v>20</v>
      </c>
      <c r="E991" s="3">
        <v>98640</v>
      </c>
      <c r="F991" s="4" t="s">
        <v>57</v>
      </c>
      <c r="G991" s="2" t="s">
        <v>1177</v>
      </c>
      <c r="H991" s="2" t="s">
        <v>1628</v>
      </c>
      <c r="I991" s="2" t="s">
        <v>212</v>
      </c>
      <c r="J991" s="2" t="s">
        <v>298</v>
      </c>
      <c r="K991" s="4" t="s">
        <v>27</v>
      </c>
      <c r="L991" s="4" t="s">
        <v>27</v>
      </c>
      <c r="M991" s="4" t="s">
        <v>221</v>
      </c>
      <c r="N991" s="5">
        <v>194248295</v>
      </c>
      <c r="O991" s="2" t="s">
        <v>1934</v>
      </c>
      <c r="P991" s="2" t="s">
        <v>1935</v>
      </c>
      <c r="Q991" s="4" t="s">
        <v>1936</v>
      </c>
    </row>
    <row r="992" spans="1:17" hidden="1" x14ac:dyDescent="0.2">
      <c r="A992" s="2" t="s">
        <v>1931</v>
      </c>
      <c r="B992" s="2" t="s">
        <v>33</v>
      </c>
      <c r="C992" s="2" t="s">
        <v>83</v>
      </c>
      <c r="D992" s="2" t="s">
        <v>20</v>
      </c>
      <c r="E992" s="3">
        <v>98118</v>
      </c>
      <c r="F992" s="4" t="s">
        <v>57</v>
      </c>
      <c r="G992" s="2" t="s">
        <v>1177</v>
      </c>
      <c r="H992" s="2" t="s">
        <v>1628</v>
      </c>
      <c r="I992" s="2" t="s">
        <v>212</v>
      </c>
      <c r="J992" s="2" t="s">
        <v>298</v>
      </c>
      <c r="K992" s="4" t="s">
        <v>27</v>
      </c>
      <c r="L992" s="4" t="s">
        <v>27</v>
      </c>
      <c r="M992" s="4" t="s">
        <v>284</v>
      </c>
      <c r="N992" s="5">
        <v>278032646</v>
      </c>
      <c r="O992" s="2" t="s">
        <v>523</v>
      </c>
      <c r="P992" s="2" t="s">
        <v>86</v>
      </c>
      <c r="Q992" s="4" t="s">
        <v>1937</v>
      </c>
    </row>
    <row r="993" spans="1:17" hidden="1" x14ac:dyDescent="0.2">
      <c r="A993" s="2" t="s">
        <v>1931</v>
      </c>
      <c r="B993" s="2" t="s">
        <v>207</v>
      </c>
      <c r="C993" s="2" t="s">
        <v>1938</v>
      </c>
      <c r="D993" s="2" t="s">
        <v>20</v>
      </c>
      <c r="E993" s="3">
        <v>98233</v>
      </c>
      <c r="F993" s="4" t="s">
        <v>57</v>
      </c>
      <c r="G993" s="2" t="s">
        <v>1177</v>
      </c>
      <c r="H993" s="2" t="s">
        <v>1628</v>
      </c>
      <c r="I993" s="2" t="s">
        <v>212</v>
      </c>
      <c r="J993" s="2" t="s">
        <v>298</v>
      </c>
      <c r="K993" s="4" t="s">
        <v>27</v>
      </c>
      <c r="L993" s="4" t="s">
        <v>27</v>
      </c>
      <c r="M993" s="4" t="s">
        <v>96</v>
      </c>
      <c r="N993" s="5">
        <v>206905779</v>
      </c>
      <c r="O993" s="2" t="s">
        <v>1939</v>
      </c>
      <c r="P993" s="2" t="s">
        <v>30</v>
      </c>
      <c r="Q993" s="4" t="s">
        <v>625</v>
      </c>
    </row>
    <row r="994" spans="1:17" hidden="1" x14ac:dyDescent="0.2">
      <c r="A994" s="2" t="s">
        <v>1940</v>
      </c>
      <c r="B994" s="2" t="s">
        <v>151</v>
      </c>
      <c r="C994" s="2" t="s">
        <v>152</v>
      </c>
      <c r="D994" s="2" t="s">
        <v>20</v>
      </c>
      <c r="E994" s="3">
        <v>98501</v>
      </c>
      <c r="F994" s="4" t="s">
        <v>21</v>
      </c>
      <c r="G994" s="2" t="s">
        <v>1177</v>
      </c>
      <c r="H994" s="2" t="s">
        <v>1628</v>
      </c>
      <c r="I994" s="2" t="s">
        <v>212</v>
      </c>
      <c r="J994" s="2" t="s">
        <v>298</v>
      </c>
      <c r="K994" s="4" t="s">
        <v>27</v>
      </c>
      <c r="L994" s="4" t="s">
        <v>27</v>
      </c>
      <c r="M994" s="4" t="s">
        <v>90</v>
      </c>
      <c r="N994" s="5">
        <v>229972319</v>
      </c>
      <c r="O994" s="2" t="s">
        <v>153</v>
      </c>
      <c r="P994" s="2" t="s">
        <v>30</v>
      </c>
      <c r="Q994" s="4" t="s">
        <v>1941</v>
      </c>
    </row>
    <row r="995" spans="1:17" hidden="1" x14ac:dyDescent="0.2">
      <c r="A995" s="2" t="s">
        <v>1940</v>
      </c>
      <c r="B995" s="2" t="s">
        <v>33</v>
      </c>
      <c r="C995" s="2" t="s">
        <v>146</v>
      </c>
      <c r="D995" s="2" t="s">
        <v>20</v>
      </c>
      <c r="E995" s="3">
        <v>98005</v>
      </c>
      <c r="F995" s="4" t="s">
        <v>21</v>
      </c>
      <c r="G995" s="2" t="s">
        <v>1177</v>
      </c>
      <c r="H995" s="2" t="s">
        <v>1628</v>
      </c>
      <c r="I995" s="2" t="s">
        <v>212</v>
      </c>
      <c r="J995" s="2" t="s">
        <v>298</v>
      </c>
      <c r="K995" s="4" t="s">
        <v>27</v>
      </c>
      <c r="L995" s="4" t="s">
        <v>27</v>
      </c>
      <c r="M995" s="4" t="s">
        <v>403</v>
      </c>
      <c r="N995" s="5">
        <v>239006820</v>
      </c>
      <c r="O995" s="2" t="s">
        <v>448</v>
      </c>
      <c r="P995" s="2" t="s">
        <v>37</v>
      </c>
      <c r="Q995" s="4" t="s">
        <v>1942</v>
      </c>
    </row>
    <row r="996" spans="1:17" hidden="1" x14ac:dyDescent="0.2">
      <c r="A996" s="2" t="s">
        <v>1940</v>
      </c>
      <c r="B996" s="2" t="s">
        <v>33</v>
      </c>
      <c r="C996" s="2" t="s">
        <v>669</v>
      </c>
      <c r="D996" s="2" t="s">
        <v>20</v>
      </c>
      <c r="E996" s="3">
        <v>98053</v>
      </c>
      <c r="F996" s="4" t="s">
        <v>21</v>
      </c>
      <c r="G996" s="2" t="s">
        <v>1177</v>
      </c>
      <c r="H996" s="2" t="s">
        <v>1628</v>
      </c>
      <c r="I996" s="2" t="s">
        <v>212</v>
      </c>
      <c r="J996" s="2" t="s">
        <v>298</v>
      </c>
      <c r="K996" s="4" t="s">
        <v>27</v>
      </c>
      <c r="L996" s="4" t="s">
        <v>27</v>
      </c>
      <c r="M996" s="4" t="s">
        <v>198</v>
      </c>
      <c r="N996" s="5">
        <v>232956629</v>
      </c>
      <c r="O996" s="2" t="s">
        <v>1002</v>
      </c>
      <c r="P996" s="2" t="s">
        <v>37</v>
      </c>
      <c r="Q996" s="4" t="s">
        <v>1598</v>
      </c>
    </row>
    <row r="997" spans="1:17" hidden="1" x14ac:dyDescent="0.2">
      <c r="A997" s="2" t="s">
        <v>1940</v>
      </c>
      <c r="B997" s="2" t="s">
        <v>55</v>
      </c>
      <c r="C997" s="2" t="s">
        <v>56</v>
      </c>
      <c r="D997" s="2" t="s">
        <v>20</v>
      </c>
      <c r="E997" s="3">
        <v>98607</v>
      </c>
      <c r="F997" s="4" t="s">
        <v>21</v>
      </c>
      <c r="G997" s="2" t="s">
        <v>1177</v>
      </c>
      <c r="H997" s="2" t="s">
        <v>1628</v>
      </c>
      <c r="I997" s="2" t="s">
        <v>212</v>
      </c>
      <c r="J997" s="2" t="s">
        <v>298</v>
      </c>
      <c r="K997" s="4" t="s">
        <v>27</v>
      </c>
      <c r="L997" s="4" t="s">
        <v>27</v>
      </c>
      <c r="M997" s="4" t="s">
        <v>58</v>
      </c>
      <c r="N997" s="5">
        <v>241478520</v>
      </c>
      <c r="O997" s="2" t="s">
        <v>59</v>
      </c>
      <c r="P997" s="2" t="s">
        <v>60</v>
      </c>
      <c r="Q997" s="4" t="s">
        <v>1310</v>
      </c>
    </row>
    <row r="998" spans="1:17" hidden="1" x14ac:dyDescent="0.2">
      <c r="A998" s="2" t="s">
        <v>1940</v>
      </c>
      <c r="B998" s="2" t="s">
        <v>33</v>
      </c>
      <c r="C998" s="2" t="s">
        <v>451</v>
      </c>
      <c r="D998" s="2" t="s">
        <v>20</v>
      </c>
      <c r="E998" s="3">
        <v>98074</v>
      </c>
      <c r="F998" s="4" t="s">
        <v>21</v>
      </c>
      <c r="G998" s="2" t="s">
        <v>1177</v>
      </c>
      <c r="H998" s="2" t="s">
        <v>1628</v>
      </c>
      <c r="I998" s="2" t="s">
        <v>212</v>
      </c>
      <c r="J998" s="2" t="s">
        <v>298</v>
      </c>
      <c r="K998" s="4" t="s">
        <v>27</v>
      </c>
      <c r="L998" s="4" t="s">
        <v>27</v>
      </c>
      <c r="M998" s="4" t="s">
        <v>198</v>
      </c>
      <c r="N998" s="5">
        <v>239968760</v>
      </c>
      <c r="O998" s="2" t="s">
        <v>781</v>
      </c>
      <c r="P998" s="2" t="s">
        <v>37</v>
      </c>
      <c r="Q998" s="4" t="s">
        <v>1943</v>
      </c>
    </row>
    <row r="999" spans="1:17" hidden="1" x14ac:dyDescent="0.2">
      <c r="A999" s="2" t="s">
        <v>1940</v>
      </c>
      <c r="B999" s="2" t="s">
        <v>18</v>
      </c>
      <c r="C999" s="2" t="s">
        <v>1944</v>
      </c>
      <c r="D999" s="2" t="s">
        <v>20</v>
      </c>
      <c r="E999" s="3">
        <v>98340</v>
      </c>
      <c r="F999" s="4" t="s">
        <v>21</v>
      </c>
      <c r="G999" s="2" t="s">
        <v>1177</v>
      </c>
      <c r="H999" s="2" t="s">
        <v>1628</v>
      </c>
      <c r="I999" s="2" t="s">
        <v>212</v>
      </c>
      <c r="J999" s="2" t="s">
        <v>298</v>
      </c>
      <c r="K999" s="4" t="s">
        <v>27</v>
      </c>
      <c r="L999" s="4" t="s">
        <v>27</v>
      </c>
      <c r="M999" s="4" t="s">
        <v>28</v>
      </c>
      <c r="N999" s="5">
        <v>252001760</v>
      </c>
      <c r="O999" s="2" t="s">
        <v>1945</v>
      </c>
      <c r="P999" s="2" t="s">
        <v>30</v>
      </c>
      <c r="Q999" s="4" t="s">
        <v>515</v>
      </c>
    </row>
    <row r="1000" spans="1:17" hidden="1" x14ac:dyDescent="0.2">
      <c r="A1000" s="2" t="s">
        <v>1940</v>
      </c>
      <c r="B1000" s="2" t="s">
        <v>33</v>
      </c>
      <c r="C1000" s="2" t="s">
        <v>1056</v>
      </c>
      <c r="D1000" s="2" t="s">
        <v>20</v>
      </c>
      <c r="E1000" s="3">
        <v>98030</v>
      </c>
      <c r="F1000" s="4" t="s">
        <v>21</v>
      </c>
      <c r="G1000" s="2" t="s">
        <v>1177</v>
      </c>
      <c r="H1000" s="2" t="s">
        <v>1628</v>
      </c>
      <c r="I1000" s="2" t="s">
        <v>212</v>
      </c>
      <c r="J1000" s="2" t="s">
        <v>298</v>
      </c>
      <c r="K1000" s="4" t="s">
        <v>27</v>
      </c>
      <c r="L1000" s="4" t="s">
        <v>27</v>
      </c>
      <c r="M1000" s="4" t="s">
        <v>909</v>
      </c>
      <c r="N1000" s="5">
        <v>255358267</v>
      </c>
      <c r="O1000" s="2" t="s">
        <v>1344</v>
      </c>
      <c r="P1000" s="2" t="s">
        <v>37</v>
      </c>
      <c r="Q1000" s="4" t="s">
        <v>1946</v>
      </c>
    </row>
    <row r="1001" spans="1:17" hidden="1" x14ac:dyDescent="0.2">
      <c r="A1001" s="2" t="s">
        <v>1947</v>
      </c>
      <c r="B1001" s="2" t="s">
        <v>33</v>
      </c>
      <c r="C1001" s="2" t="s">
        <v>146</v>
      </c>
      <c r="D1001" s="2" t="s">
        <v>20</v>
      </c>
      <c r="E1001" s="3">
        <v>98004</v>
      </c>
      <c r="F1001" s="4" t="s">
        <v>121</v>
      </c>
      <c r="G1001" s="2" t="s">
        <v>1177</v>
      </c>
      <c r="H1001" s="2" t="s">
        <v>1628</v>
      </c>
      <c r="I1001" s="2" t="s">
        <v>212</v>
      </c>
      <c r="J1001" s="2" t="s">
        <v>298</v>
      </c>
      <c r="K1001" s="4" t="s">
        <v>27</v>
      </c>
      <c r="L1001" s="4" t="s">
        <v>27</v>
      </c>
      <c r="M1001" s="4" t="s">
        <v>147</v>
      </c>
      <c r="N1001" s="5">
        <v>261726916</v>
      </c>
      <c r="O1001" s="2" t="s">
        <v>148</v>
      </c>
      <c r="P1001" s="2" t="s">
        <v>37</v>
      </c>
      <c r="Q1001" s="4" t="s">
        <v>606</v>
      </c>
    </row>
    <row r="1002" spans="1:17" hidden="1" x14ac:dyDescent="0.2">
      <c r="A1002" s="2" t="s">
        <v>1947</v>
      </c>
      <c r="B1002" s="2" t="s">
        <v>33</v>
      </c>
      <c r="C1002" s="2" t="s">
        <v>139</v>
      </c>
      <c r="D1002" s="2" t="s">
        <v>20</v>
      </c>
      <c r="E1002" s="3">
        <v>98059</v>
      </c>
      <c r="F1002" s="4" t="s">
        <v>121</v>
      </c>
      <c r="G1002" s="2" t="s">
        <v>1177</v>
      </c>
      <c r="H1002" s="2" t="s">
        <v>1628</v>
      </c>
      <c r="I1002" s="2" t="s">
        <v>212</v>
      </c>
      <c r="J1002" s="2" t="s">
        <v>298</v>
      </c>
      <c r="K1002" s="4" t="s">
        <v>27</v>
      </c>
      <c r="L1002" s="4" t="s">
        <v>27</v>
      </c>
      <c r="M1002" s="4" t="s">
        <v>35</v>
      </c>
      <c r="N1002" s="5">
        <v>262364189</v>
      </c>
      <c r="O1002" s="2" t="s">
        <v>587</v>
      </c>
      <c r="P1002" s="2" t="s">
        <v>37</v>
      </c>
      <c r="Q1002" s="4" t="s">
        <v>1948</v>
      </c>
    </row>
    <row r="1003" spans="1:17" hidden="1" x14ac:dyDescent="0.2">
      <c r="A1003" s="2" t="s">
        <v>1947</v>
      </c>
      <c r="B1003" s="2" t="s">
        <v>110</v>
      </c>
      <c r="C1003" s="2" t="s">
        <v>1220</v>
      </c>
      <c r="D1003" s="2" t="s">
        <v>20</v>
      </c>
      <c r="E1003" s="3">
        <v>98321</v>
      </c>
      <c r="F1003" s="4" t="s">
        <v>121</v>
      </c>
      <c r="G1003" s="2" t="s">
        <v>1177</v>
      </c>
      <c r="H1003" s="2" t="s">
        <v>1628</v>
      </c>
      <c r="I1003" s="2" t="s">
        <v>212</v>
      </c>
      <c r="J1003" s="2" t="s">
        <v>298</v>
      </c>
      <c r="K1003" s="4" t="s">
        <v>27</v>
      </c>
      <c r="L1003" s="4" t="s">
        <v>27</v>
      </c>
      <c r="M1003" s="4" t="s">
        <v>112</v>
      </c>
      <c r="N1003" s="5">
        <v>267492935</v>
      </c>
      <c r="O1003" s="2" t="s">
        <v>1221</v>
      </c>
      <c r="P1003" s="2" t="s">
        <v>37</v>
      </c>
      <c r="Q1003" s="4" t="s">
        <v>1308</v>
      </c>
    </row>
    <row r="1004" spans="1:17" hidden="1" x14ac:dyDescent="0.2">
      <c r="A1004" s="2" t="s">
        <v>1949</v>
      </c>
      <c r="B1004" s="2" t="s">
        <v>55</v>
      </c>
      <c r="C1004" s="2" t="s">
        <v>63</v>
      </c>
      <c r="D1004" s="2" t="s">
        <v>20</v>
      </c>
      <c r="E1004" s="3">
        <v>98683</v>
      </c>
      <c r="F1004" s="4" t="s">
        <v>130</v>
      </c>
      <c r="G1004" s="2" t="s">
        <v>1177</v>
      </c>
      <c r="H1004" s="2" t="s">
        <v>1628</v>
      </c>
      <c r="I1004" s="2" t="s">
        <v>212</v>
      </c>
      <c r="J1004" s="2" t="s">
        <v>298</v>
      </c>
      <c r="K1004" s="4" t="s">
        <v>27</v>
      </c>
      <c r="L1004" s="4" t="s">
        <v>27</v>
      </c>
      <c r="M1004" s="4" t="s">
        <v>58</v>
      </c>
      <c r="N1004" s="5">
        <v>276412055</v>
      </c>
      <c r="O1004" s="2" t="s">
        <v>1950</v>
      </c>
      <c r="P1004" s="2" t="s">
        <v>60</v>
      </c>
      <c r="Q1004" s="4" t="s">
        <v>1951</v>
      </c>
    </row>
    <row r="1005" spans="1:17" hidden="1" x14ac:dyDescent="0.2">
      <c r="A1005" s="2" t="s">
        <v>1949</v>
      </c>
      <c r="B1005" s="2" t="s">
        <v>33</v>
      </c>
      <c r="C1005" s="2" t="s">
        <v>68</v>
      </c>
      <c r="D1005" s="2" t="s">
        <v>20</v>
      </c>
      <c r="E1005" s="3">
        <v>98092</v>
      </c>
      <c r="F1005" s="4" t="s">
        <v>130</v>
      </c>
      <c r="G1005" s="2" t="s">
        <v>1177</v>
      </c>
      <c r="H1005" s="2" t="s">
        <v>1628</v>
      </c>
      <c r="I1005" s="2" t="s">
        <v>212</v>
      </c>
      <c r="J1005" s="2" t="s">
        <v>298</v>
      </c>
      <c r="K1005" s="4" t="s">
        <v>27</v>
      </c>
      <c r="L1005" s="4" t="s">
        <v>27</v>
      </c>
      <c r="M1005" s="4" t="s">
        <v>69</v>
      </c>
      <c r="N1005" s="5">
        <v>276452487</v>
      </c>
      <c r="O1005" s="2" t="s">
        <v>540</v>
      </c>
      <c r="P1005" s="2" t="s">
        <v>37</v>
      </c>
      <c r="Q1005" s="4" t="s">
        <v>1336</v>
      </c>
    </row>
    <row r="1006" spans="1:17" hidden="1" x14ac:dyDescent="0.2">
      <c r="A1006" s="2" t="s">
        <v>1952</v>
      </c>
      <c r="B1006" s="2" t="s">
        <v>1147</v>
      </c>
      <c r="C1006" s="2" t="s">
        <v>1148</v>
      </c>
      <c r="D1006" s="2" t="s">
        <v>20</v>
      </c>
      <c r="E1006" s="3">
        <v>99163</v>
      </c>
      <c r="F1006" s="4" t="s">
        <v>1113</v>
      </c>
      <c r="G1006" s="2" t="s">
        <v>1177</v>
      </c>
      <c r="H1006" s="2" t="s">
        <v>1628</v>
      </c>
      <c r="I1006" s="2" t="s">
        <v>212</v>
      </c>
      <c r="J1006" s="2" t="s">
        <v>298</v>
      </c>
      <c r="K1006" s="4" t="s">
        <v>27</v>
      </c>
      <c r="L1006" s="4" t="s">
        <v>27</v>
      </c>
      <c r="M1006" s="4" t="s">
        <v>1071</v>
      </c>
      <c r="N1006" s="5">
        <v>284689765</v>
      </c>
      <c r="O1006" s="2" t="s">
        <v>1149</v>
      </c>
      <c r="P1006" s="2" t="s">
        <v>244</v>
      </c>
      <c r="Q1006" s="4" t="s">
        <v>1357</v>
      </c>
    </row>
    <row r="1007" spans="1:17" hidden="1" x14ac:dyDescent="0.2">
      <c r="A1007" s="2" t="s">
        <v>1952</v>
      </c>
      <c r="B1007" s="2" t="s">
        <v>33</v>
      </c>
      <c r="C1007" s="2" t="s">
        <v>1056</v>
      </c>
      <c r="D1007" s="2" t="s">
        <v>20</v>
      </c>
      <c r="E1007" s="3">
        <v>98031</v>
      </c>
      <c r="F1007" s="4" t="s">
        <v>1113</v>
      </c>
      <c r="G1007" s="2" t="s">
        <v>1177</v>
      </c>
      <c r="H1007" s="2" t="s">
        <v>1628</v>
      </c>
      <c r="I1007" s="2" t="s">
        <v>212</v>
      </c>
      <c r="J1007" s="2" t="s">
        <v>298</v>
      </c>
      <c r="K1007" s="4" t="s">
        <v>27</v>
      </c>
      <c r="L1007" s="4" t="s">
        <v>27</v>
      </c>
      <c r="M1007" s="4" t="s">
        <v>69</v>
      </c>
      <c r="N1007" s="5">
        <v>284145116</v>
      </c>
      <c r="O1007" s="2" t="s">
        <v>1057</v>
      </c>
      <c r="P1007" s="2" t="s">
        <v>37</v>
      </c>
      <c r="Q1007" s="4" t="s">
        <v>1953</v>
      </c>
    </row>
    <row r="1008" spans="1:17" hidden="1" x14ac:dyDescent="0.2">
      <c r="A1008" s="2" t="s">
        <v>1952</v>
      </c>
      <c r="B1008" s="2" t="s">
        <v>33</v>
      </c>
      <c r="C1008" s="2" t="s">
        <v>318</v>
      </c>
      <c r="D1008" s="2" t="s">
        <v>20</v>
      </c>
      <c r="E1008" s="3">
        <v>98168</v>
      </c>
      <c r="F1008" s="4" t="s">
        <v>1113</v>
      </c>
      <c r="G1008" s="2" t="s">
        <v>1177</v>
      </c>
      <c r="H1008" s="2" t="s">
        <v>1628</v>
      </c>
      <c r="I1008" s="2" t="s">
        <v>212</v>
      </c>
      <c r="J1008" s="2" t="s">
        <v>298</v>
      </c>
      <c r="K1008" s="4" t="s">
        <v>27</v>
      </c>
      <c r="L1008" s="4" t="s">
        <v>27</v>
      </c>
      <c r="M1008" s="4" t="s">
        <v>909</v>
      </c>
      <c r="N1008" s="5">
        <v>286157987</v>
      </c>
      <c r="O1008" s="2" t="s">
        <v>397</v>
      </c>
      <c r="P1008" s="2" t="s">
        <v>86</v>
      </c>
      <c r="Q1008" s="4" t="s">
        <v>1954</v>
      </c>
    </row>
    <row r="1009" spans="1:17" hidden="1" x14ac:dyDescent="0.2">
      <c r="A1009" s="2" t="s">
        <v>1955</v>
      </c>
      <c r="B1009" s="2" t="s">
        <v>55</v>
      </c>
      <c r="C1009" s="2" t="s">
        <v>63</v>
      </c>
      <c r="D1009" s="2" t="s">
        <v>20</v>
      </c>
      <c r="E1009" s="3">
        <v>98683</v>
      </c>
      <c r="F1009" s="4" t="s">
        <v>57</v>
      </c>
      <c r="G1009" s="2" t="s">
        <v>1177</v>
      </c>
      <c r="H1009" s="2" t="s">
        <v>1628</v>
      </c>
      <c r="I1009" s="2" t="s">
        <v>212</v>
      </c>
      <c r="J1009" s="2" t="s">
        <v>298</v>
      </c>
      <c r="K1009" s="4" t="s">
        <v>27</v>
      </c>
      <c r="L1009" s="4" t="s">
        <v>27</v>
      </c>
      <c r="M1009" s="4" t="s">
        <v>64</v>
      </c>
      <c r="N1009" s="5">
        <v>223725813</v>
      </c>
      <c r="O1009" s="2" t="s">
        <v>1950</v>
      </c>
      <c r="P1009" s="2" t="s">
        <v>60</v>
      </c>
      <c r="Q1009" s="4" t="s">
        <v>1956</v>
      </c>
    </row>
    <row r="1010" spans="1:17" hidden="1" x14ac:dyDescent="0.2">
      <c r="A1010" s="2" t="s">
        <v>1955</v>
      </c>
      <c r="B1010" s="2" t="s">
        <v>33</v>
      </c>
      <c r="C1010" s="2" t="s">
        <v>146</v>
      </c>
      <c r="D1010" s="2" t="s">
        <v>20</v>
      </c>
      <c r="E1010" s="3">
        <v>98004</v>
      </c>
      <c r="F1010" s="4" t="s">
        <v>57</v>
      </c>
      <c r="G1010" s="2" t="s">
        <v>1177</v>
      </c>
      <c r="H1010" s="2" t="s">
        <v>1628</v>
      </c>
      <c r="I1010" s="2" t="s">
        <v>212</v>
      </c>
      <c r="J1010" s="2" t="s">
        <v>298</v>
      </c>
      <c r="K1010" s="4" t="s">
        <v>27</v>
      </c>
      <c r="L1010" s="4" t="s">
        <v>27</v>
      </c>
      <c r="M1010" s="4" t="s">
        <v>147</v>
      </c>
      <c r="N1010" s="5">
        <v>205423508</v>
      </c>
      <c r="O1010" s="2" t="s">
        <v>148</v>
      </c>
      <c r="P1010" s="2" t="s">
        <v>37</v>
      </c>
      <c r="Q1010" s="4" t="s">
        <v>195</v>
      </c>
    </row>
    <row r="1011" spans="1:17" hidden="1" x14ac:dyDescent="0.2">
      <c r="A1011" s="2" t="s">
        <v>1957</v>
      </c>
      <c r="B1011" s="2" t="s">
        <v>40</v>
      </c>
      <c r="C1011" s="2" t="s">
        <v>40</v>
      </c>
      <c r="D1011" s="2" t="s">
        <v>20</v>
      </c>
      <c r="E1011" s="3">
        <v>98290</v>
      </c>
      <c r="F1011" s="4" t="s">
        <v>21</v>
      </c>
      <c r="G1011" s="2" t="s">
        <v>1177</v>
      </c>
      <c r="H1011" s="2" t="s">
        <v>1628</v>
      </c>
      <c r="I1011" s="2" t="s">
        <v>212</v>
      </c>
      <c r="J1011" s="2" t="s">
        <v>298</v>
      </c>
      <c r="K1011" s="4" t="s">
        <v>27</v>
      </c>
      <c r="L1011" s="4" t="s">
        <v>27</v>
      </c>
      <c r="M1011" s="4" t="s">
        <v>116</v>
      </c>
      <c r="N1011" s="5">
        <v>261176093</v>
      </c>
      <c r="O1011" s="2" t="s">
        <v>117</v>
      </c>
      <c r="P1011" s="2" t="s">
        <v>30</v>
      </c>
      <c r="Q1011" s="4" t="s">
        <v>1958</v>
      </c>
    </row>
    <row r="1012" spans="1:17" hidden="1" x14ac:dyDescent="0.2">
      <c r="A1012" s="2" t="s">
        <v>1957</v>
      </c>
      <c r="B1012" s="2" t="s">
        <v>33</v>
      </c>
      <c r="C1012" s="2" t="s">
        <v>708</v>
      </c>
      <c r="D1012" s="2" t="s">
        <v>20</v>
      </c>
      <c r="E1012" s="3">
        <v>98038</v>
      </c>
      <c r="F1012" s="4" t="s">
        <v>21</v>
      </c>
      <c r="G1012" s="2" t="s">
        <v>1177</v>
      </c>
      <c r="H1012" s="2" t="s">
        <v>1628</v>
      </c>
      <c r="I1012" s="2" t="s">
        <v>212</v>
      </c>
      <c r="J1012" s="2" t="s">
        <v>298</v>
      </c>
      <c r="K1012" s="4" t="s">
        <v>27</v>
      </c>
      <c r="L1012" s="4" t="s">
        <v>27</v>
      </c>
      <c r="M1012" s="4" t="s">
        <v>35</v>
      </c>
      <c r="N1012" s="5">
        <v>221431948</v>
      </c>
      <c r="O1012" s="2" t="s">
        <v>709</v>
      </c>
      <c r="P1012" s="2" t="s">
        <v>37</v>
      </c>
      <c r="Q1012" s="4" t="s">
        <v>1959</v>
      </c>
    </row>
    <row r="1013" spans="1:17" hidden="1" x14ac:dyDescent="0.2">
      <c r="A1013" s="2" t="s">
        <v>1957</v>
      </c>
      <c r="B1013" s="2" t="s">
        <v>33</v>
      </c>
      <c r="C1013" s="2" t="s">
        <v>146</v>
      </c>
      <c r="D1013" s="2" t="s">
        <v>20</v>
      </c>
      <c r="E1013" s="3">
        <v>98004</v>
      </c>
      <c r="F1013" s="4" t="s">
        <v>21</v>
      </c>
      <c r="G1013" s="2" t="s">
        <v>1177</v>
      </c>
      <c r="H1013" s="2" t="s">
        <v>1628</v>
      </c>
      <c r="I1013" s="2" t="s">
        <v>212</v>
      </c>
      <c r="J1013" s="2" t="s">
        <v>298</v>
      </c>
      <c r="K1013" s="4" t="s">
        <v>27</v>
      </c>
      <c r="L1013" s="4" t="s">
        <v>27</v>
      </c>
      <c r="M1013" s="4" t="s">
        <v>403</v>
      </c>
      <c r="N1013" s="5">
        <v>240511575</v>
      </c>
      <c r="O1013" s="2" t="s">
        <v>148</v>
      </c>
      <c r="P1013" s="2" t="s">
        <v>37</v>
      </c>
      <c r="Q1013" s="4" t="s">
        <v>1960</v>
      </c>
    </row>
    <row r="1014" spans="1:17" hidden="1" x14ac:dyDescent="0.2">
      <c r="A1014" s="2" t="s">
        <v>1957</v>
      </c>
      <c r="B1014" s="2" t="s">
        <v>40</v>
      </c>
      <c r="C1014" s="2" t="s">
        <v>272</v>
      </c>
      <c r="D1014" s="2" t="s">
        <v>20</v>
      </c>
      <c r="E1014" s="3">
        <v>98270</v>
      </c>
      <c r="F1014" s="4" t="s">
        <v>21</v>
      </c>
      <c r="G1014" s="2" t="s">
        <v>1177</v>
      </c>
      <c r="H1014" s="2" t="s">
        <v>1628</v>
      </c>
      <c r="I1014" s="2" t="s">
        <v>212</v>
      </c>
      <c r="J1014" s="2" t="s">
        <v>298</v>
      </c>
      <c r="K1014" s="4" t="s">
        <v>27</v>
      </c>
      <c r="L1014" s="4" t="s">
        <v>27</v>
      </c>
      <c r="M1014" s="4" t="s">
        <v>116</v>
      </c>
      <c r="N1014" s="5">
        <v>244285107</v>
      </c>
      <c r="O1014" s="2" t="s">
        <v>275</v>
      </c>
      <c r="P1014" s="2" t="s">
        <v>30</v>
      </c>
      <c r="Q1014" s="4" t="s">
        <v>1961</v>
      </c>
    </row>
    <row r="1015" spans="1:17" hidden="1" x14ac:dyDescent="0.2">
      <c r="A1015" s="2" t="s">
        <v>1957</v>
      </c>
      <c r="B1015" s="2" t="s">
        <v>33</v>
      </c>
      <c r="C1015" s="2" t="s">
        <v>83</v>
      </c>
      <c r="D1015" s="2" t="s">
        <v>20</v>
      </c>
      <c r="E1015" s="3">
        <v>98121</v>
      </c>
      <c r="F1015" s="4" t="s">
        <v>21</v>
      </c>
      <c r="G1015" s="2" t="s">
        <v>1177</v>
      </c>
      <c r="H1015" s="2" t="s">
        <v>1628</v>
      </c>
      <c r="I1015" s="2" t="s">
        <v>212</v>
      </c>
      <c r="J1015" s="2" t="s">
        <v>298</v>
      </c>
      <c r="K1015" s="4" t="s">
        <v>27</v>
      </c>
      <c r="L1015" s="4" t="s">
        <v>27</v>
      </c>
      <c r="M1015" s="4" t="s">
        <v>84</v>
      </c>
      <c r="N1015" s="5">
        <v>240301204</v>
      </c>
      <c r="O1015" s="2" t="s">
        <v>238</v>
      </c>
      <c r="P1015" s="2" t="s">
        <v>86</v>
      </c>
      <c r="Q1015" s="4" t="s">
        <v>1351</v>
      </c>
    </row>
    <row r="1016" spans="1:17" hidden="1" x14ac:dyDescent="0.2">
      <c r="A1016" s="2" t="s">
        <v>1962</v>
      </c>
      <c r="B1016" s="2" t="s">
        <v>33</v>
      </c>
      <c r="C1016" s="2" t="s">
        <v>83</v>
      </c>
      <c r="D1016" s="2" t="s">
        <v>20</v>
      </c>
      <c r="E1016" s="3">
        <v>98119</v>
      </c>
      <c r="F1016" s="4" t="s">
        <v>121</v>
      </c>
      <c r="G1016" s="2" t="s">
        <v>1177</v>
      </c>
      <c r="H1016" s="2" t="s">
        <v>1628</v>
      </c>
      <c r="I1016" s="2" t="s">
        <v>212</v>
      </c>
      <c r="J1016" s="2" t="s">
        <v>298</v>
      </c>
      <c r="K1016" s="4" t="s">
        <v>27</v>
      </c>
      <c r="L1016" s="4" t="s">
        <v>27</v>
      </c>
      <c r="M1016" s="4" t="s">
        <v>84</v>
      </c>
      <c r="N1016" s="5">
        <v>272598406</v>
      </c>
      <c r="O1016" s="2" t="s">
        <v>650</v>
      </c>
      <c r="P1016" s="2" t="s">
        <v>86</v>
      </c>
      <c r="Q1016" s="4" t="s">
        <v>1818</v>
      </c>
    </row>
    <row r="1017" spans="1:17" hidden="1" x14ac:dyDescent="0.2">
      <c r="A1017" s="2" t="s">
        <v>1963</v>
      </c>
      <c r="B1017" s="2" t="s">
        <v>40</v>
      </c>
      <c r="C1017" s="2" t="s">
        <v>784</v>
      </c>
      <c r="D1017" s="2" t="s">
        <v>20</v>
      </c>
      <c r="E1017" s="3">
        <v>98275</v>
      </c>
      <c r="F1017" s="4" t="s">
        <v>130</v>
      </c>
      <c r="G1017" s="2" t="s">
        <v>1177</v>
      </c>
      <c r="H1017" s="2" t="s">
        <v>1628</v>
      </c>
      <c r="I1017" s="2" t="s">
        <v>212</v>
      </c>
      <c r="J1017" s="2" t="s">
        <v>298</v>
      </c>
      <c r="K1017" s="4" t="s">
        <v>27</v>
      </c>
      <c r="L1017" s="4" t="s">
        <v>27</v>
      </c>
      <c r="M1017" s="4" t="s">
        <v>26</v>
      </c>
      <c r="N1017" s="5">
        <v>276062328</v>
      </c>
      <c r="O1017" s="2" t="s">
        <v>785</v>
      </c>
      <c r="P1017" s="2" t="s">
        <v>30</v>
      </c>
      <c r="Q1017" s="4" t="s">
        <v>1130</v>
      </c>
    </row>
    <row r="1018" spans="1:17" hidden="1" x14ac:dyDescent="0.2">
      <c r="A1018" s="2" t="s">
        <v>1963</v>
      </c>
      <c r="B1018" s="2" t="s">
        <v>110</v>
      </c>
      <c r="C1018" s="2" t="s">
        <v>634</v>
      </c>
      <c r="D1018" s="2" t="s">
        <v>20</v>
      </c>
      <c r="E1018" s="3">
        <v>98335</v>
      </c>
      <c r="F1018" s="4" t="s">
        <v>130</v>
      </c>
      <c r="G1018" s="2" t="s">
        <v>1177</v>
      </c>
      <c r="H1018" s="2" t="s">
        <v>1628</v>
      </c>
      <c r="I1018" s="2" t="s">
        <v>212</v>
      </c>
      <c r="J1018" s="2" t="s">
        <v>298</v>
      </c>
      <c r="K1018" s="4" t="s">
        <v>27</v>
      </c>
      <c r="L1018" s="4" t="s">
        <v>27</v>
      </c>
      <c r="M1018" s="4" t="s">
        <v>101</v>
      </c>
      <c r="N1018" s="5">
        <v>275746320</v>
      </c>
      <c r="O1018" s="2" t="s">
        <v>1087</v>
      </c>
      <c r="P1018" s="2" t="s">
        <v>310</v>
      </c>
      <c r="Q1018" s="4" t="s">
        <v>1088</v>
      </c>
    </row>
    <row r="1019" spans="1:17" hidden="1" x14ac:dyDescent="0.2">
      <c r="A1019" s="2" t="s">
        <v>1964</v>
      </c>
      <c r="B1019" s="2" t="s">
        <v>572</v>
      </c>
      <c r="C1019" s="2" t="s">
        <v>573</v>
      </c>
      <c r="D1019" s="2" t="s">
        <v>20</v>
      </c>
      <c r="E1019" s="3">
        <v>98672</v>
      </c>
      <c r="F1019" s="4" t="s">
        <v>1113</v>
      </c>
      <c r="G1019" s="2" t="s">
        <v>1177</v>
      </c>
      <c r="H1019" s="2" t="s">
        <v>1628</v>
      </c>
      <c r="I1019" s="2" t="s">
        <v>212</v>
      </c>
      <c r="J1019" s="2" t="s">
        <v>298</v>
      </c>
      <c r="K1019" s="4" t="s">
        <v>27</v>
      </c>
      <c r="L1019" s="4" t="s">
        <v>27</v>
      </c>
      <c r="M1019" s="4" t="s">
        <v>323</v>
      </c>
      <c r="N1019" s="5">
        <v>284520799</v>
      </c>
      <c r="O1019" s="2" t="s">
        <v>575</v>
      </c>
      <c r="P1019" s="2" t="s">
        <v>576</v>
      </c>
      <c r="Q1019" s="4" t="s">
        <v>577</v>
      </c>
    </row>
    <row r="1020" spans="1:17" hidden="1" x14ac:dyDescent="0.2">
      <c r="A1020" s="2" t="s">
        <v>1965</v>
      </c>
      <c r="B1020" s="2" t="s">
        <v>33</v>
      </c>
      <c r="C1020" s="2" t="s">
        <v>83</v>
      </c>
      <c r="D1020" s="2" t="s">
        <v>20</v>
      </c>
      <c r="E1020" s="3">
        <v>98144</v>
      </c>
      <c r="F1020" s="4" t="s">
        <v>57</v>
      </c>
      <c r="G1020" s="2" t="s">
        <v>1177</v>
      </c>
      <c r="H1020" s="2" t="s">
        <v>1628</v>
      </c>
      <c r="I1020" s="2" t="s">
        <v>212</v>
      </c>
      <c r="J1020" s="2" t="s">
        <v>298</v>
      </c>
      <c r="K1020" s="4" t="s">
        <v>27</v>
      </c>
      <c r="L1020" s="4" t="s">
        <v>27</v>
      </c>
      <c r="M1020" s="4" t="s">
        <v>284</v>
      </c>
      <c r="N1020" s="5">
        <v>202810555</v>
      </c>
      <c r="O1020" s="2" t="s">
        <v>867</v>
      </c>
      <c r="P1020" s="2" t="s">
        <v>86</v>
      </c>
      <c r="Q1020" s="4" t="s">
        <v>868</v>
      </c>
    </row>
    <row r="1021" spans="1:17" hidden="1" x14ac:dyDescent="0.2">
      <c r="A1021" s="2" t="s">
        <v>1965</v>
      </c>
      <c r="B1021" s="2" t="s">
        <v>33</v>
      </c>
      <c r="C1021" s="2" t="s">
        <v>139</v>
      </c>
      <c r="D1021" s="2" t="s">
        <v>20</v>
      </c>
      <c r="E1021" s="3">
        <v>98059</v>
      </c>
      <c r="F1021" s="4" t="s">
        <v>57</v>
      </c>
      <c r="G1021" s="2" t="s">
        <v>1177</v>
      </c>
      <c r="H1021" s="2" t="s">
        <v>1628</v>
      </c>
      <c r="I1021" s="2" t="s">
        <v>212</v>
      </c>
      <c r="J1021" s="2" t="s">
        <v>298</v>
      </c>
      <c r="K1021" s="4" t="s">
        <v>27</v>
      </c>
      <c r="L1021" s="4" t="s">
        <v>27</v>
      </c>
      <c r="M1021" s="4" t="s">
        <v>140</v>
      </c>
      <c r="N1021" s="5">
        <v>190117847</v>
      </c>
      <c r="O1021" s="2" t="s">
        <v>587</v>
      </c>
      <c r="P1021" s="2" t="s">
        <v>37</v>
      </c>
      <c r="Q1021" s="4" t="s">
        <v>1711</v>
      </c>
    </row>
    <row r="1022" spans="1:17" hidden="1" x14ac:dyDescent="0.2">
      <c r="A1022" s="2" t="s">
        <v>1965</v>
      </c>
      <c r="B1022" s="2" t="s">
        <v>33</v>
      </c>
      <c r="C1022" s="2" t="s">
        <v>169</v>
      </c>
      <c r="D1022" s="2" t="s">
        <v>20</v>
      </c>
      <c r="E1022" s="3">
        <v>98033</v>
      </c>
      <c r="F1022" s="4" t="s">
        <v>57</v>
      </c>
      <c r="G1022" s="2" t="s">
        <v>1177</v>
      </c>
      <c r="H1022" s="2" t="s">
        <v>1628</v>
      </c>
      <c r="I1022" s="2" t="s">
        <v>212</v>
      </c>
      <c r="J1022" s="2" t="s">
        <v>298</v>
      </c>
      <c r="K1022" s="4" t="s">
        <v>27</v>
      </c>
      <c r="L1022" s="4" t="s">
        <v>27</v>
      </c>
      <c r="M1022" s="4" t="s">
        <v>198</v>
      </c>
      <c r="N1022" s="5">
        <v>220436534</v>
      </c>
      <c r="O1022" s="2" t="s">
        <v>204</v>
      </c>
      <c r="P1022" s="2" t="s">
        <v>37</v>
      </c>
      <c r="Q1022" s="4" t="s">
        <v>1966</v>
      </c>
    </row>
    <row r="1023" spans="1:17" hidden="1" x14ac:dyDescent="0.2">
      <c r="A1023" s="2" t="s">
        <v>1967</v>
      </c>
      <c r="B1023" s="2" t="s">
        <v>33</v>
      </c>
      <c r="C1023" s="2" t="s">
        <v>169</v>
      </c>
      <c r="D1023" s="2" t="s">
        <v>20</v>
      </c>
      <c r="E1023" s="3">
        <v>98033</v>
      </c>
      <c r="F1023" s="4" t="s">
        <v>21</v>
      </c>
      <c r="G1023" s="2" t="s">
        <v>1177</v>
      </c>
      <c r="H1023" s="2" t="s">
        <v>1628</v>
      </c>
      <c r="I1023" s="2" t="s">
        <v>212</v>
      </c>
      <c r="J1023" s="2" t="s">
        <v>298</v>
      </c>
      <c r="K1023" s="4" t="s">
        <v>27</v>
      </c>
      <c r="L1023" s="4" t="s">
        <v>27</v>
      </c>
      <c r="M1023" s="4" t="s">
        <v>147</v>
      </c>
      <c r="N1023" s="5">
        <v>227221011</v>
      </c>
      <c r="O1023" s="2" t="s">
        <v>204</v>
      </c>
      <c r="P1023" s="2" t="s">
        <v>37</v>
      </c>
      <c r="Q1023" s="4" t="s">
        <v>1682</v>
      </c>
    </row>
    <row r="1024" spans="1:17" hidden="1" x14ac:dyDescent="0.2">
      <c r="A1024" s="2" t="s">
        <v>1967</v>
      </c>
      <c r="B1024" s="2" t="s">
        <v>55</v>
      </c>
      <c r="C1024" s="2" t="s">
        <v>282</v>
      </c>
      <c r="D1024" s="2" t="s">
        <v>20</v>
      </c>
      <c r="E1024" s="3">
        <v>98671</v>
      </c>
      <c r="F1024" s="4" t="s">
        <v>21</v>
      </c>
      <c r="G1024" s="2" t="s">
        <v>1177</v>
      </c>
      <c r="H1024" s="2" t="s">
        <v>1628</v>
      </c>
      <c r="I1024" s="2" t="s">
        <v>212</v>
      </c>
      <c r="J1024" s="2" t="s">
        <v>298</v>
      </c>
      <c r="K1024" s="4" t="s">
        <v>27</v>
      </c>
      <c r="L1024" s="4" t="s">
        <v>27</v>
      </c>
      <c r="M1024" s="4" t="s">
        <v>58</v>
      </c>
      <c r="N1024" s="5">
        <v>262653051</v>
      </c>
      <c r="O1024" s="2" t="s">
        <v>285</v>
      </c>
      <c r="P1024" s="2" t="s">
        <v>60</v>
      </c>
      <c r="Q1024" s="4" t="s">
        <v>1127</v>
      </c>
    </row>
    <row r="1025" spans="1:17" hidden="1" x14ac:dyDescent="0.2">
      <c r="A1025" s="2" t="s">
        <v>1967</v>
      </c>
      <c r="B1025" s="2" t="s">
        <v>33</v>
      </c>
      <c r="C1025" s="2" t="s">
        <v>186</v>
      </c>
      <c r="D1025" s="2" t="s">
        <v>20</v>
      </c>
      <c r="E1025" s="3">
        <v>98023</v>
      </c>
      <c r="F1025" s="4" t="s">
        <v>21</v>
      </c>
      <c r="G1025" s="2" t="s">
        <v>1177</v>
      </c>
      <c r="H1025" s="2" t="s">
        <v>1628</v>
      </c>
      <c r="I1025" s="2" t="s">
        <v>212</v>
      </c>
      <c r="J1025" s="2" t="s">
        <v>298</v>
      </c>
      <c r="K1025" s="4" t="s">
        <v>27</v>
      </c>
      <c r="L1025" s="4" t="s">
        <v>27</v>
      </c>
      <c r="M1025" s="4" t="s">
        <v>187</v>
      </c>
      <c r="N1025" s="5">
        <v>245629744</v>
      </c>
      <c r="O1025" s="2" t="s">
        <v>188</v>
      </c>
      <c r="P1025" s="2" t="s">
        <v>37</v>
      </c>
      <c r="Q1025" s="4" t="s">
        <v>1907</v>
      </c>
    </row>
    <row r="1026" spans="1:17" hidden="1" x14ac:dyDescent="0.2">
      <c r="A1026" s="2" t="s">
        <v>1967</v>
      </c>
      <c r="B1026" s="2" t="s">
        <v>688</v>
      </c>
      <c r="C1026" s="2" t="s">
        <v>1968</v>
      </c>
      <c r="D1026" s="2" t="s">
        <v>20</v>
      </c>
      <c r="E1026" s="3">
        <v>98244</v>
      </c>
      <c r="F1026" s="4" t="s">
        <v>21</v>
      </c>
      <c r="G1026" s="2" t="s">
        <v>1177</v>
      </c>
      <c r="H1026" s="2" t="s">
        <v>1628</v>
      </c>
      <c r="I1026" s="2" t="s">
        <v>212</v>
      </c>
      <c r="J1026" s="2" t="s">
        <v>298</v>
      </c>
      <c r="K1026" s="4" t="s">
        <v>27</v>
      </c>
      <c r="L1026" s="4" t="s">
        <v>27</v>
      </c>
      <c r="M1026" s="4" t="s">
        <v>690</v>
      </c>
      <c r="N1026" s="5">
        <v>238916562</v>
      </c>
      <c r="O1026" s="2" t="s">
        <v>1969</v>
      </c>
      <c r="P1026" s="2" t="s">
        <v>692</v>
      </c>
      <c r="Q1026" s="4" t="s">
        <v>1970</v>
      </c>
    </row>
    <row r="1027" spans="1:17" hidden="1" x14ac:dyDescent="0.2">
      <c r="A1027" s="2" t="s">
        <v>1967</v>
      </c>
      <c r="B1027" s="2" t="s">
        <v>33</v>
      </c>
      <c r="C1027" s="2" t="s">
        <v>318</v>
      </c>
      <c r="D1027" s="2" t="s">
        <v>20</v>
      </c>
      <c r="E1027" s="3">
        <v>98166</v>
      </c>
      <c r="F1027" s="4" t="s">
        <v>21</v>
      </c>
      <c r="G1027" s="2" t="s">
        <v>1177</v>
      </c>
      <c r="H1027" s="2" t="s">
        <v>1628</v>
      </c>
      <c r="I1027" s="2" t="s">
        <v>212</v>
      </c>
      <c r="J1027" s="2" t="s">
        <v>298</v>
      </c>
      <c r="K1027" s="4" t="s">
        <v>27</v>
      </c>
      <c r="L1027" s="4" t="s">
        <v>27</v>
      </c>
      <c r="M1027" s="4" t="s">
        <v>319</v>
      </c>
      <c r="N1027" s="5">
        <v>262644238</v>
      </c>
      <c r="O1027" s="2" t="s">
        <v>320</v>
      </c>
      <c r="P1027" s="2" t="s">
        <v>37</v>
      </c>
      <c r="Q1027" s="4" t="s">
        <v>1971</v>
      </c>
    </row>
    <row r="1028" spans="1:17" hidden="1" x14ac:dyDescent="0.2">
      <c r="A1028" s="2" t="s">
        <v>1967</v>
      </c>
      <c r="B1028" s="2" t="s">
        <v>40</v>
      </c>
      <c r="C1028" s="2" t="s">
        <v>272</v>
      </c>
      <c r="D1028" s="2" t="s">
        <v>20</v>
      </c>
      <c r="E1028" s="3">
        <v>98271</v>
      </c>
      <c r="F1028" s="4" t="s">
        <v>21</v>
      </c>
      <c r="G1028" s="2" t="s">
        <v>1177</v>
      </c>
      <c r="H1028" s="2" t="s">
        <v>1628</v>
      </c>
      <c r="I1028" s="2" t="s">
        <v>212</v>
      </c>
      <c r="J1028" s="2" t="s">
        <v>298</v>
      </c>
      <c r="K1028" s="4" t="s">
        <v>27</v>
      </c>
      <c r="L1028" s="4" t="s">
        <v>27</v>
      </c>
      <c r="M1028" s="4" t="s">
        <v>274</v>
      </c>
      <c r="N1028" s="5">
        <v>221165724</v>
      </c>
      <c r="O1028" s="2" t="s">
        <v>1506</v>
      </c>
      <c r="P1028" s="2" t="s">
        <v>30</v>
      </c>
      <c r="Q1028" s="4" t="s">
        <v>1507</v>
      </c>
    </row>
    <row r="1029" spans="1:17" hidden="1" x14ac:dyDescent="0.2">
      <c r="A1029" s="2" t="s">
        <v>1967</v>
      </c>
      <c r="B1029" s="2" t="s">
        <v>40</v>
      </c>
      <c r="C1029" s="2" t="s">
        <v>383</v>
      </c>
      <c r="D1029" s="2" t="s">
        <v>20</v>
      </c>
      <c r="E1029" s="3">
        <v>98208</v>
      </c>
      <c r="F1029" s="4" t="s">
        <v>21</v>
      </c>
      <c r="G1029" s="2" t="s">
        <v>1177</v>
      </c>
      <c r="H1029" s="2" t="s">
        <v>1628</v>
      </c>
      <c r="I1029" s="2" t="s">
        <v>212</v>
      </c>
      <c r="J1029" s="2" t="s">
        <v>298</v>
      </c>
      <c r="K1029" s="4" t="s">
        <v>27</v>
      </c>
      <c r="L1029" s="4" t="s">
        <v>27</v>
      </c>
      <c r="M1029" s="4" t="s">
        <v>116</v>
      </c>
      <c r="N1029" s="5">
        <v>261123089</v>
      </c>
      <c r="O1029" s="2" t="s">
        <v>384</v>
      </c>
      <c r="P1029" s="2" t="s">
        <v>30</v>
      </c>
      <c r="Q1029" s="4" t="s">
        <v>1182</v>
      </c>
    </row>
    <row r="1030" spans="1:17" hidden="1" x14ac:dyDescent="0.2">
      <c r="A1030" s="2" t="s">
        <v>1972</v>
      </c>
      <c r="B1030" s="2" t="s">
        <v>33</v>
      </c>
      <c r="C1030" s="2" t="s">
        <v>83</v>
      </c>
      <c r="D1030" s="2" t="s">
        <v>20</v>
      </c>
      <c r="E1030" s="3">
        <v>98118</v>
      </c>
      <c r="F1030" s="4" t="s">
        <v>121</v>
      </c>
      <c r="G1030" s="2" t="s">
        <v>1177</v>
      </c>
      <c r="H1030" s="2" t="s">
        <v>1628</v>
      </c>
      <c r="I1030" s="2" t="s">
        <v>212</v>
      </c>
      <c r="J1030" s="2" t="s">
        <v>298</v>
      </c>
      <c r="K1030" s="4" t="s">
        <v>27</v>
      </c>
      <c r="L1030" s="4" t="s">
        <v>27</v>
      </c>
      <c r="M1030" s="4" t="s">
        <v>284</v>
      </c>
      <c r="N1030" s="5">
        <v>265771306</v>
      </c>
      <c r="O1030" s="2" t="s">
        <v>523</v>
      </c>
      <c r="P1030" s="2" t="s">
        <v>86</v>
      </c>
      <c r="Q1030" s="4" t="s">
        <v>524</v>
      </c>
    </row>
    <row r="1031" spans="1:17" hidden="1" x14ac:dyDescent="0.2">
      <c r="A1031" s="2" t="s">
        <v>1972</v>
      </c>
      <c r="B1031" s="2" t="s">
        <v>33</v>
      </c>
      <c r="C1031" s="2" t="s">
        <v>146</v>
      </c>
      <c r="D1031" s="2" t="s">
        <v>20</v>
      </c>
      <c r="E1031" s="3">
        <v>98008</v>
      </c>
      <c r="F1031" s="4" t="s">
        <v>121</v>
      </c>
      <c r="G1031" s="2" t="s">
        <v>1177</v>
      </c>
      <c r="H1031" s="2" t="s">
        <v>1628</v>
      </c>
      <c r="I1031" s="2" t="s">
        <v>212</v>
      </c>
      <c r="J1031" s="2" t="s">
        <v>298</v>
      </c>
      <c r="K1031" s="4" t="s">
        <v>27</v>
      </c>
      <c r="L1031" s="4" t="s">
        <v>27</v>
      </c>
      <c r="M1031" s="4" t="s">
        <v>147</v>
      </c>
      <c r="N1031" s="5">
        <v>269089649</v>
      </c>
      <c r="O1031" s="2" t="s">
        <v>537</v>
      </c>
      <c r="P1031" s="2" t="s">
        <v>37</v>
      </c>
      <c r="Q1031" s="4" t="s">
        <v>1786</v>
      </c>
    </row>
    <row r="1032" spans="1:17" hidden="1" x14ac:dyDescent="0.2">
      <c r="A1032" s="2" t="s">
        <v>1973</v>
      </c>
      <c r="B1032" s="2" t="s">
        <v>362</v>
      </c>
      <c r="C1032" s="2" t="s">
        <v>363</v>
      </c>
      <c r="D1032" s="2" t="s">
        <v>20</v>
      </c>
      <c r="E1032" s="3">
        <v>98584</v>
      </c>
      <c r="F1032" s="4" t="s">
        <v>130</v>
      </c>
      <c r="G1032" s="2" t="s">
        <v>1177</v>
      </c>
      <c r="H1032" s="2" t="s">
        <v>1628</v>
      </c>
      <c r="I1032" s="2" t="s">
        <v>212</v>
      </c>
      <c r="J1032" s="2" t="s">
        <v>298</v>
      </c>
      <c r="K1032" s="4" t="s">
        <v>27</v>
      </c>
      <c r="L1032" s="4" t="s">
        <v>27</v>
      </c>
      <c r="M1032" s="4" t="s">
        <v>255</v>
      </c>
      <c r="N1032" s="5">
        <v>276171199</v>
      </c>
      <c r="O1032" s="2" t="s">
        <v>364</v>
      </c>
      <c r="P1032" s="2" t="s">
        <v>365</v>
      </c>
      <c r="Q1032" s="4" t="s">
        <v>1974</v>
      </c>
    </row>
    <row r="1033" spans="1:17" hidden="1" x14ac:dyDescent="0.2">
      <c r="A1033" s="2" t="s">
        <v>1975</v>
      </c>
      <c r="B1033" s="2" t="s">
        <v>40</v>
      </c>
      <c r="C1033" s="2" t="s">
        <v>89</v>
      </c>
      <c r="D1033" s="2" t="s">
        <v>20</v>
      </c>
      <c r="E1033" s="3">
        <v>98012</v>
      </c>
      <c r="F1033" s="4" t="s">
        <v>1113</v>
      </c>
      <c r="G1033" s="2" t="s">
        <v>1177</v>
      </c>
      <c r="H1033" s="2" t="s">
        <v>1628</v>
      </c>
      <c r="I1033" s="2" t="s">
        <v>212</v>
      </c>
      <c r="J1033" s="2" t="s">
        <v>298</v>
      </c>
      <c r="K1033" s="4" t="s">
        <v>27</v>
      </c>
      <c r="L1033" s="4" t="s">
        <v>27</v>
      </c>
      <c r="M1033" s="4" t="s">
        <v>170</v>
      </c>
      <c r="N1033" s="5">
        <v>282444249</v>
      </c>
      <c r="O1033" s="2" t="s">
        <v>91</v>
      </c>
      <c r="P1033" s="2" t="s">
        <v>30</v>
      </c>
      <c r="Q1033" s="4" t="s">
        <v>811</v>
      </c>
    </row>
    <row r="1034" spans="1:17" hidden="1" x14ac:dyDescent="0.2">
      <c r="A1034" s="2" t="s">
        <v>1975</v>
      </c>
      <c r="B1034" s="2" t="s">
        <v>33</v>
      </c>
      <c r="C1034" s="2" t="s">
        <v>169</v>
      </c>
      <c r="D1034" s="2" t="s">
        <v>20</v>
      </c>
      <c r="E1034" s="3">
        <v>98033</v>
      </c>
      <c r="F1034" s="4" t="s">
        <v>1113</v>
      </c>
      <c r="G1034" s="2" t="s">
        <v>1177</v>
      </c>
      <c r="H1034" s="2" t="s">
        <v>1628</v>
      </c>
      <c r="I1034" s="2" t="s">
        <v>212</v>
      </c>
      <c r="J1034" s="2" t="s">
        <v>298</v>
      </c>
      <c r="K1034" s="4" t="s">
        <v>27</v>
      </c>
      <c r="L1034" s="4" t="s">
        <v>27</v>
      </c>
      <c r="M1034" s="4" t="s">
        <v>147</v>
      </c>
      <c r="N1034" s="5">
        <v>279311252</v>
      </c>
      <c r="O1034" s="2" t="s">
        <v>204</v>
      </c>
      <c r="P1034" s="2" t="s">
        <v>37</v>
      </c>
      <c r="Q1034" s="4" t="s">
        <v>205</v>
      </c>
    </row>
    <row r="1035" spans="1:17" hidden="1" x14ac:dyDescent="0.2">
      <c r="A1035" s="2" t="s">
        <v>1975</v>
      </c>
      <c r="B1035" s="2" t="s">
        <v>33</v>
      </c>
      <c r="C1035" s="2" t="s">
        <v>169</v>
      </c>
      <c r="D1035" s="2" t="s">
        <v>20</v>
      </c>
      <c r="E1035" s="3">
        <v>98034</v>
      </c>
      <c r="F1035" s="4" t="s">
        <v>1113</v>
      </c>
      <c r="G1035" s="2" t="s">
        <v>1177</v>
      </c>
      <c r="H1035" s="2" t="s">
        <v>1628</v>
      </c>
      <c r="I1035" s="2" t="s">
        <v>212</v>
      </c>
      <c r="J1035" s="2" t="s">
        <v>298</v>
      </c>
      <c r="K1035" s="4" t="s">
        <v>27</v>
      </c>
      <c r="L1035" s="4" t="s">
        <v>27</v>
      </c>
      <c r="M1035" s="4" t="s">
        <v>170</v>
      </c>
      <c r="N1035" s="5">
        <v>284643614</v>
      </c>
      <c r="O1035" s="2" t="s">
        <v>171</v>
      </c>
      <c r="P1035" s="2" t="s">
        <v>37</v>
      </c>
      <c r="Q1035" s="4" t="s">
        <v>172</v>
      </c>
    </row>
    <row r="1036" spans="1:17" hidden="1" x14ac:dyDescent="0.2">
      <c r="A1036" s="2" t="s">
        <v>1976</v>
      </c>
      <c r="B1036" s="2" t="s">
        <v>33</v>
      </c>
      <c r="C1036" s="2" t="s">
        <v>708</v>
      </c>
      <c r="D1036" s="2" t="s">
        <v>20</v>
      </c>
      <c r="E1036" s="3">
        <v>98058</v>
      </c>
      <c r="F1036" s="4" t="s">
        <v>121</v>
      </c>
      <c r="G1036" s="2" t="s">
        <v>1177</v>
      </c>
      <c r="H1036" s="2" t="s">
        <v>1628</v>
      </c>
      <c r="I1036" s="2" t="s">
        <v>212</v>
      </c>
      <c r="J1036" s="2" t="s">
        <v>298</v>
      </c>
      <c r="K1036" s="4" t="s">
        <v>27</v>
      </c>
      <c r="L1036" s="4" t="s">
        <v>27</v>
      </c>
      <c r="M1036" s="4" t="s">
        <v>35</v>
      </c>
      <c r="N1036" s="5">
        <v>267099486</v>
      </c>
      <c r="O1036" s="2" t="s">
        <v>141</v>
      </c>
      <c r="P1036" s="2" t="s">
        <v>37</v>
      </c>
      <c r="Q1036" s="4" t="s">
        <v>1277</v>
      </c>
    </row>
    <row r="1037" spans="1:17" hidden="1" x14ac:dyDescent="0.2">
      <c r="A1037" s="2" t="s">
        <v>1977</v>
      </c>
      <c r="B1037" s="2" t="s">
        <v>33</v>
      </c>
      <c r="C1037" s="2" t="s">
        <v>669</v>
      </c>
      <c r="D1037" s="2" t="s">
        <v>20</v>
      </c>
      <c r="E1037" s="3">
        <v>98052</v>
      </c>
      <c r="F1037" s="4" t="s">
        <v>57</v>
      </c>
      <c r="G1037" s="2" t="s">
        <v>1177</v>
      </c>
      <c r="H1037" s="2" t="s">
        <v>1628</v>
      </c>
      <c r="I1037" s="2" t="s">
        <v>212</v>
      </c>
      <c r="J1037" s="2" t="s">
        <v>298</v>
      </c>
      <c r="K1037" s="4" t="s">
        <v>27</v>
      </c>
      <c r="L1037" s="4" t="s">
        <v>27</v>
      </c>
      <c r="M1037" s="4" t="s">
        <v>147</v>
      </c>
      <c r="N1037" s="5">
        <v>211146491</v>
      </c>
      <c r="O1037" s="2" t="s">
        <v>670</v>
      </c>
      <c r="P1037" s="2" t="s">
        <v>37</v>
      </c>
      <c r="Q1037" s="4" t="s">
        <v>684</v>
      </c>
    </row>
    <row r="1038" spans="1:17" hidden="1" x14ac:dyDescent="0.2">
      <c r="A1038" s="2" t="s">
        <v>1977</v>
      </c>
      <c r="B1038" s="2" t="s">
        <v>33</v>
      </c>
      <c r="C1038" s="2" t="s">
        <v>1056</v>
      </c>
      <c r="D1038" s="2" t="s">
        <v>20</v>
      </c>
      <c r="E1038" s="3">
        <v>98030</v>
      </c>
      <c r="F1038" s="4" t="s">
        <v>57</v>
      </c>
      <c r="G1038" s="2" t="s">
        <v>1177</v>
      </c>
      <c r="H1038" s="2" t="s">
        <v>1628</v>
      </c>
      <c r="I1038" s="2" t="s">
        <v>212</v>
      </c>
      <c r="J1038" s="2" t="s">
        <v>298</v>
      </c>
      <c r="K1038" s="4" t="s">
        <v>27</v>
      </c>
      <c r="L1038" s="4" t="s">
        <v>27</v>
      </c>
      <c r="M1038" s="4" t="s">
        <v>69</v>
      </c>
      <c r="N1038" s="5">
        <v>211622337</v>
      </c>
      <c r="O1038" s="2" t="s">
        <v>1344</v>
      </c>
      <c r="P1038" s="2" t="s">
        <v>37</v>
      </c>
      <c r="Q1038" s="4" t="s">
        <v>1829</v>
      </c>
    </row>
    <row r="1039" spans="1:17" hidden="1" x14ac:dyDescent="0.2">
      <c r="A1039" s="2" t="s">
        <v>1977</v>
      </c>
      <c r="B1039" s="2" t="s">
        <v>40</v>
      </c>
      <c r="C1039" s="2" t="s">
        <v>89</v>
      </c>
      <c r="D1039" s="2" t="s">
        <v>20</v>
      </c>
      <c r="E1039" s="3">
        <v>98021</v>
      </c>
      <c r="F1039" s="4" t="s">
        <v>57</v>
      </c>
      <c r="G1039" s="2" t="s">
        <v>1177</v>
      </c>
      <c r="H1039" s="2" t="s">
        <v>1628</v>
      </c>
      <c r="I1039" s="2" t="s">
        <v>212</v>
      </c>
      <c r="J1039" s="2" t="s">
        <v>298</v>
      </c>
      <c r="K1039" s="4" t="s">
        <v>27</v>
      </c>
      <c r="L1039" s="4" t="s">
        <v>27</v>
      </c>
      <c r="M1039" s="4" t="s">
        <v>170</v>
      </c>
      <c r="N1039" s="5">
        <v>207112055</v>
      </c>
      <c r="O1039" s="2" t="s">
        <v>247</v>
      </c>
      <c r="P1039" s="2" t="s">
        <v>30</v>
      </c>
      <c r="Q1039" s="4" t="s">
        <v>1905</v>
      </c>
    </row>
    <row r="1040" spans="1:17" hidden="1" x14ac:dyDescent="0.2">
      <c r="A1040" s="2" t="s">
        <v>1978</v>
      </c>
      <c r="B1040" s="2" t="s">
        <v>48</v>
      </c>
      <c r="C1040" s="2" t="s">
        <v>48</v>
      </c>
      <c r="D1040" s="2" t="s">
        <v>20</v>
      </c>
      <c r="E1040" s="3">
        <v>98908</v>
      </c>
      <c r="F1040" s="4" t="s">
        <v>21</v>
      </c>
      <c r="G1040" s="2" t="s">
        <v>1177</v>
      </c>
      <c r="H1040" s="2" t="s">
        <v>1628</v>
      </c>
      <c r="I1040" s="2" t="s">
        <v>212</v>
      </c>
      <c r="J1040" s="2" t="s">
        <v>298</v>
      </c>
      <c r="K1040" s="4" t="s">
        <v>27</v>
      </c>
      <c r="L1040" s="4" t="s">
        <v>27</v>
      </c>
      <c r="M1040" s="4" t="s">
        <v>323</v>
      </c>
      <c r="N1040" s="5">
        <v>259780377</v>
      </c>
      <c r="O1040" s="2" t="s">
        <v>596</v>
      </c>
      <c r="P1040" s="2" t="s">
        <v>52</v>
      </c>
      <c r="Q1040" s="4" t="s">
        <v>1979</v>
      </c>
    </row>
    <row r="1041" spans="1:17" hidden="1" x14ac:dyDescent="0.2">
      <c r="A1041" s="2" t="s">
        <v>1978</v>
      </c>
      <c r="B1041" s="2" t="s">
        <v>33</v>
      </c>
      <c r="C1041" s="2" t="s">
        <v>34</v>
      </c>
      <c r="D1041" s="2" t="s">
        <v>20</v>
      </c>
      <c r="E1041" s="3">
        <v>98027</v>
      </c>
      <c r="F1041" s="4" t="s">
        <v>21</v>
      </c>
      <c r="G1041" s="2" t="s">
        <v>1177</v>
      </c>
      <c r="H1041" s="2" t="s">
        <v>1628</v>
      </c>
      <c r="I1041" s="2" t="s">
        <v>212</v>
      </c>
      <c r="J1041" s="2" t="s">
        <v>298</v>
      </c>
      <c r="K1041" s="4" t="s">
        <v>27</v>
      </c>
      <c r="L1041" s="4" t="s">
        <v>27</v>
      </c>
      <c r="M1041" s="4" t="s">
        <v>403</v>
      </c>
      <c r="N1041" s="5">
        <v>241059689</v>
      </c>
      <c r="O1041" s="2" t="s">
        <v>36</v>
      </c>
      <c r="P1041" s="2" t="s">
        <v>37</v>
      </c>
      <c r="Q1041" s="4" t="s">
        <v>1980</v>
      </c>
    </row>
    <row r="1042" spans="1:17" hidden="1" x14ac:dyDescent="0.2">
      <c r="A1042" s="2" t="s">
        <v>1981</v>
      </c>
      <c r="B1042" s="2" t="s">
        <v>33</v>
      </c>
      <c r="C1042" s="2" t="s">
        <v>83</v>
      </c>
      <c r="D1042" s="2" t="s">
        <v>20</v>
      </c>
      <c r="E1042" s="3">
        <v>98115</v>
      </c>
      <c r="F1042" s="4" t="s">
        <v>57</v>
      </c>
      <c r="G1042" s="2" t="s">
        <v>1177</v>
      </c>
      <c r="H1042" s="2" t="s">
        <v>1628</v>
      </c>
      <c r="I1042" s="2" t="s">
        <v>212</v>
      </c>
      <c r="J1042" s="2" t="s">
        <v>298</v>
      </c>
      <c r="K1042" s="4" t="s">
        <v>27</v>
      </c>
      <c r="L1042" s="4" t="s">
        <v>27</v>
      </c>
      <c r="M1042" s="4" t="s">
        <v>278</v>
      </c>
      <c r="N1042" s="5">
        <v>190836012</v>
      </c>
      <c r="O1042" s="2" t="s">
        <v>828</v>
      </c>
      <c r="P1042" s="2" t="s">
        <v>86</v>
      </c>
      <c r="Q1042" s="4" t="s">
        <v>829</v>
      </c>
    </row>
    <row r="1043" spans="1:17" hidden="1" x14ac:dyDescent="0.2">
      <c r="A1043" s="2" t="s">
        <v>1981</v>
      </c>
      <c r="B1043" s="2" t="s">
        <v>688</v>
      </c>
      <c r="C1043" s="2" t="s">
        <v>689</v>
      </c>
      <c r="D1043" s="2" t="s">
        <v>20</v>
      </c>
      <c r="E1043" s="3">
        <v>98229</v>
      </c>
      <c r="F1043" s="4" t="s">
        <v>57</v>
      </c>
      <c r="G1043" s="2" t="s">
        <v>1177</v>
      </c>
      <c r="H1043" s="2" t="s">
        <v>1628</v>
      </c>
      <c r="I1043" s="2" t="s">
        <v>212</v>
      </c>
      <c r="J1043" s="2" t="s">
        <v>298</v>
      </c>
      <c r="K1043" s="4" t="s">
        <v>27</v>
      </c>
      <c r="L1043" s="4" t="s">
        <v>27</v>
      </c>
      <c r="M1043" s="4" t="s">
        <v>409</v>
      </c>
      <c r="N1043" s="5">
        <v>183437075</v>
      </c>
      <c r="O1043" s="2" t="s">
        <v>850</v>
      </c>
      <c r="P1043" s="2" t="s">
        <v>692</v>
      </c>
      <c r="Q1043" s="4" t="s">
        <v>1982</v>
      </c>
    </row>
    <row r="1044" spans="1:17" hidden="1" x14ac:dyDescent="0.2">
      <c r="A1044" s="2" t="s">
        <v>1983</v>
      </c>
      <c r="B1044" s="2" t="s">
        <v>33</v>
      </c>
      <c r="C1044" s="2" t="s">
        <v>83</v>
      </c>
      <c r="D1044" s="2" t="s">
        <v>20</v>
      </c>
      <c r="E1044" s="3">
        <v>98121</v>
      </c>
      <c r="F1044" s="4" t="s">
        <v>57</v>
      </c>
      <c r="G1044" s="2" t="s">
        <v>1177</v>
      </c>
      <c r="H1044" s="2" t="s">
        <v>1628</v>
      </c>
      <c r="I1044" s="2" t="s">
        <v>212</v>
      </c>
      <c r="J1044" s="2" t="s">
        <v>298</v>
      </c>
      <c r="K1044" s="4" t="s">
        <v>27</v>
      </c>
      <c r="L1044" s="4" t="s">
        <v>27</v>
      </c>
      <c r="M1044" s="4" t="s">
        <v>84</v>
      </c>
      <c r="N1044" s="5">
        <v>199493311</v>
      </c>
      <c r="O1044" s="2" t="s">
        <v>238</v>
      </c>
      <c r="P1044" s="2" t="s">
        <v>86</v>
      </c>
      <c r="Q1044" s="4" t="s">
        <v>1351</v>
      </c>
    </row>
    <row r="1045" spans="1:17" hidden="1" x14ac:dyDescent="0.2">
      <c r="A1045" s="2" t="s">
        <v>1983</v>
      </c>
      <c r="B1045" s="2" t="s">
        <v>572</v>
      </c>
      <c r="C1045" s="2" t="s">
        <v>573</v>
      </c>
      <c r="D1045" s="2" t="s">
        <v>20</v>
      </c>
      <c r="E1045" s="3">
        <v>98672</v>
      </c>
      <c r="F1045" s="4" t="s">
        <v>57</v>
      </c>
      <c r="G1045" s="2" t="s">
        <v>1177</v>
      </c>
      <c r="H1045" s="2" t="s">
        <v>1628</v>
      </c>
      <c r="I1045" s="2" t="s">
        <v>212</v>
      </c>
      <c r="J1045" s="2" t="s">
        <v>298</v>
      </c>
      <c r="K1045" s="4" t="s">
        <v>27</v>
      </c>
      <c r="L1045" s="4" t="s">
        <v>27</v>
      </c>
      <c r="M1045" s="4" t="s">
        <v>323</v>
      </c>
      <c r="N1045" s="5">
        <v>276577374</v>
      </c>
      <c r="O1045" s="2" t="s">
        <v>575</v>
      </c>
      <c r="P1045" s="2" t="s">
        <v>576</v>
      </c>
      <c r="Q1045" s="4" t="s">
        <v>577</v>
      </c>
    </row>
    <row r="1046" spans="1:17" hidden="1" x14ac:dyDescent="0.2">
      <c r="A1046" s="2" t="s">
        <v>1984</v>
      </c>
      <c r="B1046" s="2" t="s">
        <v>262</v>
      </c>
      <c r="C1046" s="2" t="s">
        <v>1985</v>
      </c>
      <c r="D1046" s="2" t="s">
        <v>20</v>
      </c>
      <c r="E1046" s="3">
        <v>99115</v>
      </c>
      <c r="F1046" s="4" t="s">
        <v>57</v>
      </c>
      <c r="G1046" s="2" t="s">
        <v>1177</v>
      </c>
      <c r="H1046" s="2" t="s">
        <v>1628</v>
      </c>
      <c r="I1046" s="2" t="s">
        <v>212</v>
      </c>
      <c r="J1046" s="2" t="s">
        <v>298</v>
      </c>
      <c r="K1046" s="4" t="s">
        <v>27</v>
      </c>
      <c r="L1046" s="4" t="s">
        <v>27</v>
      </c>
      <c r="M1046" s="4" t="s">
        <v>177</v>
      </c>
      <c r="N1046" s="5">
        <v>283135534</v>
      </c>
      <c r="O1046" s="2" t="s">
        <v>1986</v>
      </c>
      <c r="P1046" s="2" t="s">
        <v>266</v>
      </c>
      <c r="Q1046" s="4" t="s">
        <v>1987</v>
      </c>
    </row>
    <row r="1047" spans="1:17" hidden="1" x14ac:dyDescent="0.2">
      <c r="A1047" s="2" t="s">
        <v>1988</v>
      </c>
      <c r="B1047" s="2" t="s">
        <v>33</v>
      </c>
      <c r="C1047" s="2" t="s">
        <v>197</v>
      </c>
      <c r="D1047" s="2" t="s">
        <v>20</v>
      </c>
      <c r="E1047" s="3">
        <v>98072</v>
      </c>
      <c r="F1047" s="4" t="s">
        <v>21</v>
      </c>
      <c r="G1047" s="2" t="s">
        <v>1177</v>
      </c>
      <c r="H1047" s="2" t="s">
        <v>1628</v>
      </c>
      <c r="I1047" s="2" t="s">
        <v>212</v>
      </c>
      <c r="J1047" s="2" t="s">
        <v>298</v>
      </c>
      <c r="K1047" s="4" t="s">
        <v>27</v>
      </c>
      <c r="L1047" s="4" t="s">
        <v>27</v>
      </c>
      <c r="M1047" s="4" t="s">
        <v>198</v>
      </c>
      <c r="N1047" s="5">
        <v>259165952</v>
      </c>
      <c r="O1047" s="2" t="s">
        <v>199</v>
      </c>
      <c r="P1047" s="2" t="s">
        <v>37</v>
      </c>
      <c r="Q1047" s="4" t="s">
        <v>1808</v>
      </c>
    </row>
    <row r="1048" spans="1:17" hidden="1" x14ac:dyDescent="0.2">
      <c r="A1048" s="2" t="s">
        <v>1989</v>
      </c>
      <c r="B1048" s="2" t="s">
        <v>33</v>
      </c>
      <c r="C1048" s="2" t="s">
        <v>146</v>
      </c>
      <c r="D1048" s="2" t="s">
        <v>20</v>
      </c>
      <c r="E1048" s="3">
        <v>98005</v>
      </c>
      <c r="F1048" s="4" t="s">
        <v>57</v>
      </c>
      <c r="G1048" s="2" t="s">
        <v>1177</v>
      </c>
      <c r="H1048" s="2" t="s">
        <v>1628</v>
      </c>
      <c r="I1048" s="2" t="s">
        <v>212</v>
      </c>
      <c r="J1048" s="2" t="s">
        <v>298</v>
      </c>
      <c r="K1048" s="4" t="s">
        <v>27</v>
      </c>
      <c r="L1048" s="4" t="s">
        <v>27</v>
      </c>
      <c r="M1048" s="4" t="s">
        <v>147</v>
      </c>
      <c r="N1048" s="5">
        <v>217932445</v>
      </c>
      <c r="O1048" s="2" t="s">
        <v>448</v>
      </c>
      <c r="P1048" s="2" t="s">
        <v>37</v>
      </c>
      <c r="Q1048" s="4" t="s">
        <v>1064</v>
      </c>
    </row>
    <row r="1049" spans="1:17" hidden="1" x14ac:dyDescent="0.2">
      <c r="A1049" s="2" t="s">
        <v>1990</v>
      </c>
      <c r="B1049" s="2" t="s">
        <v>33</v>
      </c>
      <c r="C1049" s="2" t="s">
        <v>451</v>
      </c>
      <c r="D1049" s="2" t="s">
        <v>20</v>
      </c>
      <c r="E1049" s="3">
        <v>98075</v>
      </c>
      <c r="F1049" s="4" t="s">
        <v>21</v>
      </c>
      <c r="G1049" s="2" t="s">
        <v>1177</v>
      </c>
      <c r="H1049" s="2" t="s">
        <v>1628</v>
      </c>
      <c r="I1049" s="2" t="s">
        <v>212</v>
      </c>
      <c r="J1049" s="2" t="s">
        <v>298</v>
      </c>
      <c r="K1049" s="4" t="s">
        <v>27</v>
      </c>
      <c r="L1049" s="4" t="s">
        <v>27</v>
      </c>
      <c r="M1049" s="4" t="s">
        <v>403</v>
      </c>
      <c r="N1049" s="5">
        <v>225858097</v>
      </c>
      <c r="O1049" s="2" t="s">
        <v>452</v>
      </c>
      <c r="P1049" s="2" t="s">
        <v>37</v>
      </c>
      <c r="Q1049" s="4" t="s">
        <v>782</v>
      </c>
    </row>
    <row r="1050" spans="1:17" hidden="1" x14ac:dyDescent="0.2">
      <c r="A1050" s="2" t="s">
        <v>1991</v>
      </c>
      <c r="B1050" s="2" t="s">
        <v>804</v>
      </c>
      <c r="C1050" s="2" t="s">
        <v>1445</v>
      </c>
      <c r="D1050" s="2" t="s">
        <v>20</v>
      </c>
      <c r="E1050" s="3">
        <v>99338</v>
      </c>
      <c r="F1050" s="4" t="s">
        <v>121</v>
      </c>
      <c r="G1050" s="2" t="s">
        <v>1177</v>
      </c>
      <c r="H1050" s="2" t="s">
        <v>1628</v>
      </c>
      <c r="I1050" s="2" t="s">
        <v>212</v>
      </c>
      <c r="J1050" s="2" t="s">
        <v>298</v>
      </c>
      <c r="K1050" s="4" t="s">
        <v>27</v>
      </c>
      <c r="L1050" s="4" t="s">
        <v>27</v>
      </c>
      <c r="M1050" s="4" t="s">
        <v>806</v>
      </c>
      <c r="N1050" s="5">
        <v>267063975</v>
      </c>
      <c r="O1050" s="2" t="s">
        <v>1992</v>
      </c>
      <c r="P1050" s="2" t="s">
        <v>1447</v>
      </c>
      <c r="Q1050" s="4" t="s">
        <v>1993</v>
      </c>
    </row>
    <row r="1051" spans="1:17" hidden="1" x14ac:dyDescent="0.2">
      <c r="A1051" s="2" t="s">
        <v>1994</v>
      </c>
      <c r="B1051" s="2" t="s">
        <v>33</v>
      </c>
      <c r="C1051" s="2" t="s">
        <v>83</v>
      </c>
      <c r="D1051" s="2" t="s">
        <v>20</v>
      </c>
      <c r="E1051" s="3">
        <v>98125</v>
      </c>
      <c r="F1051" s="4" t="s">
        <v>57</v>
      </c>
      <c r="G1051" s="2" t="s">
        <v>1177</v>
      </c>
      <c r="H1051" s="2" t="s">
        <v>1628</v>
      </c>
      <c r="I1051" s="2" t="s">
        <v>212</v>
      </c>
      <c r="J1051" s="2" t="s">
        <v>298</v>
      </c>
      <c r="K1051" s="4" t="s">
        <v>27</v>
      </c>
      <c r="L1051" s="4" t="s">
        <v>27</v>
      </c>
      <c r="M1051" s="4" t="s">
        <v>278</v>
      </c>
      <c r="N1051" s="5">
        <v>208679838</v>
      </c>
      <c r="O1051" s="2" t="s">
        <v>279</v>
      </c>
      <c r="P1051" s="2" t="s">
        <v>86</v>
      </c>
      <c r="Q1051" s="4" t="s">
        <v>613</v>
      </c>
    </row>
    <row r="1052" spans="1:17" hidden="1" x14ac:dyDescent="0.2">
      <c r="A1052" s="2" t="s">
        <v>1994</v>
      </c>
      <c r="B1052" s="2" t="s">
        <v>33</v>
      </c>
      <c r="C1052" s="2" t="s">
        <v>139</v>
      </c>
      <c r="D1052" s="2" t="s">
        <v>20</v>
      </c>
      <c r="E1052" s="3">
        <v>98058</v>
      </c>
      <c r="F1052" s="4" t="s">
        <v>57</v>
      </c>
      <c r="G1052" s="2" t="s">
        <v>1177</v>
      </c>
      <c r="H1052" s="2" t="s">
        <v>1628</v>
      </c>
      <c r="I1052" s="2" t="s">
        <v>212</v>
      </c>
      <c r="J1052" s="2" t="s">
        <v>298</v>
      </c>
      <c r="K1052" s="4" t="s">
        <v>27</v>
      </c>
      <c r="L1052" s="4" t="s">
        <v>27</v>
      </c>
      <c r="M1052" s="4" t="s">
        <v>69</v>
      </c>
      <c r="N1052" s="5">
        <v>278261756</v>
      </c>
      <c r="O1052" s="2" t="s">
        <v>141</v>
      </c>
      <c r="P1052" s="2" t="s">
        <v>37</v>
      </c>
      <c r="Q1052" s="4" t="s">
        <v>1995</v>
      </c>
    </row>
    <row r="1053" spans="1:17" hidden="1" x14ac:dyDescent="0.2">
      <c r="A1053" s="2" t="s">
        <v>1996</v>
      </c>
      <c r="B1053" s="2" t="s">
        <v>55</v>
      </c>
      <c r="C1053" s="2" t="s">
        <v>63</v>
      </c>
      <c r="D1053" s="2" t="s">
        <v>20</v>
      </c>
      <c r="E1053" s="3">
        <v>98685</v>
      </c>
      <c r="F1053" s="4" t="s">
        <v>57</v>
      </c>
      <c r="G1053" s="2" t="s">
        <v>1177</v>
      </c>
      <c r="H1053" s="2" t="s">
        <v>1628</v>
      </c>
      <c r="I1053" s="2" t="s">
        <v>212</v>
      </c>
      <c r="J1053" s="2" t="s">
        <v>298</v>
      </c>
      <c r="K1053" s="4" t="s">
        <v>27</v>
      </c>
      <c r="L1053" s="4" t="s">
        <v>27</v>
      </c>
      <c r="M1053" s="4" t="s">
        <v>58</v>
      </c>
      <c r="N1053" s="5">
        <v>224491046</v>
      </c>
      <c r="O1053" s="2" t="s">
        <v>299</v>
      </c>
      <c r="P1053" s="2" t="s">
        <v>60</v>
      </c>
      <c r="Q1053" s="4" t="s">
        <v>419</v>
      </c>
    </row>
    <row r="1054" spans="1:17" hidden="1" x14ac:dyDescent="0.2">
      <c r="A1054" s="2" t="s">
        <v>1996</v>
      </c>
      <c r="B1054" s="2" t="s">
        <v>33</v>
      </c>
      <c r="C1054" s="2" t="s">
        <v>83</v>
      </c>
      <c r="D1054" s="2" t="s">
        <v>20</v>
      </c>
      <c r="E1054" s="3">
        <v>98126</v>
      </c>
      <c r="F1054" s="4" t="s">
        <v>57</v>
      </c>
      <c r="G1054" s="2" t="s">
        <v>1177</v>
      </c>
      <c r="H1054" s="2" t="s">
        <v>1628</v>
      </c>
      <c r="I1054" s="2" t="s">
        <v>212</v>
      </c>
      <c r="J1054" s="2" t="s">
        <v>298</v>
      </c>
      <c r="K1054" s="4" t="s">
        <v>27</v>
      </c>
      <c r="L1054" s="4" t="s">
        <v>27</v>
      </c>
      <c r="M1054" s="4" t="s">
        <v>319</v>
      </c>
      <c r="N1054" s="5">
        <v>204740861</v>
      </c>
      <c r="O1054" s="2" t="s">
        <v>440</v>
      </c>
      <c r="P1054" s="2" t="s">
        <v>86</v>
      </c>
      <c r="Q1054" s="4" t="s">
        <v>1035</v>
      </c>
    </row>
    <row r="1055" spans="1:17" hidden="1" x14ac:dyDescent="0.2">
      <c r="A1055" s="2" t="s">
        <v>1997</v>
      </c>
      <c r="B1055" s="2" t="s">
        <v>94</v>
      </c>
      <c r="C1055" s="2" t="s">
        <v>105</v>
      </c>
      <c r="D1055" s="2" t="s">
        <v>20</v>
      </c>
      <c r="E1055" s="3">
        <v>98282</v>
      </c>
      <c r="F1055" s="4" t="s">
        <v>21</v>
      </c>
      <c r="G1055" s="2" t="s">
        <v>1177</v>
      </c>
      <c r="H1055" s="2" t="s">
        <v>1628</v>
      </c>
      <c r="I1055" s="2" t="s">
        <v>212</v>
      </c>
      <c r="J1055" s="2" t="s">
        <v>298</v>
      </c>
      <c r="K1055" s="4" t="s">
        <v>27</v>
      </c>
      <c r="L1055" s="4" t="s">
        <v>27</v>
      </c>
      <c r="M1055" s="4" t="s">
        <v>96</v>
      </c>
      <c r="N1055" s="5">
        <v>227194789</v>
      </c>
      <c r="O1055" s="2" t="s">
        <v>106</v>
      </c>
      <c r="P1055" s="2" t="s">
        <v>107</v>
      </c>
      <c r="Q1055" s="4" t="s">
        <v>1998</v>
      </c>
    </row>
    <row r="1056" spans="1:17" hidden="1" x14ac:dyDescent="0.2">
      <c r="A1056" s="2" t="s">
        <v>1997</v>
      </c>
      <c r="B1056" s="2" t="s">
        <v>33</v>
      </c>
      <c r="C1056" s="2" t="s">
        <v>169</v>
      </c>
      <c r="D1056" s="2" t="s">
        <v>20</v>
      </c>
      <c r="E1056" s="3">
        <v>98034</v>
      </c>
      <c r="F1056" s="4" t="s">
        <v>21</v>
      </c>
      <c r="G1056" s="2" t="s">
        <v>1177</v>
      </c>
      <c r="H1056" s="2" t="s">
        <v>1628</v>
      </c>
      <c r="I1056" s="2" t="s">
        <v>212</v>
      </c>
      <c r="J1056" s="2" t="s">
        <v>298</v>
      </c>
      <c r="K1056" s="4" t="s">
        <v>27</v>
      </c>
      <c r="L1056" s="4" t="s">
        <v>27</v>
      </c>
      <c r="M1056" s="4" t="s">
        <v>198</v>
      </c>
      <c r="N1056" s="5">
        <v>251702433</v>
      </c>
      <c r="O1056" s="2" t="s">
        <v>171</v>
      </c>
      <c r="P1056" s="2" t="s">
        <v>37</v>
      </c>
      <c r="Q1056" s="4" t="s">
        <v>1316</v>
      </c>
    </row>
    <row r="1057" spans="1:17" hidden="1" x14ac:dyDescent="0.2">
      <c r="A1057" s="2" t="s">
        <v>1997</v>
      </c>
      <c r="B1057" s="2" t="s">
        <v>40</v>
      </c>
      <c r="C1057" s="2" t="s">
        <v>40</v>
      </c>
      <c r="D1057" s="2" t="s">
        <v>20</v>
      </c>
      <c r="E1057" s="3">
        <v>98296</v>
      </c>
      <c r="F1057" s="4" t="s">
        <v>21</v>
      </c>
      <c r="G1057" s="2" t="s">
        <v>1177</v>
      </c>
      <c r="H1057" s="2" t="s">
        <v>1628</v>
      </c>
      <c r="I1057" s="2" t="s">
        <v>212</v>
      </c>
      <c r="J1057" s="2" t="s">
        <v>298</v>
      </c>
      <c r="K1057" s="4" t="s">
        <v>27</v>
      </c>
      <c r="L1057" s="4" t="s">
        <v>27</v>
      </c>
      <c r="M1057" s="4" t="s">
        <v>116</v>
      </c>
      <c r="N1057" s="5">
        <v>240708646</v>
      </c>
      <c r="O1057" s="2" t="s">
        <v>294</v>
      </c>
      <c r="P1057" s="2" t="s">
        <v>30</v>
      </c>
      <c r="Q1057" s="4" t="s">
        <v>1999</v>
      </c>
    </row>
    <row r="1058" spans="1:17" hidden="1" x14ac:dyDescent="0.2">
      <c r="A1058" s="2" t="s">
        <v>2000</v>
      </c>
      <c r="B1058" s="2" t="s">
        <v>33</v>
      </c>
      <c r="C1058" s="2" t="s">
        <v>169</v>
      </c>
      <c r="D1058" s="2" t="s">
        <v>20</v>
      </c>
      <c r="E1058" s="3">
        <v>98034</v>
      </c>
      <c r="F1058" s="4" t="s">
        <v>121</v>
      </c>
      <c r="G1058" s="2" t="s">
        <v>1177</v>
      </c>
      <c r="H1058" s="2" t="s">
        <v>1628</v>
      </c>
      <c r="I1058" s="2" t="s">
        <v>212</v>
      </c>
      <c r="J1058" s="2" t="s">
        <v>298</v>
      </c>
      <c r="K1058" s="4" t="s">
        <v>27</v>
      </c>
      <c r="L1058" s="4" t="s">
        <v>27</v>
      </c>
      <c r="M1058" s="4" t="s">
        <v>198</v>
      </c>
      <c r="N1058" s="5">
        <v>265858624</v>
      </c>
      <c r="O1058" s="2" t="s">
        <v>171</v>
      </c>
      <c r="P1058" s="2" t="s">
        <v>37</v>
      </c>
      <c r="Q1058" s="4" t="s">
        <v>724</v>
      </c>
    </row>
    <row r="1059" spans="1:17" hidden="1" x14ac:dyDescent="0.2">
      <c r="A1059" s="2" t="s">
        <v>2001</v>
      </c>
      <c r="B1059" s="2" t="s">
        <v>33</v>
      </c>
      <c r="C1059" s="2" t="s">
        <v>83</v>
      </c>
      <c r="D1059" s="2" t="s">
        <v>20</v>
      </c>
      <c r="E1059" s="3">
        <v>98112</v>
      </c>
      <c r="F1059" s="4" t="s">
        <v>121</v>
      </c>
      <c r="G1059" s="2" t="s">
        <v>1177</v>
      </c>
      <c r="H1059" s="2" t="s">
        <v>1628</v>
      </c>
      <c r="I1059" s="2" t="s">
        <v>212</v>
      </c>
      <c r="J1059" s="2" t="s">
        <v>298</v>
      </c>
      <c r="K1059" s="4" t="s">
        <v>27</v>
      </c>
      <c r="L1059" s="4" t="s">
        <v>27</v>
      </c>
      <c r="M1059" s="4" t="s">
        <v>284</v>
      </c>
      <c r="N1059" s="5">
        <v>269177233</v>
      </c>
      <c r="O1059" s="2" t="s">
        <v>736</v>
      </c>
      <c r="P1059" s="2" t="s">
        <v>86</v>
      </c>
      <c r="Q1059" s="4" t="s">
        <v>1252</v>
      </c>
    </row>
    <row r="1060" spans="1:17" hidden="1" x14ac:dyDescent="0.2">
      <c r="A1060" s="2" t="s">
        <v>2002</v>
      </c>
      <c r="B1060" s="2" t="s">
        <v>33</v>
      </c>
      <c r="C1060" s="2" t="s">
        <v>146</v>
      </c>
      <c r="D1060" s="2" t="s">
        <v>20</v>
      </c>
      <c r="E1060" s="3">
        <v>98008</v>
      </c>
      <c r="F1060" s="4" t="s">
        <v>57</v>
      </c>
      <c r="G1060" s="2" t="s">
        <v>1177</v>
      </c>
      <c r="H1060" s="2" t="s">
        <v>1628</v>
      </c>
      <c r="I1060" s="2" t="s">
        <v>212</v>
      </c>
      <c r="J1060" s="2" t="s">
        <v>298</v>
      </c>
      <c r="K1060" s="4" t="s">
        <v>27</v>
      </c>
      <c r="L1060" s="4" t="s">
        <v>27</v>
      </c>
      <c r="M1060" s="4" t="s">
        <v>147</v>
      </c>
      <c r="N1060" s="5">
        <v>200916803</v>
      </c>
      <c r="O1060" s="2" t="s">
        <v>537</v>
      </c>
      <c r="P1060" s="2" t="s">
        <v>37</v>
      </c>
      <c r="Q1060" s="4" t="s">
        <v>1207</v>
      </c>
    </row>
    <row r="1061" spans="1:17" hidden="1" x14ac:dyDescent="0.2">
      <c r="A1061" s="2" t="s">
        <v>2003</v>
      </c>
      <c r="B1061" s="2" t="s">
        <v>33</v>
      </c>
      <c r="C1061" s="2" t="s">
        <v>1056</v>
      </c>
      <c r="D1061" s="2" t="s">
        <v>20</v>
      </c>
      <c r="E1061" s="3">
        <v>98030</v>
      </c>
      <c r="F1061" s="4" t="s">
        <v>121</v>
      </c>
      <c r="G1061" s="2" t="s">
        <v>1177</v>
      </c>
      <c r="H1061" s="2" t="s">
        <v>1628</v>
      </c>
      <c r="I1061" s="2" t="s">
        <v>212</v>
      </c>
      <c r="J1061" s="2" t="s">
        <v>298</v>
      </c>
      <c r="K1061" s="4" t="s">
        <v>27</v>
      </c>
      <c r="L1061" s="4" t="s">
        <v>27</v>
      </c>
      <c r="M1061" s="4" t="s">
        <v>909</v>
      </c>
      <c r="N1061" s="5">
        <v>263232336</v>
      </c>
      <c r="O1061" s="2" t="s">
        <v>1344</v>
      </c>
      <c r="P1061" s="2" t="s">
        <v>37</v>
      </c>
      <c r="Q1061" s="4" t="s">
        <v>1946</v>
      </c>
    </row>
    <row r="1062" spans="1:17" hidden="1" x14ac:dyDescent="0.2">
      <c r="A1062" s="2" t="s">
        <v>2004</v>
      </c>
      <c r="B1062" s="2" t="s">
        <v>40</v>
      </c>
      <c r="C1062" s="2" t="s">
        <v>383</v>
      </c>
      <c r="D1062" s="2" t="s">
        <v>20</v>
      </c>
      <c r="E1062" s="3">
        <v>98208</v>
      </c>
      <c r="F1062" s="4" t="s">
        <v>21</v>
      </c>
      <c r="G1062" s="2" t="s">
        <v>1177</v>
      </c>
      <c r="H1062" s="2" t="s">
        <v>1628</v>
      </c>
      <c r="I1062" s="2" t="s">
        <v>212</v>
      </c>
      <c r="J1062" s="2" t="s">
        <v>298</v>
      </c>
      <c r="K1062" s="4" t="s">
        <v>27</v>
      </c>
      <c r="L1062" s="4" t="s">
        <v>27</v>
      </c>
      <c r="M1062" s="4" t="s">
        <v>116</v>
      </c>
      <c r="N1062" s="5">
        <v>257689442</v>
      </c>
      <c r="O1062" s="2" t="s">
        <v>384</v>
      </c>
      <c r="P1062" s="2" t="s">
        <v>30</v>
      </c>
      <c r="Q1062" s="4" t="s">
        <v>2005</v>
      </c>
    </row>
    <row r="1063" spans="1:17" hidden="1" x14ac:dyDescent="0.2">
      <c r="A1063" s="2" t="s">
        <v>2004</v>
      </c>
      <c r="B1063" s="2" t="s">
        <v>55</v>
      </c>
      <c r="C1063" s="2" t="s">
        <v>63</v>
      </c>
      <c r="D1063" s="2" t="s">
        <v>20</v>
      </c>
      <c r="E1063" s="3">
        <v>98660</v>
      </c>
      <c r="F1063" s="4" t="s">
        <v>21</v>
      </c>
      <c r="G1063" s="2" t="s">
        <v>1177</v>
      </c>
      <c r="H1063" s="2" t="s">
        <v>1628</v>
      </c>
      <c r="I1063" s="2" t="s">
        <v>212</v>
      </c>
      <c r="J1063" s="2" t="s">
        <v>298</v>
      </c>
      <c r="K1063" s="4" t="s">
        <v>27</v>
      </c>
      <c r="L1063" s="4" t="s">
        <v>27</v>
      </c>
      <c r="M1063" s="4" t="s">
        <v>191</v>
      </c>
      <c r="N1063" s="5">
        <v>235848700</v>
      </c>
      <c r="O1063" s="2" t="s">
        <v>1433</v>
      </c>
      <c r="P1063" s="2" t="s">
        <v>60</v>
      </c>
      <c r="Q1063" s="4" t="s">
        <v>1434</v>
      </c>
    </row>
    <row r="1064" spans="1:17" hidden="1" x14ac:dyDescent="0.2">
      <c r="A1064" s="2" t="s">
        <v>2006</v>
      </c>
      <c r="B1064" s="2" t="s">
        <v>33</v>
      </c>
      <c r="C1064" s="2" t="s">
        <v>1056</v>
      </c>
      <c r="D1064" s="2" t="s">
        <v>20</v>
      </c>
      <c r="E1064" s="3">
        <v>98031</v>
      </c>
      <c r="F1064" s="4" t="s">
        <v>121</v>
      </c>
      <c r="G1064" s="2" t="s">
        <v>1177</v>
      </c>
      <c r="H1064" s="2" t="s">
        <v>1628</v>
      </c>
      <c r="I1064" s="2" t="s">
        <v>212</v>
      </c>
      <c r="J1064" s="2" t="s">
        <v>298</v>
      </c>
      <c r="K1064" s="4" t="s">
        <v>27</v>
      </c>
      <c r="L1064" s="4" t="s">
        <v>27</v>
      </c>
      <c r="M1064" s="4" t="s">
        <v>140</v>
      </c>
      <c r="N1064" s="5">
        <v>267019490</v>
      </c>
      <c r="O1064" s="2" t="s">
        <v>1057</v>
      </c>
      <c r="P1064" s="2" t="s">
        <v>37</v>
      </c>
      <c r="Q1064" s="4" t="s">
        <v>2007</v>
      </c>
    </row>
    <row r="1065" spans="1:17" hidden="1" x14ac:dyDescent="0.2">
      <c r="A1065" s="2" t="s">
        <v>2006</v>
      </c>
      <c r="B1065" s="2" t="s">
        <v>33</v>
      </c>
      <c r="C1065" s="2" t="s">
        <v>186</v>
      </c>
      <c r="D1065" s="2" t="s">
        <v>20</v>
      </c>
      <c r="E1065" s="3">
        <v>98023</v>
      </c>
      <c r="F1065" s="4" t="s">
        <v>121</v>
      </c>
      <c r="G1065" s="2" t="s">
        <v>1177</v>
      </c>
      <c r="H1065" s="2" t="s">
        <v>1628</v>
      </c>
      <c r="I1065" s="2" t="s">
        <v>212</v>
      </c>
      <c r="J1065" s="2" t="s">
        <v>298</v>
      </c>
      <c r="K1065" s="4" t="s">
        <v>27</v>
      </c>
      <c r="L1065" s="4" t="s">
        <v>27</v>
      </c>
      <c r="M1065" s="4" t="s">
        <v>187</v>
      </c>
      <c r="N1065" s="5">
        <v>273736270</v>
      </c>
      <c r="O1065" s="2" t="s">
        <v>188</v>
      </c>
      <c r="P1065" s="2" t="s">
        <v>37</v>
      </c>
      <c r="Q1065" s="4" t="s">
        <v>1907</v>
      </c>
    </row>
    <row r="1066" spans="1:17" hidden="1" x14ac:dyDescent="0.2">
      <c r="A1066" s="2" t="s">
        <v>2008</v>
      </c>
      <c r="B1066" s="2" t="s">
        <v>33</v>
      </c>
      <c r="C1066" s="2" t="s">
        <v>169</v>
      </c>
      <c r="D1066" s="2" t="s">
        <v>20</v>
      </c>
      <c r="E1066" s="3">
        <v>98033</v>
      </c>
      <c r="F1066" s="4" t="s">
        <v>130</v>
      </c>
      <c r="G1066" s="2" t="s">
        <v>1177</v>
      </c>
      <c r="H1066" s="2" t="s">
        <v>1628</v>
      </c>
      <c r="I1066" s="2" t="s">
        <v>212</v>
      </c>
      <c r="J1066" s="2" t="s">
        <v>298</v>
      </c>
      <c r="K1066" s="4" t="s">
        <v>27</v>
      </c>
      <c r="L1066" s="4" t="s">
        <v>27</v>
      </c>
      <c r="M1066" s="4" t="s">
        <v>198</v>
      </c>
      <c r="N1066" s="5">
        <v>278850141</v>
      </c>
      <c r="O1066" s="2" t="s">
        <v>204</v>
      </c>
      <c r="P1066" s="2" t="s">
        <v>37</v>
      </c>
      <c r="Q1066" s="4" t="s">
        <v>1966</v>
      </c>
    </row>
    <row r="1067" spans="1:17" hidden="1" x14ac:dyDescent="0.2">
      <c r="A1067" s="2" t="s">
        <v>2009</v>
      </c>
      <c r="B1067" s="2" t="s">
        <v>110</v>
      </c>
      <c r="C1067" s="2" t="s">
        <v>1745</v>
      </c>
      <c r="D1067" s="2" t="s">
        <v>20</v>
      </c>
      <c r="E1067" s="3">
        <v>98375</v>
      </c>
      <c r="F1067" s="4" t="s">
        <v>130</v>
      </c>
      <c r="G1067" s="2" t="s">
        <v>2010</v>
      </c>
      <c r="H1067" s="2" t="s">
        <v>2011</v>
      </c>
      <c r="I1067" s="2" t="s">
        <v>212</v>
      </c>
      <c r="J1067" s="2" t="s">
        <v>298</v>
      </c>
      <c r="K1067" s="4" t="s">
        <v>27</v>
      </c>
      <c r="L1067" s="4" t="s">
        <v>27</v>
      </c>
      <c r="M1067" s="4" t="s">
        <v>43</v>
      </c>
      <c r="N1067" s="5">
        <v>282940129</v>
      </c>
      <c r="O1067" s="2" t="s">
        <v>2012</v>
      </c>
      <c r="P1067" s="2" t="s">
        <v>584</v>
      </c>
      <c r="Q1067" s="4" t="s">
        <v>2013</v>
      </c>
    </row>
    <row r="1068" spans="1:17" hidden="1" x14ac:dyDescent="0.2">
      <c r="A1068" s="2" t="s">
        <v>2014</v>
      </c>
      <c r="B1068" s="2" t="s">
        <v>33</v>
      </c>
      <c r="C1068" s="2" t="s">
        <v>83</v>
      </c>
      <c r="D1068" s="2" t="s">
        <v>20</v>
      </c>
      <c r="E1068" s="3">
        <v>98177</v>
      </c>
      <c r="F1068" s="4" t="s">
        <v>130</v>
      </c>
      <c r="G1068" s="2" t="s">
        <v>2010</v>
      </c>
      <c r="H1068" s="2" t="s">
        <v>2011</v>
      </c>
      <c r="I1068" s="2" t="s">
        <v>212</v>
      </c>
      <c r="J1068" s="2" t="s">
        <v>298</v>
      </c>
      <c r="K1068" s="4" t="s">
        <v>27</v>
      </c>
      <c r="L1068" s="4" t="s">
        <v>27</v>
      </c>
      <c r="M1068" s="4" t="s">
        <v>84</v>
      </c>
      <c r="N1068" s="5">
        <v>283330134</v>
      </c>
      <c r="O1068" s="2" t="s">
        <v>85</v>
      </c>
      <c r="P1068" s="2" t="s">
        <v>86</v>
      </c>
      <c r="Q1068" s="4" t="s">
        <v>87</v>
      </c>
    </row>
    <row r="1069" spans="1:17" hidden="1" x14ac:dyDescent="0.2">
      <c r="A1069" s="2" t="s">
        <v>2015</v>
      </c>
      <c r="B1069" s="2" t="s">
        <v>110</v>
      </c>
      <c r="C1069" s="2" t="s">
        <v>634</v>
      </c>
      <c r="D1069" s="2" t="s">
        <v>20</v>
      </c>
      <c r="E1069" s="3">
        <v>98335</v>
      </c>
      <c r="F1069" s="4" t="s">
        <v>1113</v>
      </c>
      <c r="G1069" s="2" t="s">
        <v>2010</v>
      </c>
      <c r="H1069" s="2" t="s">
        <v>2016</v>
      </c>
      <c r="I1069" s="2" t="s">
        <v>212</v>
      </c>
      <c r="J1069" s="2" t="s">
        <v>298</v>
      </c>
      <c r="K1069" s="4" t="s">
        <v>27</v>
      </c>
      <c r="L1069" s="4" t="s">
        <v>27</v>
      </c>
      <c r="M1069" s="4" t="s">
        <v>101</v>
      </c>
      <c r="N1069" s="5">
        <v>285986795</v>
      </c>
      <c r="O1069" s="2" t="s">
        <v>1087</v>
      </c>
      <c r="P1069" s="2" t="s">
        <v>310</v>
      </c>
      <c r="Q1069" s="4" t="s">
        <v>1702</v>
      </c>
    </row>
    <row r="1070" spans="1:17" x14ac:dyDescent="0.2">
      <c r="A1070" s="2" t="s">
        <v>2017</v>
      </c>
      <c r="B1070" s="2" t="s">
        <v>331</v>
      </c>
      <c r="C1070" s="2" t="s">
        <v>331</v>
      </c>
      <c r="D1070" s="2" t="s">
        <v>20</v>
      </c>
      <c r="E1070" s="3">
        <v>99205</v>
      </c>
      <c r="F1070" s="4" t="s">
        <v>371</v>
      </c>
      <c r="G1070" s="2" t="s">
        <v>2018</v>
      </c>
      <c r="H1070" s="2" t="s">
        <v>2019</v>
      </c>
      <c r="I1070" s="2" t="s">
        <v>24</v>
      </c>
      <c r="J1070" s="2" t="s">
        <v>25</v>
      </c>
      <c r="K1070" s="4" t="s">
        <v>90</v>
      </c>
      <c r="L1070" s="4" t="s">
        <v>27</v>
      </c>
      <c r="M1070" s="4" t="s">
        <v>391</v>
      </c>
      <c r="N1070" s="5">
        <v>297387947</v>
      </c>
      <c r="O1070" s="2" t="s">
        <v>730</v>
      </c>
      <c r="P1070" s="2" t="s">
        <v>393</v>
      </c>
      <c r="Q1070" s="4" t="s">
        <v>2020</v>
      </c>
    </row>
    <row r="1071" spans="1:17" x14ac:dyDescent="0.2">
      <c r="A1071" s="2" t="s">
        <v>2021</v>
      </c>
      <c r="B1071" s="2" t="s">
        <v>40</v>
      </c>
      <c r="C1071" s="2" t="s">
        <v>272</v>
      </c>
      <c r="D1071" s="2" t="s">
        <v>20</v>
      </c>
      <c r="E1071" s="3">
        <v>98270</v>
      </c>
      <c r="F1071" s="4" t="s">
        <v>371</v>
      </c>
      <c r="G1071" s="2" t="s">
        <v>2018</v>
      </c>
      <c r="H1071" s="2" t="s">
        <v>2019</v>
      </c>
      <c r="I1071" s="2" t="s">
        <v>24</v>
      </c>
      <c r="J1071" s="2" t="s">
        <v>25</v>
      </c>
      <c r="K1071" s="4" t="s">
        <v>90</v>
      </c>
      <c r="L1071" s="4" t="s">
        <v>27</v>
      </c>
      <c r="M1071" s="4" t="s">
        <v>116</v>
      </c>
      <c r="N1071" s="5">
        <v>117055781</v>
      </c>
      <c r="O1071" s="2" t="s">
        <v>275</v>
      </c>
      <c r="P1071" s="2" t="s">
        <v>30</v>
      </c>
      <c r="Q1071" s="4" t="s">
        <v>2022</v>
      </c>
    </row>
    <row r="1072" spans="1:17" x14ac:dyDescent="0.2">
      <c r="A1072" s="2" t="s">
        <v>2023</v>
      </c>
      <c r="B1072" s="2" t="s">
        <v>40</v>
      </c>
      <c r="C1072" s="2" t="s">
        <v>129</v>
      </c>
      <c r="D1072" s="2" t="s">
        <v>20</v>
      </c>
      <c r="E1072" s="3">
        <v>98258</v>
      </c>
      <c r="F1072" s="4" t="s">
        <v>21</v>
      </c>
      <c r="G1072" s="2" t="s">
        <v>2018</v>
      </c>
      <c r="H1072" s="2" t="s">
        <v>2019</v>
      </c>
      <c r="I1072" s="2" t="s">
        <v>24</v>
      </c>
      <c r="J1072" s="2" t="s">
        <v>213</v>
      </c>
      <c r="K1072" s="4" t="s">
        <v>274</v>
      </c>
      <c r="L1072" s="4" t="s">
        <v>27</v>
      </c>
      <c r="M1072" s="4" t="s">
        <v>116</v>
      </c>
      <c r="N1072" s="5">
        <v>267994618</v>
      </c>
      <c r="O1072" s="2" t="s">
        <v>131</v>
      </c>
      <c r="P1072" s="2" t="s">
        <v>30</v>
      </c>
      <c r="Q1072" s="4" t="s">
        <v>2024</v>
      </c>
    </row>
    <row r="1073" spans="1:17" x14ac:dyDescent="0.2">
      <c r="A1073" s="2" t="s">
        <v>2025</v>
      </c>
      <c r="B1073" s="2" t="s">
        <v>33</v>
      </c>
      <c r="C1073" s="2" t="s">
        <v>83</v>
      </c>
      <c r="D1073" s="2" t="s">
        <v>20</v>
      </c>
      <c r="E1073" s="3">
        <v>98125</v>
      </c>
      <c r="F1073" s="4" t="s">
        <v>21</v>
      </c>
      <c r="G1073" s="2" t="s">
        <v>2018</v>
      </c>
      <c r="H1073" s="2" t="s">
        <v>2019</v>
      </c>
      <c r="I1073" s="2" t="s">
        <v>24</v>
      </c>
      <c r="J1073" s="2" t="s">
        <v>213</v>
      </c>
      <c r="K1073" s="4" t="s">
        <v>274</v>
      </c>
      <c r="L1073" s="4" t="s">
        <v>27</v>
      </c>
      <c r="M1073" s="4" t="s">
        <v>278</v>
      </c>
      <c r="N1073" s="5">
        <v>240494019</v>
      </c>
      <c r="O1073" s="2" t="s">
        <v>279</v>
      </c>
      <c r="P1073" s="2" t="s">
        <v>86</v>
      </c>
      <c r="Q1073" s="4" t="s">
        <v>858</v>
      </c>
    </row>
    <row r="1074" spans="1:17" x14ac:dyDescent="0.2">
      <c r="A1074" s="2" t="s">
        <v>2026</v>
      </c>
      <c r="B1074" s="2" t="s">
        <v>151</v>
      </c>
      <c r="C1074" s="2" t="s">
        <v>250</v>
      </c>
      <c r="D1074" s="2" t="s">
        <v>20</v>
      </c>
      <c r="E1074" s="3">
        <v>98512</v>
      </c>
      <c r="F1074" s="4" t="s">
        <v>371</v>
      </c>
      <c r="G1074" s="2" t="s">
        <v>1050</v>
      </c>
      <c r="H1074" s="2" t="s">
        <v>2027</v>
      </c>
      <c r="I1074" s="2" t="s">
        <v>24</v>
      </c>
      <c r="J1074" s="2" t="s">
        <v>213</v>
      </c>
      <c r="K1074" s="4" t="s">
        <v>69</v>
      </c>
      <c r="L1074" s="4" t="s">
        <v>27</v>
      </c>
      <c r="M1074" s="4" t="s">
        <v>90</v>
      </c>
      <c r="N1074" s="5">
        <v>339922600</v>
      </c>
      <c r="O1074" s="2" t="s">
        <v>256</v>
      </c>
      <c r="P1074" s="2" t="s">
        <v>30</v>
      </c>
      <c r="Q1074" s="4" t="s">
        <v>424</v>
      </c>
    </row>
    <row r="1075" spans="1:17" x14ac:dyDescent="0.2">
      <c r="A1075" s="2" t="s">
        <v>2028</v>
      </c>
      <c r="B1075" s="2" t="s">
        <v>18</v>
      </c>
      <c r="C1075" s="2" t="s">
        <v>100</v>
      </c>
      <c r="D1075" s="2" t="s">
        <v>20</v>
      </c>
      <c r="E1075" s="3">
        <v>98366</v>
      </c>
      <c r="F1075" s="4" t="s">
        <v>371</v>
      </c>
      <c r="G1075" s="2" t="s">
        <v>1050</v>
      </c>
      <c r="H1075" s="2" t="s">
        <v>2027</v>
      </c>
      <c r="I1075" s="2" t="s">
        <v>24</v>
      </c>
      <c r="J1075" s="2" t="s">
        <v>213</v>
      </c>
      <c r="K1075" s="4" t="s">
        <v>69</v>
      </c>
      <c r="L1075" s="4" t="s">
        <v>27</v>
      </c>
      <c r="M1075" s="4" t="s">
        <v>101</v>
      </c>
      <c r="N1075" s="5">
        <v>290512694</v>
      </c>
      <c r="O1075" s="2" t="s">
        <v>102</v>
      </c>
      <c r="P1075" s="2" t="s">
        <v>30</v>
      </c>
      <c r="Q1075" s="4" t="s">
        <v>2029</v>
      </c>
    </row>
    <row r="1076" spans="1:17" x14ac:dyDescent="0.2">
      <c r="A1076" s="2" t="s">
        <v>2030</v>
      </c>
      <c r="B1076" s="2" t="s">
        <v>55</v>
      </c>
      <c r="C1076" s="2" t="s">
        <v>63</v>
      </c>
      <c r="D1076" s="2" t="s">
        <v>20</v>
      </c>
      <c r="E1076" s="3">
        <v>98661</v>
      </c>
      <c r="F1076" s="4" t="s">
        <v>371</v>
      </c>
      <c r="G1076" s="2" t="s">
        <v>1050</v>
      </c>
      <c r="H1076" s="2" t="s">
        <v>2027</v>
      </c>
      <c r="I1076" s="2" t="s">
        <v>24</v>
      </c>
      <c r="J1076" s="2" t="s">
        <v>213</v>
      </c>
      <c r="K1076" s="4" t="s">
        <v>69</v>
      </c>
      <c r="L1076" s="4" t="s">
        <v>27</v>
      </c>
      <c r="M1076" s="4" t="s">
        <v>191</v>
      </c>
      <c r="N1076" s="5">
        <v>190036367</v>
      </c>
      <c r="O1076" s="2" t="s">
        <v>760</v>
      </c>
      <c r="P1076" s="2" t="s">
        <v>2031</v>
      </c>
      <c r="Q1076" s="4" t="s">
        <v>2032</v>
      </c>
    </row>
    <row r="1077" spans="1:17" x14ac:dyDescent="0.2">
      <c r="A1077" s="2" t="s">
        <v>2033</v>
      </c>
      <c r="B1077" s="2" t="s">
        <v>40</v>
      </c>
      <c r="C1077" s="2" t="s">
        <v>89</v>
      </c>
      <c r="D1077" s="2" t="s">
        <v>20</v>
      </c>
      <c r="E1077" s="3">
        <v>98021</v>
      </c>
      <c r="F1077" s="4" t="s">
        <v>408</v>
      </c>
      <c r="G1077" s="2" t="s">
        <v>1050</v>
      </c>
      <c r="H1077" s="2" t="s">
        <v>2027</v>
      </c>
      <c r="I1077" s="2" t="s">
        <v>24</v>
      </c>
      <c r="J1077" s="2" t="s">
        <v>213</v>
      </c>
      <c r="K1077" s="4" t="s">
        <v>69</v>
      </c>
      <c r="L1077" s="4" t="s">
        <v>27</v>
      </c>
      <c r="M1077" s="4" t="s">
        <v>170</v>
      </c>
      <c r="N1077" s="5">
        <v>152362003</v>
      </c>
      <c r="O1077" s="2" t="s">
        <v>247</v>
      </c>
      <c r="P1077" s="2" t="s">
        <v>30</v>
      </c>
      <c r="Q1077" s="4" t="s">
        <v>1905</v>
      </c>
    </row>
    <row r="1078" spans="1:17" x14ac:dyDescent="0.2">
      <c r="A1078" s="2" t="s">
        <v>2034</v>
      </c>
      <c r="B1078" s="2" t="s">
        <v>110</v>
      </c>
      <c r="C1078" s="2" t="s">
        <v>307</v>
      </c>
      <c r="D1078" s="2" t="s">
        <v>20</v>
      </c>
      <c r="E1078" s="3">
        <v>98407</v>
      </c>
      <c r="F1078" s="4" t="s">
        <v>371</v>
      </c>
      <c r="G1078" s="2" t="s">
        <v>1050</v>
      </c>
      <c r="H1078" s="2" t="s">
        <v>2027</v>
      </c>
      <c r="I1078" s="2" t="s">
        <v>24</v>
      </c>
      <c r="J1078" s="2" t="s">
        <v>213</v>
      </c>
      <c r="K1078" s="4" t="s">
        <v>69</v>
      </c>
      <c r="L1078" s="4" t="s">
        <v>27</v>
      </c>
      <c r="M1078" s="4" t="s">
        <v>308</v>
      </c>
      <c r="N1078" s="5">
        <v>172585059</v>
      </c>
      <c r="O1078" s="2" t="s">
        <v>1005</v>
      </c>
      <c r="P1078" s="2" t="s">
        <v>310</v>
      </c>
      <c r="Q1078" s="4" t="s">
        <v>2035</v>
      </c>
    </row>
    <row r="1079" spans="1:17" x14ac:dyDescent="0.2">
      <c r="A1079" s="2" t="s">
        <v>2036</v>
      </c>
      <c r="B1079" s="2" t="s">
        <v>48</v>
      </c>
      <c r="C1079" s="2" t="s">
        <v>48</v>
      </c>
      <c r="D1079" s="2" t="s">
        <v>20</v>
      </c>
      <c r="E1079" s="3">
        <v>98908</v>
      </c>
      <c r="F1079" s="4" t="s">
        <v>371</v>
      </c>
      <c r="G1079" s="2" t="s">
        <v>1050</v>
      </c>
      <c r="H1079" s="2" t="s">
        <v>2027</v>
      </c>
      <c r="I1079" s="2" t="s">
        <v>24</v>
      </c>
      <c r="J1079" s="2" t="s">
        <v>213</v>
      </c>
      <c r="K1079" s="4" t="s">
        <v>69</v>
      </c>
      <c r="L1079" s="4" t="s">
        <v>27</v>
      </c>
      <c r="M1079" s="4" t="s">
        <v>323</v>
      </c>
      <c r="N1079" s="5">
        <v>204845469</v>
      </c>
      <c r="O1079" s="2" t="s">
        <v>596</v>
      </c>
      <c r="P1079" s="2" t="s">
        <v>52</v>
      </c>
      <c r="Q1079" s="4" t="s">
        <v>1625</v>
      </c>
    </row>
    <row r="1080" spans="1:17" x14ac:dyDescent="0.2">
      <c r="A1080" s="2" t="s">
        <v>2037</v>
      </c>
      <c r="B1080" s="2" t="s">
        <v>313</v>
      </c>
      <c r="C1080" s="2" t="s">
        <v>313</v>
      </c>
      <c r="D1080" s="2" t="s">
        <v>20</v>
      </c>
      <c r="E1080" s="3">
        <v>99362</v>
      </c>
      <c r="F1080" s="4" t="s">
        <v>401</v>
      </c>
      <c r="G1080" s="2" t="s">
        <v>1050</v>
      </c>
      <c r="H1080" s="2" t="s">
        <v>2027</v>
      </c>
      <c r="I1080" s="2" t="s">
        <v>24</v>
      </c>
      <c r="J1080" s="2" t="s">
        <v>213</v>
      </c>
      <c r="K1080" s="4" t="s">
        <v>69</v>
      </c>
      <c r="L1080" s="4" t="s">
        <v>27</v>
      </c>
      <c r="M1080" s="4" t="s">
        <v>314</v>
      </c>
      <c r="N1080" s="5">
        <v>257568370</v>
      </c>
      <c r="O1080" s="2" t="s">
        <v>315</v>
      </c>
      <c r="P1080" s="2" t="s">
        <v>52</v>
      </c>
      <c r="Q1080" s="4" t="s">
        <v>2038</v>
      </c>
    </row>
    <row r="1081" spans="1:17" x14ac:dyDescent="0.2">
      <c r="A1081" s="2" t="s">
        <v>2039</v>
      </c>
      <c r="B1081" s="2" t="s">
        <v>33</v>
      </c>
      <c r="C1081" s="2" t="s">
        <v>83</v>
      </c>
      <c r="D1081" s="2" t="s">
        <v>20</v>
      </c>
      <c r="E1081" s="3">
        <v>98121</v>
      </c>
      <c r="F1081" s="4" t="s">
        <v>42</v>
      </c>
      <c r="G1081" s="2" t="s">
        <v>1050</v>
      </c>
      <c r="H1081" s="2" t="s">
        <v>2027</v>
      </c>
      <c r="I1081" s="2" t="s">
        <v>24</v>
      </c>
      <c r="J1081" s="2" t="s">
        <v>213</v>
      </c>
      <c r="K1081" s="4" t="s">
        <v>69</v>
      </c>
      <c r="L1081" s="4" t="s">
        <v>27</v>
      </c>
      <c r="M1081" s="4" t="s">
        <v>84</v>
      </c>
      <c r="N1081" s="5">
        <v>268796125</v>
      </c>
      <c r="O1081" s="2" t="s">
        <v>238</v>
      </c>
      <c r="P1081" s="2" t="s">
        <v>86</v>
      </c>
      <c r="Q1081" s="4" t="s">
        <v>1351</v>
      </c>
    </row>
    <row r="1082" spans="1:17" x14ac:dyDescent="0.2">
      <c r="A1082" s="2" t="s">
        <v>2040</v>
      </c>
      <c r="B1082" s="2" t="s">
        <v>207</v>
      </c>
      <c r="C1082" s="2" t="s">
        <v>208</v>
      </c>
      <c r="D1082" s="2" t="s">
        <v>20</v>
      </c>
      <c r="E1082" s="3">
        <v>98273</v>
      </c>
      <c r="F1082" s="4" t="s">
        <v>371</v>
      </c>
      <c r="G1082" s="2" t="s">
        <v>1050</v>
      </c>
      <c r="H1082" s="2" t="s">
        <v>2027</v>
      </c>
      <c r="I1082" s="2" t="s">
        <v>24</v>
      </c>
      <c r="J1082" s="2" t="s">
        <v>213</v>
      </c>
      <c r="K1082" s="4" t="s">
        <v>69</v>
      </c>
      <c r="L1082" s="4" t="s">
        <v>27</v>
      </c>
      <c r="M1082" s="4" t="s">
        <v>409</v>
      </c>
      <c r="N1082" s="5">
        <v>331001933</v>
      </c>
      <c r="O1082" s="2" t="s">
        <v>1537</v>
      </c>
      <c r="P1082" s="2" t="s">
        <v>30</v>
      </c>
      <c r="Q1082" s="4" t="s">
        <v>2041</v>
      </c>
    </row>
    <row r="1083" spans="1:17" x14ac:dyDescent="0.2">
      <c r="A1083" s="2" t="s">
        <v>2042</v>
      </c>
      <c r="B1083" s="2" t="s">
        <v>151</v>
      </c>
      <c r="C1083" s="2" t="s">
        <v>566</v>
      </c>
      <c r="D1083" s="2" t="s">
        <v>20</v>
      </c>
      <c r="E1083" s="3">
        <v>98513</v>
      </c>
      <c r="F1083" s="4" t="s">
        <v>121</v>
      </c>
      <c r="G1083" s="2" t="s">
        <v>2043</v>
      </c>
      <c r="H1083" s="2" t="s">
        <v>2044</v>
      </c>
      <c r="I1083" s="2" t="s">
        <v>24</v>
      </c>
      <c r="J1083" s="2" t="s">
        <v>25</v>
      </c>
      <c r="K1083" s="4" t="s">
        <v>101</v>
      </c>
      <c r="L1083" s="4" t="s">
        <v>27</v>
      </c>
      <c r="M1083" s="4" t="s">
        <v>90</v>
      </c>
      <c r="N1083" s="5">
        <v>270756314</v>
      </c>
      <c r="O1083" s="2" t="s">
        <v>657</v>
      </c>
      <c r="P1083" s="2" t="s">
        <v>30</v>
      </c>
      <c r="Q1083" s="4" t="s">
        <v>2045</v>
      </c>
    </row>
    <row r="1084" spans="1:17" x14ac:dyDescent="0.2">
      <c r="A1084" s="2" t="s">
        <v>2046</v>
      </c>
      <c r="B1084" s="2" t="s">
        <v>110</v>
      </c>
      <c r="C1084" s="2" t="s">
        <v>111</v>
      </c>
      <c r="D1084" s="2" t="s">
        <v>20</v>
      </c>
      <c r="E1084" s="3">
        <v>98391</v>
      </c>
      <c r="F1084" s="4" t="s">
        <v>130</v>
      </c>
      <c r="G1084" s="2" t="s">
        <v>2043</v>
      </c>
      <c r="H1084" s="2" t="s">
        <v>2044</v>
      </c>
      <c r="I1084" s="2" t="s">
        <v>24</v>
      </c>
      <c r="J1084" s="2" t="s">
        <v>25</v>
      </c>
      <c r="K1084" s="4" t="s">
        <v>101</v>
      </c>
      <c r="L1084" s="4" t="s">
        <v>27</v>
      </c>
      <c r="M1084" s="4" t="s">
        <v>112</v>
      </c>
      <c r="N1084" s="5">
        <v>275694401</v>
      </c>
      <c r="O1084" s="2" t="s">
        <v>113</v>
      </c>
      <c r="P1084" s="2" t="s">
        <v>37</v>
      </c>
      <c r="Q1084" s="4" t="s">
        <v>2047</v>
      </c>
    </row>
    <row r="1085" spans="1:17" x14ac:dyDescent="0.2">
      <c r="A1085" s="2" t="s">
        <v>2048</v>
      </c>
      <c r="B1085" s="2" t="s">
        <v>55</v>
      </c>
      <c r="C1085" s="2" t="s">
        <v>63</v>
      </c>
      <c r="D1085" s="2" t="s">
        <v>20</v>
      </c>
      <c r="E1085" s="3">
        <v>98685</v>
      </c>
      <c r="F1085" s="4" t="s">
        <v>121</v>
      </c>
      <c r="G1085" s="2" t="s">
        <v>2043</v>
      </c>
      <c r="H1085" s="2" t="s">
        <v>2044</v>
      </c>
      <c r="I1085" s="2" t="s">
        <v>24</v>
      </c>
      <c r="J1085" s="2" t="s">
        <v>25</v>
      </c>
      <c r="K1085" s="4" t="s">
        <v>101</v>
      </c>
      <c r="L1085" s="4" t="s">
        <v>27</v>
      </c>
      <c r="M1085" s="4" t="s">
        <v>58</v>
      </c>
      <c r="N1085" s="5">
        <v>271646574</v>
      </c>
      <c r="O1085" s="2" t="s">
        <v>299</v>
      </c>
      <c r="P1085" s="2" t="s">
        <v>60</v>
      </c>
      <c r="Q1085" s="4" t="s">
        <v>419</v>
      </c>
    </row>
    <row r="1086" spans="1:17" x14ac:dyDescent="0.2">
      <c r="A1086" s="2" t="s">
        <v>2049</v>
      </c>
      <c r="B1086" s="2" t="s">
        <v>18</v>
      </c>
      <c r="C1086" s="2" t="s">
        <v>218</v>
      </c>
      <c r="D1086" s="2" t="s">
        <v>20</v>
      </c>
      <c r="E1086" s="3">
        <v>98310</v>
      </c>
      <c r="F1086" s="4" t="s">
        <v>121</v>
      </c>
      <c r="G1086" s="2" t="s">
        <v>2043</v>
      </c>
      <c r="H1086" s="2" t="s">
        <v>2044</v>
      </c>
      <c r="I1086" s="2" t="s">
        <v>24</v>
      </c>
      <c r="J1086" s="2" t="s">
        <v>25</v>
      </c>
      <c r="K1086" s="4" t="s">
        <v>101</v>
      </c>
      <c r="L1086" s="4" t="s">
        <v>27</v>
      </c>
      <c r="M1086" s="4" t="s">
        <v>28</v>
      </c>
      <c r="N1086" s="5">
        <v>252246578</v>
      </c>
      <c r="O1086" s="2" t="s">
        <v>743</v>
      </c>
      <c r="P1086" s="2" t="s">
        <v>30</v>
      </c>
      <c r="Q1086" s="4" t="s">
        <v>2050</v>
      </c>
    </row>
    <row r="1087" spans="1:17" x14ac:dyDescent="0.2">
      <c r="A1087" s="2" t="s">
        <v>2051</v>
      </c>
      <c r="B1087" s="2" t="s">
        <v>33</v>
      </c>
      <c r="C1087" s="2" t="s">
        <v>169</v>
      </c>
      <c r="D1087" s="2" t="s">
        <v>20</v>
      </c>
      <c r="E1087" s="3">
        <v>98033</v>
      </c>
      <c r="F1087" s="4" t="s">
        <v>121</v>
      </c>
      <c r="G1087" s="2" t="s">
        <v>2043</v>
      </c>
      <c r="H1087" s="2" t="s">
        <v>2044</v>
      </c>
      <c r="I1087" s="2" t="s">
        <v>24</v>
      </c>
      <c r="J1087" s="2" t="s">
        <v>25</v>
      </c>
      <c r="K1087" s="4" t="s">
        <v>101</v>
      </c>
      <c r="L1087" s="4" t="s">
        <v>27</v>
      </c>
      <c r="M1087" s="4" t="s">
        <v>198</v>
      </c>
      <c r="N1087" s="5">
        <v>272119949</v>
      </c>
      <c r="O1087" s="2" t="s">
        <v>204</v>
      </c>
      <c r="P1087" s="2" t="s">
        <v>37</v>
      </c>
      <c r="Q1087" s="4" t="s">
        <v>378</v>
      </c>
    </row>
    <row r="1088" spans="1:17" x14ac:dyDescent="0.2">
      <c r="A1088" s="2" t="s">
        <v>2052</v>
      </c>
      <c r="B1088" s="2" t="s">
        <v>40</v>
      </c>
      <c r="C1088" s="2" t="s">
        <v>383</v>
      </c>
      <c r="D1088" s="2" t="s">
        <v>20</v>
      </c>
      <c r="E1088" s="3">
        <v>98201</v>
      </c>
      <c r="F1088" s="4" t="s">
        <v>121</v>
      </c>
      <c r="G1088" s="2" t="s">
        <v>2043</v>
      </c>
      <c r="H1088" s="2" t="s">
        <v>2044</v>
      </c>
      <c r="I1088" s="2" t="s">
        <v>24</v>
      </c>
      <c r="J1088" s="2" t="s">
        <v>25</v>
      </c>
      <c r="K1088" s="4" t="s">
        <v>101</v>
      </c>
      <c r="L1088" s="4" t="s">
        <v>27</v>
      </c>
      <c r="M1088" s="4" t="s">
        <v>274</v>
      </c>
      <c r="N1088" s="5">
        <v>249883490</v>
      </c>
      <c r="O1088" s="2" t="s">
        <v>1161</v>
      </c>
      <c r="P1088" s="2" t="s">
        <v>30</v>
      </c>
      <c r="Q1088" s="4" t="s">
        <v>1349</v>
      </c>
    </row>
    <row r="1089" spans="1:17" x14ac:dyDescent="0.2">
      <c r="A1089" s="2" t="s">
        <v>2053</v>
      </c>
      <c r="B1089" s="2" t="s">
        <v>55</v>
      </c>
      <c r="C1089" s="2" t="s">
        <v>63</v>
      </c>
      <c r="D1089" s="2" t="s">
        <v>20</v>
      </c>
      <c r="E1089" s="3">
        <v>98682</v>
      </c>
      <c r="F1089" s="4" t="s">
        <v>121</v>
      </c>
      <c r="G1089" s="2" t="s">
        <v>2043</v>
      </c>
      <c r="H1089" s="2" t="s">
        <v>2044</v>
      </c>
      <c r="I1089" s="2" t="s">
        <v>24</v>
      </c>
      <c r="J1089" s="2" t="s">
        <v>25</v>
      </c>
      <c r="K1089" s="4" t="s">
        <v>101</v>
      </c>
      <c r="L1089" s="4" t="s">
        <v>27</v>
      </c>
      <c r="M1089" s="4" t="s">
        <v>64</v>
      </c>
      <c r="N1089" s="5">
        <v>278160697</v>
      </c>
      <c r="O1089" s="2" t="s">
        <v>65</v>
      </c>
      <c r="P1089" s="2" t="s">
        <v>60</v>
      </c>
      <c r="Q1089" s="4" t="s">
        <v>66</v>
      </c>
    </row>
    <row r="1090" spans="1:17" x14ac:dyDescent="0.2">
      <c r="A1090" s="2" t="s">
        <v>2054</v>
      </c>
      <c r="B1090" s="2" t="s">
        <v>151</v>
      </c>
      <c r="C1090" s="2" t="s">
        <v>356</v>
      </c>
      <c r="D1090" s="2" t="s">
        <v>20</v>
      </c>
      <c r="E1090" s="3">
        <v>98597</v>
      </c>
      <c r="F1090" s="4" t="s">
        <v>130</v>
      </c>
      <c r="G1090" s="2" t="s">
        <v>2043</v>
      </c>
      <c r="H1090" s="2" t="s">
        <v>2044</v>
      </c>
      <c r="I1090" s="2" t="s">
        <v>24</v>
      </c>
      <c r="J1090" s="2" t="s">
        <v>25</v>
      </c>
      <c r="K1090" s="4" t="s">
        <v>101</v>
      </c>
      <c r="L1090" s="4" t="s">
        <v>27</v>
      </c>
      <c r="M1090" s="4" t="s">
        <v>357</v>
      </c>
      <c r="N1090" s="5">
        <v>277791643</v>
      </c>
      <c r="O1090" s="2" t="s">
        <v>358</v>
      </c>
      <c r="P1090" s="2" t="s">
        <v>30</v>
      </c>
      <c r="Q1090" s="4" t="s">
        <v>679</v>
      </c>
    </row>
    <row r="1091" spans="1:17" x14ac:dyDescent="0.2">
      <c r="A1091" s="2" t="s">
        <v>2055</v>
      </c>
      <c r="B1091" s="2" t="s">
        <v>33</v>
      </c>
      <c r="C1091" s="2" t="s">
        <v>68</v>
      </c>
      <c r="D1091" s="2" t="s">
        <v>20</v>
      </c>
      <c r="E1091" s="3">
        <v>98001</v>
      </c>
      <c r="F1091" s="4" t="s">
        <v>130</v>
      </c>
      <c r="G1091" s="2" t="s">
        <v>2043</v>
      </c>
      <c r="H1091" s="2" t="s">
        <v>2044</v>
      </c>
      <c r="I1091" s="2" t="s">
        <v>24</v>
      </c>
      <c r="J1091" s="2" t="s">
        <v>25</v>
      </c>
      <c r="K1091" s="4" t="s">
        <v>101</v>
      </c>
      <c r="L1091" s="4" t="s">
        <v>27</v>
      </c>
      <c r="M1091" s="4" t="s">
        <v>69</v>
      </c>
      <c r="N1091" s="5">
        <v>280126857</v>
      </c>
      <c r="O1091" s="2" t="s">
        <v>474</v>
      </c>
      <c r="P1091" s="2" t="s">
        <v>37</v>
      </c>
      <c r="Q1091" s="4" t="s">
        <v>758</v>
      </c>
    </row>
    <row r="1092" spans="1:17" hidden="1" x14ac:dyDescent="0.2">
      <c r="A1092" s="2" t="s">
        <v>2056</v>
      </c>
      <c r="B1092" s="2" t="s">
        <v>40</v>
      </c>
      <c r="C1092" s="2" t="s">
        <v>383</v>
      </c>
      <c r="D1092" s="2" t="s">
        <v>20</v>
      </c>
      <c r="E1092" s="3">
        <v>98208</v>
      </c>
      <c r="F1092" s="4" t="s">
        <v>121</v>
      </c>
      <c r="G1092" s="2" t="s">
        <v>610</v>
      </c>
      <c r="H1092" s="2" t="s">
        <v>2057</v>
      </c>
      <c r="I1092" s="2" t="s">
        <v>212</v>
      </c>
      <c r="J1092" s="2" t="s">
        <v>298</v>
      </c>
      <c r="K1092" s="4" t="s">
        <v>27</v>
      </c>
      <c r="L1092" s="4" t="s">
        <v>27</v>
      </c>
      <c r="M1092" s="4" t="s">
        <v>116</v>
      </c>
      <c r="N1092" s="5">
        <v>272904299</v>
      </c>
      <c r="O1092" s="2" t="s">
        <v>384</v>
      </c>
      <c r="P1092" s="2" t="s">
        <v>30</v>
      </c>
      <c r="Q1092" s="4" t="s">
        <v>1182</v>
      </c>
    </row>
    <row r="1093" spans="1:17" hidden="1" x14ac:dyDescent="0.2">
      <c r="A1093" s="2" t="s">
        <v>2058</v>
      </c>
      <c r="B1093" s="2" t="s">
        <v>151</v>
      </c>
      <c r="C1093" s="2" t="s">
        <v>152</v>
      </c>
      <c r="D1093" s="2" t="s">
        <v>20</v>
      </c>
      <c r="E1093" s="3">
        <v>98516</v>
      </c>
      <c r="F1093" s="4" t="s">
        <v>2059</v>
      </c>
      <c r="G1093" s="2" t="s">
        <v>610</v>
      </c>
      <c r="H1093" s="2" t="s">
        <v>611</v>
      </c>
      <c r="I1093" s="2" t="s">
        <v>212</v>
      </c>
      <c r="J1093" s="2" t="s">
        <v>213</v>
      </c>
      <c r="K1093" s="4" t="s">
        <v>2060</v>
      </c>
      <c r="L1093" s="4" t="s">
        <v>27</v>
      </c>
      <c r="M1093" s="4" t="s">
        <v>357</v>
      </c>
      <c r="N1093" s="5">
        <v>103165590</v>
      </c>
      <c r="O1093" s="2" t="s">
        <v>746</v>
      </c>
      <c r="P1093" s="2" t="s">
        <v>30</v>
      </c>
      <c r="Q1093" s="4" t="s">
        <v>2061</v>
      </c>
    </row>
    <row r="1094" spans="1:17" hidden="1" x14ac:dyDescent="0.2">
      <c r="A1094" s="2" t="s">
        <v>2062</v>
      </c>
      <c r="B1094" s="2" t="s">
        <v>110</v>
      </c>
      <c r="C1094" s="2" t="s">
        <v>2063</v>
      </c>
      <c r="D1094" s="2" t="s">
        <v>20</v>
      </c>
      <c r="E1094" s="3">
        <v>98388</v>
      </c>
      <c r="F1094" s="4" t="s">
        <v>2059</v>
      </c>
      <c r="G1094" s="2" t="s">
        <v>610</v>
      </c>
      <c r="H1094" s="2" t="s">
        <v>611</v>
      </c>
      <c r="I1094" s="2" t="s">
        <v>212</v>
      </c>
      <c r="J1094" s="2" t="s">
        <v>213</v>
      </c>
      <c r="K1094" s="4" t="s">
        <v>2060</v>
      </c>
      <c r="L1094" s="4" t="s">
        <v>27</v>
      </c>
      <c r="M1094" s="4" t="s">
        <v>478</v>
      </c>
      <c r="N1094" s="5">
        <v>203501805</v>
      </c>
      <c r="O1094" s="2" t="s">
        <v>2064</v>
      </c>
      <c r="P1094" s="2" t="s">
        <v>2065</v>
      </c>
      <c r="Q1094" s="4" t="s">
        <v>2066</v>
      </c>
    </row>
    <row r="1095" spans="1:17" hidden="1" x14ac:dyDescent="0.2">
      <c r="A1095" s="2" t="s">
        <v>2067</v>
      </c>
      <c r="B1095" s="2" t="s">
        <v>33</v>
      </c>
      <c r="C1095" s="2" t="s">
        <v>669</v>
      </c>
      <c r="D1095" s="2" t="s">
        <v>20</v>
      </c>
      <c r="E1095" s="3">
        <v>98052</v>
      </c>
      <c r="F1095" s="4" t="s">
        <v>2059</v>
      </c>
      <c r="G1095" s="2" t="s">
        <v>610</v>
      </c>
      <c r="H1095" s="2" t="s">
        <v>611</v>
      </c>
      <c r="I1095" s="2" t="s">
        <v>212</v>
      </c>
      <c r="J1095" s="2" t="s">
        <v>213</v>
      </c>
      <c r="K1095" s="4" t="s">
        <v>2060</v>
      </c>
      <c r="L1095" s="4" t="s">
        <v>27</v>
      </c>
      <c r="M1095" s="4" t="s">
        <v>147</v>
      </c>
      <c r="N1095" s="5">
        <v>221511090</v>
      </c>
      <c r="O1095" s="2" t="s">
        <v>670</v>
      </c>
      <c r="P1095" s="2" t="s">
        <v>37</v>
      </c>
      <c r="Q1095" s="4" t="s">
        <v>684</v>
      </c>
    </row>
    <row r="1096" spans="1:17" hidden="1" x14ac:dyDescent="0.2">
      <c r="A1096" s="2" t="s">
        <v>2068</v>
      </c>
      <c r="B1096" s="2" t="s">
        <v>33</v>
      </c>
      <c r="C1096" s="2" t="s">
        <v>83</v>
      </c>
      <c r="D1096" s="2" t="s">
        <v>20</v>
      </c>
      <c r="E1096" s="3">
        <v>98109</v>
      </c>
      <c r="F1096" s="4" t="s">
        <v>574</v>
      </c>
      <c r="G1096" s="2" t="s">
        <v>610</v>
      </c>
      <c r="H1096" s="2" t="s">
        <v>611</v>
      </c>
      <c r="I1096" s="2" t="s">
        <v>212</v>
      </c>
      <c r="J1096" s="2" t="s">
        <v>213</v>
      </c>
      <c r="K1096" s="4" t="s">
        <v>2060</v>
      </c>
      <c r="L1096" s="4" t="s">
        <v>27</v>
      </c>
      <c r="M1096" s="4" t="s">
        <v>84</v>
      </c>
      <c r="N1096" s="5">
        <v>133883039</v>
      </c>
      <c r="O1096" s="2" t="s">
        <v>437</v>
      </c>
      <c r="P1096" s="2" t="s">
        <v>86</v>
      </c>
      <c r="Q1096" s="4" t="s">
        <v>2069</v>
      </c>
    </row>
    <row r="1097" spans="1:17" hidden="1" x14ac:dyDescent="0.2">
      <c r="A1097" s="2" t="s">
        <v>2070</v>
      </c>
      <c r="B1097" s="2" t="s">
        <v>18</v>
      </c>
      <c r="C1097" s="2" t="s">
        <v>561</v>
      </c>
      <c r="D1097" s="2" t="s">
        <v>20</v>
      </c>
      <c r="E1097" s="3">
        <v>98383</v>
      </c>
      <c r="F1097" s="4" t="s">
        <v>574</v>
      </c>
      <c r="G1097" s="2" t="s">
        <v>610</v>
      </c>
      <c r="H1097" s="2" t="s">
        <v>611</v>
      </c>
      <c r="I1097" s="2" t="s">
        <v>212</v>
      </c>
      <c r="J1097" s="2" t="s">
        <v>213</v>
      </c>
      <c r="K1097" s="4" t="s">
        <v>2060</v>
      </c>
      <c r="L1097" s="4" t="s">
        <v>27</v>
      </c>
      <c r="M1097" s="4" t="s">
        <v>28</v>
      </c>
      <c r="N1097" s="5">
        <v>253261326</v>
      </c>
      <c r="O1097" s="2" t="s">
        <v>562</v>
      </c>
      <c r="P1097" s="2" t="s">
        <v>30</v>
      </c>
      <c r="Q1097" s="4" t="s">
        <v>2071</v>
      </c>
    </row>
    <row r="1098" spans="1:17" hidden="1" x14ac:dyDescent="0.2">
      <c r="A1098" s="2" t="s">
        <v>2070</v>
      </c>
      <c r="B1098" s="2" t="s">
        <v>33</v>
      </c>
      <c r="C1098" s="2" t="s">
        <v>451</v>
      </c>
      <c r="D1098" s="2" t="s">
        <v>20</v>
      </c>
      <c r="E1098" s="3">
        <v>98074</v>
      </c>
      <c r="F1098" s="4" t="s">
        <v>574</v>
      </c>
      <c r="G1098" s="2" t="s">
        <v>610</v>
      </c>
      <c r="H1098" s="2" t="s">
        <v>611</v>
      </c>
      <c r="I1098" s="2" t="s">
        <v>212</v>
      </c>
      <c r="J1098" s="2" t="s">
        <v>213</v>
      </c>
      <c r="K1098" s="4" t="s">
        <v>2060</v>
      </c>
      <c r="L1098" s="4" t="s">
        <v>27</v>
      </c>
      <c r="M1098" s="4" t="s">
        <v>198</v>
      </c>
      <c r="N1098" s="5">
        <v>224497437</v>
      </c>
      <c r="O1098" s="2" t="s">
        <v>781</v>
      </c>
      <c r="P1098" s="2" t="s">
        <v>37</v>
      </c>
      <c r="Q1098" s="4" t="s">
        <v>1060</v>
      </c>
    </row>
    <row r="1099" spans="1:17" hidden="1" x14ac:dyDescent="0.2">
      <c r="A1099" s="2" t="s">
        <v>2072</v>
      </c>
      <c r="B1099" s="2" t="s">
        <v>48</v>
      </c>
      <c r="C1099" s="2" t="s">
        <v>48</v>
      </c>
      <c r="D1099" s="2" t="s">
        <v>20</v>
      </c>
      <c r="E1099" s="3">
        <v>98901</v>
      </c>
      <c r="F1099" s="4" t="s">
        <v>2059</v>
      </c>
      <c r="G1099" s="2" t="s">
        <v>610</v>
      </c>
      <c r="H1099" s="2" t="s">
        <v>611</v>
      </c>
      <c r="I1099" s="2" t="s">
        <v>212</v>
      </c>
      <c r="J1099" s="2" t="s">
        <v>213</v>
      </c>
      <c r="K1099" s="4" t="s">
        <v>2060</v>
      </c>
      <c r="L1099" s="4" t="s">
        <v>27</v>
      </c>
      <c r="M1099" s="4" t="s">
        <v>323</v>
      </c>
      <c r="N1099" s="5">
        <v>173404556</v>
      </c>
      <c r="O1099" s="2" t="s">
        <v>1258</v>
      </c>
      <c r="P1099" s="2" t="s">
        <v>52</v>
      </c>
      <c r="Q1099" s="4" t="s">
        <v>2073</v>
      </c>
    </row>
    <row r="1100" spans="1:17" hidden="1" x14ac:dyDescent="0.2">
      <c r="A1100" s="2" t="s">
        <v>2074</v>
      </c>
      <c r="B1100" s="2" t="s">
        <v>18</v>
      </c>
      <c r="C1100" s="2" t="s">
        <v>218</v>
      </c>
      <c r="D1100" s="2" t="s">
        <v>20</v>
      </c>
      <c r="E1100" s="3">
        <v>98312</v>
      </c>
      <c r="F1100" s="4" t="s">
        <v>574</v>
      </c>
      <c r="G1100" s="2" t="s">
        <v>610</v>
      </c>
      <c r="H1100" s="2" t="s">
        <v>611</v>
      </c>
      <c r="I1100" s="2" t="s">
        <v>212</v>
      </c>
      <c r="J1100" s="2" t="s">
        <v>213</v>
      </c>
      <c r="K1100" s="4" t="s">
        <v>2060</v>
      </c>
      <c r="L1100" s="4" t="s">
        <v>27</v>
      </c>
      <c r="M1100" s="4" t="s">
        <v>255</v>
      </c>
      <c r="N1100" s="5">
        <v>250921030</v>
      </c>
      <c r="O1100" s="2" t="s">
        <v>1180</v>
      </c>
      <c r="P1100" s="2" t="s">
        <v>30</v>
      </c>
      <c r="Q1100" s="4" t="s">
        <v>1444</v>
      </c>
    </row>
    <row r="1101" spans="1:17" hidden="1" x14ac:dyDescent="0.2">
      <c r="A1101" s="2" t="s">
        <v>2075</v>
      </c>
      <c r="B1101" s="2" t="s">
        <v>33</v>
      </c>
      <c r="C1101" s="2" t="s">
        <v>146</v>
      </c>
      <c r="D1101" s="2" t="s">
        <v>20</v>
      </c>
      <c r="E1101" s="3">
        <v>98007</v>
      </c>
      <c r="F1101" s="4" t="s">
        <v>2059</v>
      </c>
      <c r="G1101" s="2" t="s">
        <v>610</v>
      </c>
      <c r="H1101" s="2" t="s">
        <v>611</v>
      </c>
      <c r="I1101" s="2" t="s">
        <v>212</v>
      </c>
      <c r="J1101" s="2" t="s">
        <v>213</v>
      </c>
      <c r="K1101" s="4" t="s">
        <v>2060</v>
      </c>
      <c r="L1101" s="4" t="s">
        <v>27</v>
      </c>
      <c r="M1101" s="4" t="s">
        <v>403</v>
      </c>
      <c r="N1101" s="5">
        <v>234711858</v>
      </c>
      <c r="O1101" s="2" t="s">
        <v>753</v>
      </c>
      <c r="P1101" s="2" t="s">
        <v>37</v>
      </c>
      <c r="Q1101" s="4" t="s">
        <v>2076</v>
      </c>
    </row>
    <row r="1102" spans="1:17" hidden="1" x14ac:dyDescent="0.2">
      <c r="A1102" s="2" t="s">
        <v>2075</v>
      </c>
      <c r="B1102" s="2" t="s">
        <v>33</v>
      </c>
      <c r="C1102" s="2" t="s">
        <v>186</v>
      </c>
      <c r="D1102" s="2" t="s">
        <v>20</v>
      </c>
      <c r="E1102" s="3">
        <v>98003</v>
      </c>
      <c r="F1102" s="4" t="s">
        <v>2059</v>
      </c>
      <c r="G1102" s="2" t="s">
        <v>610</v>
      </c>
      <c r="H1102" s="2" t="s">
        <v>611</v>
      </c>
      <c r="I1102" s="2" t="s">
        <v>212</v>
      </c>
      <c r="J1102" s="2" t="s">
        <v>213</v>
      </c>
      <c r="K1102" s="4" t="s">
        <v>2060</v>
      </c>
      <c r="L1102" s="4" t="s">
        <v>27</v>
      </c>
      <c r="M1102" s="4" t="s">
        <v>187</v>
      </c>
      <c r="N1102" s="5">
        <v>141811372</v>
      </c>
      <c r="O1102" s="2" t="s">
        <v>458</v>
      </c>
      <c r="P1102" s="2" t="s">
        <v>37</v>
      </c>
      <c r="Q1102" s="4" t="s">
        <v>1821</v>
      </c>
    </row>
    <row r="1103" spans="1:17" hidden="1" x14ac:dyDescent="0.2">
      <c r="A1103" s="2" t="s">
        <v>2077</v>
      </c>
      <c r="B1103" s="2" t="s">
        <v>94</v>
      </c>
      <c r="C1103" s="2" t="s">
        <v>125</v>
      </c>
      <c r="D1103" s="2" t="s">
        <v>20</v>
      </c>
      <c r="E1103" s="3">
        <v>98277</v>
      </c>
      <c r="F1103" s="4" t="s">
        <v>574</v>
      </c>
      <c r="G1103" s="2" t="s">
        <v>610</v>
      </c>
      <c r="H1103" s="2" t="s">
        <v>611</v>
      </c>
      <c r="I1103" s="2" t="s">
        <v>212</v>
      </c>
      <c r="J1103" s="2" t="s">
        <v>213</v>
      </c>
      <c r="K1103" s="4" t="s">
        <v>2060</v>
      </c>
      <c r="L1103" s="4" t="s">
        <v>27</v>
      </c>
      <c r="M1103" s="4" t="s">
        <v>96</v>
      </c>
      <c r="N1103" s="5">
        <v>123065169</v>
      </c>
      <c r="O1103" s="2" t="s">
        <v>126</v>
      </c>
      <c r="P1103" s="2" t="s">
        <v>30</v>
      </c>
      <c r="Q1103" s="4" t="s">
        <v>2078</v>
      </c>
    </row>
    <row r="1104" spans="1:17" hidden="1" x14ac:dyDescent="0.2">
      <c r="A1104" s="2" t="s">
        <v>2079</v>
      </c>
      <c r="B1104" s="2" t="s">
        <v>151</v>
      </c>
      <c r="C1104" s="2" t="s">
        <v>152</v>
      </c>
      <c r="D1104" s="2" t="s">
        <v>20</v>
      </c>
      <c r="E1104" s="3">
        <v>98506</v>
      </c>
      <c r="F1104" s="4" t="s">
        <v>574</v>
      </c>
      <c r="G1104" s="2" t="s">
        <v>610</v>
      </c>
      <c r="H1104" s="2" t="s">
        <v>611</v>
      </c>
      <c r="I1104" s="2" t="s">
        <v>212</v>
      </c>
      <c r="J1104" s="2" t="s">
        <v>213</v>
      </c>
      <c r="K1104" s="4" t="s">
        <v>2060</v>
      </c>
      <c r="L1104" s="4" t="s">
        <v>27</v>
      </c>
      <c r="M1104" s="4" t="s">
        <v>90</v>
      </c>
      <c r="N1104" s="5">
        <v>268830397</v>
      </c>
      <c r="O1104" s="2" t="s">
        <v>487</v>
      </c>
      <c r="P1104" s="2" t="s">
        <v>30</v>
      </c>
      <c r="Q1104" s="4" t="s">
        <v>2080</v>
      </c>
    </row>
    <row r="1105" spans="1:17" hidden="1" x14ac:dyDescent="0.2">
      <c r="A1105" s="2" t="s">
        <v>2081</v>
      </c>
      <c r="B1105" s="2" t="s">
        <v>33</v>
      </c>
      <c r="C1105" s="2" t="s">
        <v>83</v>
      </c>
      <c r="D1105" s="2" t="s">
        <v>20</v>
      </c>
      <c r="E1105" s="3">
        <v>98199</v>
      </c>
      <c r="F1105" s="4" t="s">
        <v>21</v>
      </c>
      <c r="G1105" s="2" t="s">
        <v>610</v>
      </c>
      <c r="H1105" s="2" t="s">
        <v>2057</v>
      </c>
      <c r="I1105" s="2" t="s">
        <v>212</v>
      </c>
      <c r="J1105" s="2" t="s">
        <v>298</v>
      </c>
      <c r="K1105" s="4" t="s">
        <v>27</v>
      </c>
      <c r="L1105" s="4" t="s">
        <v>27</v>
      </c>
      <c r="M1105" s="4" t="s">
        <v>84</v>
      </c>
      <c r="N1105" s="5">
        <v>270779554</v>
      </c>
      <c r="O1105" s="2" t="s">
        <v>380</v>
      </c>
      <c r="P1105" s="2" t="s">
        <v>86</v>
      </c>
      <c r="Q1105" s="4" t="s">
        <v>887</v>
      </c>
    </row>
    <row r="1106" spans="1:17" hidden="1" x14ac:dyDescent="0.2">
      <c r="A1106" s="2" t="s">
        <v>2082</v>
      </c>
      <c r="B1106" s="2" t="s">
        <v>33</v>
      </c>
      <c r="C1106" s="2" t="s">
        <v>83</v>
      </c>
      <c r="D1106" s="2" t="s">
        <v>20</v>
      </c>
      <c r="E1106" s="3">
        <v>98107</v>
      </c>
      <c r="F1106" s="4" t="s">
        <v>21</v>
      </c>
      <c r="G1106" s="2" t="s">
        <v>610</v>
      </c>
      <c r="H1106" s="2" t="s">
        <v>2057</v>
      </c>
      <c r="I1106" s="2" t="s">
        <v>212</v>
      </c>
      <c r="J1106" s="2" t="s">
        <v>298</v>
      </c>
      <c r="K1106" s="4" t="s">
        <v>27</v>
      </c>
      <c r="L1106" s="4" t="s">
        <v>27</v>
      </c>
      <c r="M1106" s="4" t="s">
        <v>436</v>
      </c>
      <c r="N1106" s="5">
        <v>255247443</v>
      </c>
      <c r="O1106" s="2" t="s">
        <v>869</v>
      </c>
      <c r="P1106" s="2" t="s">
        <v>86</v>
      </c>
      <c r="Q1106" s="4" t="s">
        <v>628</v>
      </c>
    </row>
    <row r="1107" spans="1:17" hidden="1" x14ac:dyDescent="0.2">
      <c r="A1107" s="2" t="s">
        <v>2083</v>
      </c>
      <c r="B1107" s="2" t="s">
        <v>33</v>
      </c>
      <c r="C1107" s="2" t="s">
        <v>669</v>
      </c>
      <c r="D1107" s="2" t="s">
        <v>20</v>
      </c>
      <c r="E1107" s="3">
        <v>98053</v>
      </c>
      <c r="F1107" s="4" t="s">
        <v>121</v>
      </c>
      <c r="G1107" s="2" t="s">
        <v>610</v>
      </c>
      <c r="H1107" s="2" t="s">
        <v>2057</v>
      </c>
      <c r="I1107" s="2" t="s">
        <v>212</v>
      </c>
      <c r="J1107" s="2" t="s">
        <v>298</v>
      </c>
      <c r="K1107" s="4" t="s">
        <v>27</v>
      </c>
      <c r="L1107" s="4" t="s">
        <v>27</v>
      </c>
      <c r="M1107" s="4" t="s">
        <v>198</v>
      </c>
      <c r="N1107" s="5">
        <v>267785542</v>
      </c>
      <c r="O1107" s="2" t="s">
        <v>1002</v>
      </c>
      <c r="P1107" s="2" t="s">
        <v>37</v>
      </c>
      <c r="Q1107" s="4" t="s">
        <v>1598</v>
      </c>
    </row>
    <row r="1108" spans="1:17" hidden="1" x14ac:dyDescent="0.2">
      <c r="A1108" s="2" t="s">
        <v>2084</v>
      </c>
      <c r="B1108" s="2" t="s">
        <v>175</v>
      </c>
      <c r="C1108" s="2" t="s">
        <v>176</v>
      </c>
      <c r="D1108" s="2" t="s">
        <v>20</v>
      </c>
      <c r="E1108" s="3">
        <v>98826</v>
      </c>
      <c r="F1108" s="4" t="s">
        <v>121</v>
      </c>
      <c r="G1108" s="2" t="s">
        <v>610</v>
      </c>
      <c r="H1108" s="2" t="s">
        <v>2057</v>
      </c>
      <c r="I1108" s="2" t="s">
        <v>212</v>
      </c>
      <c r="J1108" s="2" t="s">
        <v>298</v>
      </c>
      <c r="K1108" s="4" t="s">
        <v>27</v>
      </c>
      <c r="L1108" s="4" t="s">
        <v>27</v>
      </c>
      <c r="M1108" s="4" t="s">
        <v>177</v>
      </c>
      <c r="N1108" s="5">
        <v>264311281</v>
      </c>
      <c r="O1108" s="2" t="s">
        <v>178</v>
      </c>
      <c r="P1108" s="2" t="s">
        <v>179</v>
      </c>
      <c r="Q1108" s="4" t="s">
        <v>180</v>
      </c>
    </row>
    <row r="1109" spans="1:17" hidden="1" x14ac:dyDescent="0.2">
      <c r="A1109" s="2" t="s">
        <v>2085</v>
      </c>
      <c r="B1109" s="2" t="s">
        <v>1633</v>
      </c>
      <c r="C1109" s="2" t="s">
        <v>1634</v>
      </c>
      <c r="D1109" s="2" t="s">
        <v>20</v>
      </c>
      <c r="E1109" s="3">
        <v>99301</v>
      </c>
      <c r="F1109" s="4" t="s">
        <v>130</v>
      </c>
      <c r="G1109" s="2" t="s">
        <v>610</v>
      </c>
      <c r="H1109" s="2" t="s">
        <v>2086</v>
      </c>
      <c r="I1109" s="2" t="s">
        <v>212</v>
      </c>
      <c r="J1109" s="2" t="s">
        <v>298</v>
      </c>
      <c r="K1109" s="4" t="s">
        <v>27</v>
      </c>
      <c r="L1109" s="4" t="s">
        <v>27</v>
      </c>
      <c r="M1109" s="4" t="s">
        <v>1071</v>
      </c>
      <c r="N1109" s="5">
        <v>279203396</v>
      </c>
      <c r="O1109" s="2" t="s">
        <v>1635</v>
      </c>
      <c r="P1109" s="2" t="s">
        <v>1636</v>
      </c>
      <c r="Q1109" s="4" t="s">
        <v>2087</v>
      </c>
    </row>
    <row r="1110" spans="1:17" hidden="1" x14ac:dyDescent="0.2">
      <c r="A1110" s="2" t="s">
        <v>2088</v>
      </c>
      <c r="B1110" s="2" t="s">
        <v>33</v>
      </c>
      <c r="C1110" s="2" t="s">
        <v>146</v>
      </c>
      <c r="D1110" s="2" t="s">
        <v>20</v>
      </c>
      <c r="E1110" s="3">
        <v>98007</v>
      </c>
      <c r="F1110" s="4" t="s">
        <v>130</v>
      </c>
      <c r="G1110" s="2" t="s">
        <v>610</v>
      </c>
      <c r="H1110" s="2" t="s">
        <v>2086</v>
      </c>
      <c r="I1110" s="2" t="s">
        <v>212</v>
      </c>
      <c r="J1110" s="2" t="s">
        <v>298</v>
      </c>
      <c r="K1110" s="4" t="s">
        <v>27</v>
      </c>
      <c r="L1110" s="4" t="s">
        <v>27</v>
      </c>
      <c r="M1110" s="4" t="s">
        <v>147</v>
      </c>
      <c r="N1110" s="5">
        <v>284392251</v>
      </c>
      <c r="O1110" s="2" t="s">
        <v>753</v>
      </c>
      <c r="P1110" s="2" t="s">
        <v>37</v>
      </c>
      <c r="Q1110" s="4" t="s">
        <v>791</v>
      </c>
    </row>
    <row r="1111" spans="1:17" x14ac:dyDescent="0.2">
      <c r="A1111" s="2" t="s">
        <v>2089</v>
      </c>
      <c r="B1111" s="2" t="s">
        <v>33</v>
      </c>
      <c r="C1111" s="2" t="s">
        <v>464</v>
      </c>
      <c r="D1111" s="2" t="s">
        <v>20</v>
      </c>
      <c r="E1111" s="3">
        <v>98045</v>
      </c>
      <c r="F1111" s="4" t="s">
        <v>121</v>
      </c>
      <c r="G1111" s="2" t="s">
        <v>928</v>
      </c>
      <c r="H1111" s="2" t="s">
        <v>2090</v>
      </c>
      <c r="I1111" s="2" t="s">
        <v>24</v>
      </c>
      <c r="J1111" s="2" t="s">
        <v>213</v>
      </c>
      <c r="K1111" s="4" t="s">
        <v>44</v>
      </c>
      <c r="L1111" s="4" t="s">
        <v>27</v>
      </c>
      <c r="M1111" s="4" t="s">
        <v>35</v>
      </c>
      <c r="N1111" s="5">
        <v>264779357</v>
      </c>
      <c r="O1111" s="2" t="s">
        <v>465</v>
      </c>
      <c r="P1111" s="2" t="s">
        <v>466</v>
      </c>
      <c r="Q1111" s="4" t="s">
        <v>467</v>
      </c>
    </row>
    <row r="1112" spans="1:17" x14ac:dyDescent="0.2">
      <c r="A1112" s="2" t="s">
        <v>2091</v>
      </c>
      <c r="B1112" s="2" t="s">
        <v>33</v>
      </c>
      <c r="C1112" s="2" t="s">
        <v>146</v>
      </c>
      <c r="D1112" s="2" t="s">
        <v>20</v>
      </c>
      <c r="E1112" s="3">
        <v>98004</v>
      </c>
      <c r="F1112" s="4" t="s">
        <v>121</v>
      </c>
      <c r="G1112" s="2" t="s">
        <v>928</v>
      </c>
      <c r="H1112" s="2" t="s">
        <v>2090</v>
      </c>
      <c r="I1112" s="2" t="s">
        <v>24</v>
      </c>
      <c r="J1112" s="2" t="s">
        <v>213</v>
      </c>
      <c r="K1112" s="4" t="s">
        <v>44</v>
      </c>
      <c r="L1112" s="4" t="s">
        <v>27</v>
      </c>
      <c r="M1112" s="4" t="s">
        <v>147</v>
      </c>
      <c r="N1112" s="5">
        <v>276518231</v>
      </c>
      <c r="O1112" s="2" t="s">
        <v>148</v>
      </c>
      <c r="P1112" s="2" t="s">
        <v>37</v>
      </c>
      <c r="Q1112" s="4" t="s">
        <v>1193</v>
      </c>
    </row>
    <row r="1113" spans="1:17" x14ac:dyDescent="0.2">
      <c r="A1113" s="2" t="s">
        <v>2092</v>
      </c>
      <c r="B1113" s="2" t="s">
        <v>804</v>
      </c>
      <c r="C1113" s="2" t="s">
        <v>1445</v>
      </c>
      <c r="D1113" s="2" t="s">
        <v>20</v>
      </c>
      <c r="E1113" s="3">
        <v>99336</v>
      </c>
      <c r="F1113" s="4" t="s">
        <v>121</v>
      </c>
      <c r="G1113" s="2" t="s">
        <v>928</v>
      </c>
      <c r="H1113" s="2" t="s">
        <v>2090</v>
      </c>
      <c r="I1113" s="2" t="s">
        <v>24</v>
      </c>
      <c r="J1113" s="2" t="s">
        <v>213</v>
      </c>
      <c r="K1113" s="4" t="s">
        <v>44</v>
      </c>
      <c r="L1113" s="4" t="s">
        <v>27</v>
      </c>
      <c r="M1113" s="4" t="s">
        <v>806</v>
      </c>
      <c r="N1113" s="5">
        <v>271801729</v>
      </c>
      <c r="O1113" s="2" t="s">
        <v>1446</v>
      </c>
      <c r="P1113" s="2" t="s">
        <v>1447</v>
      </c>
      <c r="Q1113" s="4" t="s">
        <v>2093</v>
      </c>
    </row>
    <row r="1114" spans="1:17" x14ac:dyDescent="0.2">
      <c r="A1114" s="2" t="s">
        <v>2092</v>
      </c>
      <c r="B1114" s="2" t="s">
        <v>48</v>
      </c>
      <c r="C1114" s="2" t="s">
        <v>48</v>
      </c>
      <c r="D1114" s="2" t="s">
        <v>20</v>
      </c>
      <c r="E1114" s="3">
        <v>98908</v>
      </c>
      <c r="F1114" s="4" t="s">
        <v>121</v>
      </c>
      <c r="G1114" s="2" t="s">
        <v>928</v>
      </c>
      <c r="H1114" s="2" t="s">
        <v>2090</v>
      </c>
      <c r="I1114" s="2" t="s">
        <v>24</v>
      </c>
      <c r="J1114" s="2" t="s">
        <v>213</v>
      </c>
      <c r="K1114" s="4" t="s">
        <v>44</v>
      </c>
      <c r="L1114" s="4" t="s">
        <v>27</v>
      </c>
      <c r="M1114" s="4" t="s">
        <v>323</v>
      </c>
      <c r="N1114" s="5">
        <v>281395005</v>
      </c>
      <c r="O1114" s="2" t="s">
        <v>596</v>
      </c>
      <c r="P1114" s="2" t="s">
        <v>52</v>
      </c>
      <c r="Q1114" s="4" t="s">
        <v>1979</v>
      </c>
    </row>
    <row r="1115" spans="1:17" x14ac:dyDescent="0.2">
      <c r="A1115" s="2" t="s">
        <v>2094</v>
      </c>
      <c r="B1115" s="2" t="s">
        <v>55</v>
      </c>
      <c r="C1115" s="2" t="s">
        <v>63</v>
      </c>
      <c r="D1115" s="2" t="s">
        <v>20</v>
      </c>
      <c r="E1115" s="3">
        <v>98683</v>
      </c>
      <c r="F1115" s="4" t="s">
        <v>130</v>
      </c>
      <c r="G1115" s="2" t="s">
        <v>928</v>
      </c>
      <c r="H1115" s="2" t="s">
        <v>2090</v>
      </c>
      <c r="I1115" s="2" t="s">
        <v>24</v>
      </c>
      <c r="J1115" s="2" t="s">
        <v>213</v>
      </c>
      <c r="K1115" s="4" t="s">
        <v>44</v>
      </c>
      <c r="L1115" s="4" t="s">
        <v>27</v>
      </c>
      <c r="M1115" s="4" t="s">
        <v>58</v>
      </c>
      <c r="N1115" s="5">
        <v>284296806</v>
      </c>
      <c r="O1115" s="2" t="s">
        <v>1950</v>
      </c>
      <c r="P1115" s="2" t="s">
        <v>60</v>
      </c>
      <c r="Q1115" s="4" t="s">
        <v>1814</v>
      </c>
    </row>
    <row r="1116" spans="1:17" x14ac:dyDescent="0.2">
      <c r="A1116" s="2" t="s">
        <v>2095</v>
      </c>
      <c r="B1116" s="2" t="s">
        <v>55</v>
      </c>
      <c r="C1116" s="2" t="s">
        <v>63</v>
      </c>
      <c r="D1116" s="2" t="s">
        <v>20</v>
      </c>
      <c r="E1116" s="3">
        <v>98662</v>
      </c>
      <c r="F1116" s="4" t="s">
        <v>121</v>
      </c>
      <c r="G1116" s="2" t="s">
        <v>928</v>
      </c>
      <c r="H1116" s="2" t="s">
        <v>2090</v>
      </c>
      <c r="I1116" s="2" t="s">
        <v>24</v>
      </c>
      <c r="J1116" s="2" t="s">
        <v>213</v>
      </c>
      <c r="K1116" s="4" t="s">
        <v>44</v>
      </c>
      <c r="L1116" s="4" t="s">
        <v>27</v>
      </c>
      <c r="M1116" s="4" t="s">
        <v>64</v>
      </c>
      <c r="N1116" s="5">
        <v>277562568</v>
      </c>
      <c r="O1116" s="2" t="s">
        <v>192</v>
      </c>
      <c r="P1116" s="2" t="s">
        <v>60</v>
      </c>
      <c r="Q1116" s="4" t="s">
        <v>66</v>
      </c>
    </row>
    <row r="1117" spans="1:17" x14ac:dyDescent="0.2">
      <c r="A1117" s="2" t="s">
        <v>2096</v>
      </c>
      <c r="B1117" s="2" t="s">
        <v>48</v>
      </c>
      <c r="C1117" s="2" t="s">
        <v>48</v>
      </c>
      <c r="D1117" s="2" t="s">
        <v>20</v>
      </c>
      <c r="E1117" s="3">
        <v>98908</v>
      </c>
      <c r="F1117" s="4" t="s">
        <v>121</v>
      </c>
      <c r="G1117" s="2" t="s">
        <v>928</v>
      </c>
      <c r="H1117" s="2" t="s">
        <v>2090</v>
      </c>
      <c r="I1117" s="2" t="s">
        <v>24</v>
      </c>
      <c r="J1117" s="2" t="s">
        <v>213</v>
      </c>
      <c r="K1117" s="4" t="s">
        <v>44</v>
      </c>
      <c r="L1117" s="4" t="s">
        <v>27</v>
      </c>
      <c r="M1117" s="4" t="s">
        <v>323</v>
      </c>
      <c r="N1117" s="5">
        <v>271697716</v>
      </c>
      <c r="O1117" s="2" t="s">
        <v>596</v>
      </c>
      <c r="P1117" s="2" t="s">
        <v>52</v>
      </c>
      <c r="Q1117" s="4" t="s">
        <v>1979</v>
      </c>
    </row>
    <row r="1118" spans="1:17" x14ac:dyDescent="0.2">
      <c r="A1118" s="2" t="s">
        <v>2097</v>
      </c>
      <c r="B1118" s="2" t="s">
        <v>110</v>
      </c>
      <c r="C1118" s="2" t="s">
        <v>1745</v>
      </c>
      <c r="D1118" s="2" t="s">
        <v>20</v>
      </c>
      <c r="E1118" s="3">
        <v>98374</v>
      </c>
      <c r="F1118" s="4" t="s">
        <v>130</v>
      </c>
      <c r="G1118" s="2" t="s">
        <v>928</v>
      </c>
      <c r="H1118" s="2" t="s">
        <v>2090</v>
      </c>
      <c r="I1118" s="2" t="s">
        <v>24</v>
      </c>
      <c r="J1118" s="2" t="s">
        <v>213</v>
      </c>
      <c r="K1118" s="4" t="s">
        <v>44</v>
      </c>
      <c r="L1118" s="4" t="s">
        <v>27</v>
      </c>
      <c r="M1118" s="4" t="s">
        <v>43</v>
      </c>
      <c r="N1118" s="5">
        <v>278798642</v>
      </c>
      <c r="O1118" s="2" t="s">
        <v>1153</v>
      </c>
      <c r="P1118" s="2" t="s">
        <v>37</v>
      </c>
      <c r="Q1118" s="4" t="s">
        <v>1895</v>
      </c>
    </row>
    <row r="1119" spans="1:17" x14ac:dyDescent="0.2">
      <c r="A1119" s="2" t="s">
        <v>2098</v>
      </c>
      <c r="B1119" s="2" t="s">
        <v>33</v>
      </c>
      <c r="C1119" s="2" t="s">
        <v>146</v>
      </c>
      <c r="D1119" s="2" t="s">
        <v>20</v>
      </c>
      <c r="E1119" s="3">
        <v>98005</v>
      </c>
      <c r="F1119" s="4" t="s">
        <v>57</v>
      </c>
      <c r="G1119" s="2" t="s">
        <v>928</v>
      </c>
      <c r="H1119" s="2" t="s">
        <v>2090</v>
      </c>
      <c r="I1119" s="2" t="s">
        <v>24</v>
      </c>
      <c r="J1119" s="2" t="s">
        <v>25</v>
      </c>
      <c r="K1119" s="4" t="s">
        <v>43</v>
      </c>
      <c r="L1119" s="4" t="s">
        <v>27</v>
      </c>
      <c r="M1119" s="4" t="s">
        <v>147</v>
      </c>
      <c r="N1119" s="5">
        <v>226124055</v>
      </c>
      <c r="O1119" s="2" t="s">
        <v>448</v>
      </c>
      <c r="P1119" s="2" t="s">
        <v>37</v>
      </c>
      <c r="Q1119" s="4" t="s">
        <v>1343</v>
      </c>
    </row>
    <row r="1120" spans="1:17" x14ac:dyDescent="0.2">
      <c r="A1120" s="2" t="s">
        <v>2099</v>
      </c>
      <c r="B1120" s="2" t="s">
        <v>151</v>
      </c>
      <c r="C1120" s="2" t="s">
        <v>152</v>
      </c>
      <c r="D1120" s="2" t="s">
        <v>20</v>
      </c>
      <c r="E1120" s="3">
        <v>98516</v>
      </c>
      <c r="F1120" s="4" t="s">
        <v>42</v>
      </c>
      <c r="G1120" s="2" t="s">
        <v>928</v>
      </c>
      <c r="H1120" s="2" t="s">
        <v>2090</v>
      </c>
      <c r="I1120" s="2" t="s">
        <v>24</v>
      </c>
      <c r="J1120" s="2" t="s">
        <v>25</v>
      </c>
      <c r="K1120" s="4" t="s">
        <v>43</v>
      </c>
      <c r="L1120" s="4" t="s">
        <v>27</v>
      </c>
      <c r="M1120" s="4" t="s">
        <v>90</v>
      </c>
      <c r="N1120" s="5">
        <v>245544428</v>
      </c>
      <c r="O1120" s="2" t="s">
        <v>746</v>
      </c>
      <c r="P1120" s="2" t="s">
        <v>30</v>
      </c>
      <c r="Q1120" s="4" t="s">
        <v>747</v>
      </c>
    </row>
    <row r="1121" spans="1:17" x14ac:dyDescent="0.2">
      <c r="A1121" s="2" t="s">
        <v>2100</v>
      </c>
      <c r="B1121" s="2" t="s">
        <v>804</v>
      </c>
      <c r="C1121" s="2" t="s">
        <v>1445</v>
      </c>
      <c r="D1121" s="2" t="s">
        <v>20</v>
      </c>
      <c r="E1121" s="3">
        <v>99338</v>
      </c>
      <c r="F1121" s="4" t="s">
        <v>42</v>
      </c>
      <c r="G1121" s="2" t="s">
        <v>928</v>
      </c>
      <c r="H1121" s="2" t="s">
        <v>2090</v>
      </c>
      <c r="I1121" s="2" t="s">
        <v>24</v>
      </c>
      <c r="J1121" s="2" t="s">
        <v>25</v>
      </c>
      <c r="K1121" s="4" t="s">
        <v>43</v>
      </c>
      <c r="L1121" s="4" t="s">
        <v>27</v>
      </c>
      <c r="M1121" s="4" t="s">
        <v>806</v>
      </c>
      <c r="N1121" s="5">
        <v>253711657</v>
      </c>
      <c r="O1121" s="2" t="s">
        <v>1992</v>
      </c>
      <c r="P1121" s="2" t="s">
        <v>1447</v>
      </c>
      <c r="Q1121" s="4" t="s">
        <v>2101</v>
      </c>
    </row>
    <row r="1122" spans="1:17" x14ac:dyDescent="0.2">
      <c r="A1122" s="2" t="s">
        <v>2102</v>
      </c>
      <c r="B1122" s="2" t="s">
        <v>151</v>
      </c>
      <c r="C1122" s="2" t="s">
        <v>356</v>
      </c>
      <c r="D1122" s="2" t="s">
        <v>20</v>
      </c>
      <c r="E1122" s="3">
        <v>98597</v>
      </c>
      <c r="F1122" s="4" t="s">
        <v>42</v>
      </c>
      <c r="G1122" s="2" t="s">
        <v>928</v>
      </c>
      <c r="H1122" s="2" t="s">
        <v>2090</v>
      </c>
      <c r="I1122" s="2" t="s">
        <v>24</v>
      </c>
      <c r="J1122" s="2" t="s">
        <v>25</v>
      </c>
      <c r="K1122" s="4" t="s">
        <v>43</v>
      </c>
      <c r="L1122" s="4" t="s">
        <v>27</v>
      </c>
      <c r="M1122" s="4" t="s">
        <v>357</v>
      </c>
      <c r="N1122" s="5">
        <v>262162673</v>
      </c>
      <c r="O1122" s="2" t="s">
        <v>358</v>
      </c>
      <c r="P1122" s="2" t="s">
        <v>30</v>
      </c>
      <c r="Q1122" s="4" t="s">
        <v>2103</v>
      </c>
    </row>
    <row r="1123" spans="1:17" x14ac:dyDescent="0.2">
      <c r="A1123" s="2" t="s">
        <v>2104</v>
      </c>
      <c r="B1123" s="2" t="s">
        <v>33</v>
      </c>
      <c r="C1123" s="2" t="s">
        <v>290</v>
      </c>
      <c r="D1123" s="2" t="s">
        <v>20</v>
      </c>
      <c r="E1123" s="3">
        <v>98155</v>
      </c>
      <c r="F1123" s="4" t="s">
        <v>401</v>
      </c>
      <c r="G1123" s="2" t="s">
        <v>928</v>
      </c>
      <c r="H1123" s="2" t="s">
        <v>2090</v>
      </c>
      <c r="I1123" s="2" t="s">
        <v>24</v>
      </c>
      <c r="J1123" s="2" t="s">
        <v>25</v>
      </c>
      <c r="K1123" s="4" t="s">
        <v>43</v>
      </c>
      <c r="L1123" s="4" t="s">
        <v>27</v>
      </c>
      <c r="M1123" s="4" t="s">
        <v>74</v>
      </c>
      <c r="N1123" s="5">
        <v>229750776</v>
      </c>
      <c r="O1123" s="2" t="s">
        <v>616</v>
      </c>
      <c r="P1123" s="2" t="s">
        <v>86</v>
      </c>
      <c r="Q1123" s="4" t="s">
        <v>2105</v>
      </c>
    </row>
    <row r="1124" spans="1:17" x14ac:dyDescent="0.2">
      <c r="A1124" s="2" t="s">
        <v>2106</v>
      </c>
      <c r="B1124" s="2" t="s">
        <v>40</v>
      </c>
      <c r="C1124" s="2" t="s">
        <v>1902</v>
      </c>
      <c r="D1124" s="2" t="s">
        <v>20</v>
      </c>
      <c r="E1124" s="3">
        <v>98036</v>
      </c>
      <c r="F1124" s="4" t="s">
        <v>273</v>
      </c>
      <c r="G1124" s="2" t="s">
        <v>928</v>
      </c>
      <c r="H1124" s="2" t="s">
        <v>2090</v>
      </c>
      <c r="I1124" s="2" t="s">
        <v>24</v>
      </c>
      <c r="J1124" s="2" t="s">
        <v>25</v>
      </c>
      <c r="K1124" s="4" t="s">
        <v>43</v>
      </c>
      <c r="L1124" s="4" t="s">
        <v>27</v>
      </c>
      <c r="M1124" s="4" t="s">
        <v>170</v>
      </c>
      <c r="N1124" s="5">
        <v>348300508</v>
      </c>
      <c r="O1124" s="2" t="s">
        <v>75</v>
      </c>
      <c r="P1124" s="2" t="s">
        <v>30</v>
      </c>
      <c r="Q1124" s="4" t="s">
        <v>1916</v>
      </c>
    </row>
    <row r="1125" spans="1:17" x14ac:dyDescent="0.2">
      <c r="A1125" s="2" t="s">
        <v>2107</v>
      </c>
      <c r="B1125" s="2" t="s">
        <v>151</v>
      </c>
      <c r="C1125" s="2" t="s">
        <v>152</v>
      </c>
      <c r="D1125" s="2" t="s">
        <v>20</v>
      </c>
      <c r="E1125" s="3">
        <v>98512</v>
      </c>
      <c r="F1125" s="4" t="s">
        <v>408</v>
      </c>
      <c r="G1125" s="2" t="s">
        <v>928</v>
      </c>
      <c r="H1125" s="2" t="s">
        <v>2090</v>
      </c>
      <c r="I1125" s="2" t="s">
        <v>24</v>
      </c>
      <c r="J1125" s="2" t="s">
        <v>25</v>
      </c>
      <c r="K1125" s="4" t="s">
        <v>43</v>
      </c>
      <c r="L1125" s="4" t="s">
        <v>27</v>
      </c>
      <c r="M1125" s="4" t="s">
        <v>90</v>
      </c>
      <c r="N1125" s="5">
        <v>238060833</v>
      </c>
      <c r="O1125" s="2" t="s">
        <v>256</v>
      </c>
      <c r="P1125" s="2" t="s">
        <v>30</v>
      </c>
      <c r="Q1125" s="4" t="s">
        <v>257</v>
      </c>
    </row>
    <row r="1126" spans="1:17" x14ac:dyDescent="0.2">
      <c r="A1126" s="2" t="s">
        <v>2108</v>
      </c>
      <c r="B1126" s="2" t="s">
        <v>55</v>
      </c>
      <c r="C1126" s="2" t="s">
        <v>63</v>
      </c>
      <c r="D1126" s="2" t="s">
        <v>20</v>
      </c>
      <c r="E1126" s="3">
        <v>98660</v>
      </c>
      <c r="F1126" s="4" t="s">
        <v>401</v>
      </c>
      <c r="G1126" s="2" t="s">
        <v>928</v>
      </c>
      <c r="H1126" s="2" t="s">
        <v>2090</v>
      </c>
      <c r="I1126" s="2" t="s">
        <v>24</v>
      </c>
      <c r="J1126" s="2" t="s">
        <v>25</v>
      </c>
      <c r="K1126" s="4" t="s">
        <v>43</v>
      </c>
      <c r="L1126" s="4" t="s">
        <v>27</v>
      </c>
      <c r="M1126" s="4" t="s">
        <v>191</v>
      </c>
      <c r="N1126" s="5">
        <v>275788397</v>
      </c>
      <c r="O1126" s="2" t="s">
        <v>1433</v>
      </c>
      <c r="P1126" s="2" t="s">
        <v>60</v>
      </c>
      <c r="Q1126" s="4" t="s">
        <v>1434</v>
      </c>
    </row>
    <row r="1127" spans="1:17" x14ac:dyDescent="0.2">
      <c r="A1127" s="2" t="s">
        <v>2109</v>
      </c>
      <c r="B1127" s="2" t="s">
        <v>33</v>
      </c>
      <c r="C1127" s="2" t="s">
        <v>83</v>
      </c>
      <c r="D1127" s="2" t="s">
        <v>20</v>
      </c>
      <c r="E1127" s="3">
        <v>98102</v>
      </c>
      <c r="F1127" s="4" t="s">
        <v>408</v>
      </c>
      <c r="G1127" s="2" t="s">
        <v>928</v>
      </c>
      <c r="H1127" s="2" t="s">
        <v>2090</v>
      </c>
      <c r="I1127" s="2" t="s">
        <v>24</v>
      </c>
      <c r="J1127" s="2" t="s">
        <v>25</v>
      </c>
      <c r="K1127" s="4" t="s">
        <v>43</v>
      </c>
      <c r="L1127" s="4" t="s">
        <v>27</v>
      </c>
      <c r="M1127" s="4" t="s">
        <v>436</v>
      </c>
      <c r="N1127" s="5">
        <v>213457352</v>
      </c>
      <c r="O1127" s="2" t="s">
        <v>1552</v>
      </c>
      <c r="P1127" s="2" t="s">
        <v>86</v>
      </c>
      <c r="Q1127" s="4" t="s">
        <v>2110</v>
      </c>
    </row>
    <row r="1128" spans="1:17" x14ac:dyDescent="0.2">
      <c r="A1128" s="2" t="s">
        <v>2111</v>
      </c>
      <c r="B1128" s="2" t="s">
        <v>94</v>
      </c>
      <c r="C1128" s="2" t="s">
        <v>125</v>
      </c>
      <c r="D1128" s="2" t="s">
        <v>20</v>
      </c>
      <c r="E1128" s="3">
        <v>98277</v>
      </c>
      <c r="F1128" s="4" t="s">
        <v>371</v>
      </c>
      <c r="G1128" s="2" t="s">
        <v>928</v>
      </c>
      <c r="H1128" s="2" t="s">
        <v>2090</v>
      </c>
      <c r="I1128" s="2" t="s">
        <v>24</v>
      </c>
      <c r="J1128" s="2" t="s">
        <v>25</v>
      </c>
      <c r="K1128" s="4" t="s">
        <v>43</v>
      </c>
      <c r="L1128" s="4" t="s">
        <v>27</v>
      </c>
      <c r="M1128" s="4" t="s">
        <v>96</v>
      </c>
      <c r="N1128" s="5">
        <v>469731104</v>
      </c>
      <c r="O1128" s="2" t="s">
        <v>126</v>
      </c>
      <c r="P1128" s="2" t="s">
        <v>30</v>
      </c>
      <c r="Q1128" s="4" t="s">
        <v>2078</v>
      </c>
    </row>
    <row r="1129" spans="1:17" x14ac:dyDescent="0.2">
      <c r="A1129" s="2" t="s">
        <v>2112</v>
      </c>
      <c r="B1129" s="2" t="s">
        <v>55</v>
      </c>
      <c r="C1129" s="2" t="s">
        <v>56</v>
      </c>
      <c r="D1129" s="2" t="s">
        <v>20</v>
      </c>
      <c r="E1129" s="3">
        <v>98607</v>
      </c>
      <c r="F1129" s="4" t="s">
        <v>273</v>
      </c>
      <c r="G1129" s="2" t="s">
        <v>928</v>
      </c>
      <c r="H1129" s="2" t="s">
        <v>2090</v>
      </c>
      <c r="I1129" s="2" t="s">
        <v>24</v>
      </c>
      <c r="J1129" s="2" t="s">
        <v>25</v>
      </c>
      <c r="K1129" s="4" t="s">
        <v>43</v>
      </c>
      <c r="L1129" s="4" t="s">
        <v>27</v>
      </c>
      <c r="M1129" s="4" t="s">
        <v>58</v>
      </c>
      <c r="N1129" s="5">
        <v>216693739</v>
      </c>
      <c r="O1129" s="2" t="s">
        <v>59</v>
      </c>
      <c r="P1129" s="2" t="s">
        <v>60</v>
      </c>
      <c r="Q1129" s="4" t="s">
        <v>1310</v>
      </c>
    </row>
    <row r="1130" spans="1:17" x14ac:dyDescent="0.2">
      <c r="A1130" s="2" t="s">
        <v>2113</v>
      </c>
      <c r="B1130" s="2" t="s">
        <v>33</v>
      </c>
      <c r="C1130" s="2" t="s">
        <v>83</v>
      </c>
      <c r="D1130" s="2" t="s">
        <v>20</v>
      </c>
      <c r="E1130" s="3">
        <v>98103</v>
      </c>
      <c r="F1130" s="4" t="s">
        <v>371</v>
      </c>
      <c r="G1130" s="2" t="s">
        <v>928</v>
      </c>
      <c r="H1130" s="2" t="s">
        <v>2090</v>
      </c>
      <c r="I1130" s="2" t="s">
        <v>24</v>
      </c>
      <c r="J1130" s="2" t="s">
        <v>25</v>
      </c>
      <c r="K1130" s="4" t="s">
        <v>43</v>
      </c>
      <c r="L1130" s="4" t="s">
        <v>27</v>
      </c>
      <c r="M1130" s="4" t="s">
        <v>278</v>
      </c>
      <c r="N1130" s="5">
        <v>337551819</v>
      </c>
      <c r="O1130" s="2" t="s">
        <v>627</v>
      </c>
      <c r="P1130" s="2" t="s">
        <v>86</v>
      </c>
      <c r="Q1130" s="4" t="s">
        <v>2114</v>
      </c>
    </row>
    <row r="1131" spans="1:17" x14ac:dyDescent="0.2">
      <c r="A1131" s="2" t="s">
        <v>2115</v>
      </c>
      <c r="B1131" s="2" t="s">
        <v>94</v>
      </c>
      <c r="C1131" s="2" t="s">
        <v>95</v>
      </c>
      <c r="D1131" s="2" t="s">
        <v>20</v>
      </c>
      <c r="E1131" s="3">
        <v>98260</v>
      </c>
      <c r="F1131" s="4" t="s">
        <v>408</v>
      </c>
      <c r="G1131" s="2" t="s">
        <v>928</v>
      </c>
      <c r="H1131" s="2" t="s">
        <v>2090</v>
      </c>
      <c r="I1131" s="2" t="s">
        <v>24</v>
      </c>
      <c r="J1131" s="2" t="s">
        <v>25</v>
      </c>
      <c r="K1131" s="4" t="s">
        <v>43</v>
      </c>
      <c r="L1131" s="4" t="s">
        <v>27</v>
      </c>
      <c r="M1131" s="4" t="s">
        <v>96</v>
      </c>
      <c r="N1131" s="5">
        <v>185434854</v>
      </c>
      <c r="O1131" s="2" t="s">
        <v>97</v>
      </c>
      <c r="P1131" s="2" t="s">
        <v>30</v>
      </c>
      <c r="Q1131" s="4" t="s">
        <v>98</v>
      </c>
    </row>
    <row r="1132" spans="1:17" x14ac:dyDescent="0.2">
      <c r="A1132" s="2" t="s">
        <v>2116</v>
      </c>
      <c r="B1132" s="2" t="s">
        <v>33</v>
      </c>
      <c r="C1132" s="2" t="s">
        <v>139</v>
      </c>
      <c r="D1132" s="2" t="s">
        <v>20</v>
      </c>
      <c r="E1132" s="3">
        <v>98055</v>
      </c>
      <c r="F1132" s="4" t="s">
        <v>227</v>
      </c>
      <c r="G1132" s="2" t="s">
        <v>928</v>
      </c>
      <c r="H1132" s="2" t="s">
        <v>2117</v>
      </c>
      <c r="I1132" s="2" t="s">
        <v>24</v>
      </c>
      <c r="J1132" s="2" t="s">
        <v>25</v>
      </c>
      <c r="K1132" s="4" t="s">
        <v>332</v>
      </c>
      <c r="L1132" s="4" t="s">
        <v>27</v>
      </c>
      <c r="M1132" s="4" t="s">
        <v>140</v>
      </c>
      <c r="N1132" s="5">
        <v>127527865</v>
      </c>
      <c r="O1132" s="2" t="s">
        <v>889</v>
      </c>
      <c r="P1132" s="2" t="s">
        <v>37</v>
      </c>
      <c r="Q1132" s="4" t="s">
        <v>890</v>
      </c>
    </row>
    <row r="1133" spans="1:17" x14ac:dyDescent="0.2">
      <c r="A1133" s="2" t="s">
        <v>2118</v>
      </c>
      <c r="B1133" s="2" t="s">
        <v>33</v>
      </c>
      <c r="C1133" s="2" t="s">
        <v>186</v>
      </c>
      <c r="D1133" s="2" t="s">
        <v>20</v>
      </c>
      <c r="E1133" s="3">
        <v>98003</v>
      </c>
      <c r="F1133" s="4" t="s">
        <v>227</v>
      </c>
      <c r="G1133" s="2" t="s">
        <v>928</v>
      </c>
      <c r="H1133" s="2" t="s">
        <v>2117</v>
      </c>
      <c r="I1133" s="2" t="s">
        <v>24</v>
      </c>
      <c r="J1133" s="2" t="s">
        <v>25</v>
      </c>
      <c r="K1133" s="4" t="s">
        <v>332</v>
      </c>
      <c r="L1133" s="4" t="s">
        <v>27</v>
      </c>
      <c r="M1133" s="4" t="s">
        <v>187</v>
      </c>
      <c r="N1133" s="5">
        <v>235088766</v>
      </c>
      <c r="O1133" s="2" t="s">
        <v>458</v>
      </c>
      <c r="P1133" s="2" t="s">
        <v>37</v>
      </c>
      <c r="Q1133" s="4" t="s">
        <v>1821</v>
      </c>
    </row>
    <row r="1134" spans="1:17" hidden="1" x14ac:dyDescent="0.2">
      <c r="A1134" s="2" t="s">
        <v>2119</v>
      </c>
      <c r="B1134" s="2" t="s">
        <v>40</v>
      </c>
      <c r="C1134" s="2" t="s">
        <v>89</v>
      </c>
      <c r="D1134" s="2" t="s">
        <v>20</v>
      </c>
      <c r="E1134" s="3">
        <v>98012</v>
      </c>
      <c r="F1134" s="4" t="s">
        <v>121</v>
      </c>
      <c r="G1134" s="2" t="s">
        <v>2120</v>
      </c>
      <c r="H1134" s="2" t="s">
        <v>2121</v>
      </c>
      <c r="I1134" s="2" t="s">
        <v>212</v>
      </c>
      <c r="J1134" s="2" t="s">
        <v>298</v>
      </c>
      <c r="K1134" s="4" t="s">
        <v>27</v>
      </c>
      <c r="L1134" s="4" t="s">
        <v>27</v>
      </c>
      <c r="M1134" s="4" t="s">
        <v>116</v>
      </c>
      <c r="N1134" s="5">
        <v>272572562</v>
      </c>
      <c r="O1134" s="2" t="s">
        <v>91</v>
      </c>
      <c r="P1134" s="2" t="s">
        <v>30</v>
      </c>
      <c r="Q1134" s="4" t="s">
        <v>521</v>
      </c>
    </row>
    <row r="1135" spans="1:17" hidden="1" x14ac:dyDescent="0.2">
      <c r="A1135" s="2" t="s">
        <v>2122</v>
      </c>
      <c r="B1135" s="2" t="s">
        <v>33</v>
      </c>
      <c r="C1135" s="2" t="s">
        <v>290</v>
      </c>
      <c r="D1135" s="2" t="s">
        <v>20</v>
      </c>
      <c r="E1135" s="3">
        <v>98155</v>
      </c>
      <c r="F1135" s="4" t="s">
        <v>121</v>
      </c>
      <c r="G1135" s="2" t="s">
        <v>2120</v>
      </c>
      <c r="H1135" s="2" t="s">
        <v>2121</v>
      </c>
      <c r="I1135" s="2" t="s">
        <v>212</v>
      </c>
      <c r="J1135" s="2" t="s">
        <v>298</v>
      </c>
      <c r="K1135" s="4" t="s">
        <v>27</v>
      </c>
      <c r="L1135" s="4" t="s">
        <v>27</v>
      </c>
      <c r="M1135" s="4" t="s">
        <v>74</v>
      </c>
      <c r="N1135" s="5">
        <v>269363720</v>
      </c>
      <c r="O1135" s="2" t="s">
        <v>616</v>
      </c>
      <c r="P1135" s="2" t="s">
        <v>86</v>
      </c>
      <c r="Q1135" s="4" t="s">
        <v>617</v>
      </c>
    </row>
    <row r="1136" spans="1:17" hidden="1" x14ac:dyDescent="0.2">
      <c r="A1136" s="2" t="s">
        <v>2123</v>
      </c>
      <c r="B1136" s="2" t="s">
        <v>33</v>
      </c>
      <c r="C1136" s="2" t="s">
        <v>186</v>
      </c>
      <c r="D1136" s="2" t="s">
        <v>20</v>
      </c>
      <c r="E1136" s="3">
        <v>98023</v>
      </c>
      <c r="F1136" s="4" t="s">
        <v>21</v>
      </c>
      <c r="G1136" s="2" t="s">
        <v>2120</v>
      </c>
      <c r="H1136" s="2" t="s">
        <v>2121</v>
      </c>
      <c r="I1136" s="2" t="s">
        <v>212</v>
      </c>
      <c r="J1136" s="2" t="s">
        <v>298</v>
      </c>
      <c r="K1136" s="4" t="s">
        <v>27</v>
      </c>
      <c r="L1136" s="4" t="s">
        <v>27</v>
      </c>
      <c r="M1136" s="4" t="s">
        <v>187</v>
      </c>
      <c r="N1136" s="5">
        <v>267651233</v>
      </c>
      <c r="O1136" s="2" t="s">
        <v>188</v>
      </c>
      <c r="P1136" s="2" t="s">
        <v>37</v>
      </c>
      <c r="Q1136" s="4" t="s">
        <v>1238</v>
      </c>
    </row>
    <row r="1137" spans="1:17" x14ac:dyDescent="0.2">
      <c r="A1137" s="2" t="s">
        <v>2124</v>
      </c>
      <c r="B1137" s="2" t="s">
        <v>33</v>
      </c>
      <c r="C1137" s="2" t="s">
        <v>83</v>
      </c>
      <c r="D1137" s="2" t="s">
        <v>20</v>
      </c>
      <c r="E1137" s="3">
        <v>98125</v>
      </c>
      <c r="F1137" s="4" t="s">
        <v>21</v>
      </c>
      <c r="G1137" s="2" t="s">
        <v>2120</v>
      </c>
      <c r="H1137" s="2" t="s">
        <v>2125</v>
      </c>
      <c r="I1137" s="2" t="s">
        <v>24</v>
      </c>
      <c r="J1137" s="2" t="s">
        <v>213</v>
      </c>
      <c r="K1137" s="4" t="s">
        <v>284</v>
      </c>
      <c r="L1137" s="4" t="s">
        <v>27</v>
      </c>
      <c r="M1137" s="4" t="s">
        <v>278</v>
      </c>
      <c r="N1137" s="5">
        <v>249896314</v>
      </c>
      <c r="O1137" s="2" t="s">
        <v>279</v>
      </c>
      <c r="P1137" s="2" t="s">
        <v>86</v>
      </c>
      <c r="Q1137" s="4" t="s">
        <v>613</v>
      </c>
    </row>
    <row r="1138" spans="1:17" x14ac:dyDescent="0.2">
      <c r="A1138" s="2" t="s">
        <v>2126</v>
      </c>
      <c r="B1138" s="2" t="s">
        <v>1376</v>
      </c>
      <c r="C1138" s="2" t="s">
        <v>2127</v>
      </c>
      <c r="D1138" s="2" t="s">
        <v>20</v>
      </c>
      <c r="E1138" s="3">
        <v>98626</v>
      </c>
      <c r="F1138" s="4" t="s">
        <v>121</v>
      </c>
      <c r="G1138" s="2" t="s">
        <v>2120</v>
      </c>
      <c r="H1138" s="2" t="s">
        <v>2125</v>
      </c>
      <c r="I1138" s="2" t="s">
        <v>24</v>
      </c>
      <c r="J1138" s="2" t="s">
        <v>213</v>
      </c>
      <c r="K1138" s="4" t="s">
        <v>284</v>
      </c>
      <c r="L1138" s="4" t="s">
        <v>27</v>
      </c>
      <c r="M1138" s="4" t="s">
        <v>79</v>
      </c>
      <c r="N1138" s="5">
        <v>258263918</v>
      </c>
      <c r="O1138" s="2" t="s">
        <v>2128</v>
      </c>
      <c r="P1138" s="2" t="s">
        <v>1379</v>
      </c>
      <c r="Q1138" s="4" t="s">
        <v>2129</v>
      </c>
    </row>
    <row r="1139" spans="1:17" x14ac:dyDescent="0.2">
      <c r="A1139" s="2" t="s">
        <v>2130</v>
      </c>
      <c r="B1139" s="2" t="s">
        <v>18</v>
      </c>
      <c r="C1139" s="2" t="s">
        <v>100</v>
      </c>
      <c r="D1139" s="2" t="s">
        <v>20</v>
      </c>
      <c r="E1139" s="3">
        <v>98366</v>
      </c>
      <c r="F1139" s="4" t="s">
        <v>130</v>
      </c>
      <c r="G1139" s="2" t="s">
        <v>2120</v>
      </c>
      <c r="H1139" s="2" t="s">
        <v>2125</v>
      </c>
      <c r="I1139" s="2" t="s">
        <v>24</v>
      </c>
      <c r="J1139" s="2" t="s">
        <v>213</v>
      </c>
      <c r="K1139" s="4" t="s">
        <v>284</v>
      </c>
      <c r="L1139" s="4" t="s">
        <v>27</v>
      </c>
      <c r="M1139" s="4" t="s">
        <v>101</v>
      </c>
      <c r="N1139" s="5">
        <v>276482545</v>
      </c>
      <c r="O1139" s="2" t="s">
        <v>102</v>
      </c>
      <c r="P1139" s="2" t="s">
        <v>30</v>
      </c>
      <c r="Q1139" s="4" t="s">
        <v>2029</v>
      </c>
    </row>
    <row r="1140" spans="1:17" x14ac:dyDescent="0.2">
      <c r="A1140" s="2" t="s">
        <v>2131</v>
      </c>
      <c r="B1140" s="2" t="s">
        <v>110</v>
      </c>
      <c r="C1140" s="2" t="s">
        <v>1745</v>
      </c>
      <c r="D1140" s="2" t="s">
        <v>20</v>
      </c>
      <c r="E1140" s="3">
        <v>98371</v>
      </c>
      <c r="F1140" s="4" t="s">
        <v>130</v>
      </c>
      <c r="G1140" s="2" t="s">
        <v>2120</v>
      </c>
      <c r="H1140" s="2" t="s">
        <v>2125</v>
      </c>
      <c r="I1140" s="2" t="s">
        <v>24</v>
      </c>
      <c r="J1140" s="2" t="s">
        <v>213</v>
      </c>
      <c r="K1140" s="4" t="s">
        <v>284</v>
      </c>
      <c r="L1140" s="4" t="s">
        <v>27</v>
      </c>
      <c r="M1140" s="4" t="s">
        <v>43</v>
      </c>
      <c r="N1140" s="5">
        <v>276360619</v>
      </c>
      <c r="O1140" s="2" t="s">
        <v>1746</v>
      </c>
      <c r="P1140" s="2" t="s">
        <v>37</v>
      </c>
      <c r="Q1140" s="4" t="s">
        <v>1747</v>
      </c>
    </row>
    <row r="1141" spans="1:17" x14ac:dyDescent="0.2">
      <c r="A1141" s="2" t="s">
        <v>2132</v>
      </c>
      <c r="B1141" s="2" t="s">
        <v>94</v>
      </c>
      <c r="C1141" s="2" t="s">
        <v>125</v>
      </c>
      <c r="D1141" s="2" t="s">
        <v>20</v>
      </c>
      <c r="E1141" s="3">
        <v>98277</v>
      </c>
      <c r="F1141" s="4" t="s">
        <v>57</v>
      </c>
      <c r="G1141" s="2" t="s">
        <v>2120</v>
      </c>
      <c r="H1141" s="2" t="s">
        <v>2125</v>
      </c>
      <c r="I1141" s="2" t="s">
        <v>24</v>
      </c>
      <c r="J1141" s="2" t="s">
        <v>213</v>
      </c>
      <c r="K1141" s="4" t="s">
        <v>284</v>
      </c>
      <c r="L1141" s="4" t="s">
        <v>27</v>
      </c>
      <c r="M1141" s="4" t="s">
        <v>96</v>
      </c>
      <c r="N1141" s="5">
        <v>207405397</v>
      </c>
      <c r="O1141" s="2" t="s">
        <v>126</v>
      </c>
      <c r="P1141" s="2" t="s">
        <v>30</v>
      </c>
      <c r="Q1141" s="4" t="s">
        <v>2133</v>
      </c>
    </row>
    <row r="1142" spans="1:17" x14ac:dyDescent="0.2">
      <c r="A1142" s="2" t="s">
        <v>2134</v>
      </c>
      <c r="B1142" s="2" t="s">
        <v>33</v>
      </c>
      <c r="C1142" s="2" t="s">
        <v>146</v>
      </c>
      <c r="D1142" s="2" t="s">
        <v>20</v>
      </c>
      <c r="E1142" s="3">
        <v>98008</v>
      </c>
      <c r="F1142" s="4" t="s">
        <v>121</v>
      </c>
      <c r="G1142" s="2" t="s">
        <v>2120</v>
      </c>
      <c r="H1142" s="2" t="s">
        <v>2125</v>
      </c>
      <c r="I1142" s="2" t="s">
        <v>24</v>
      </c>
      <c r="J1142" s="2" t="s">
        <v>213</v>
      </c>
      <c r="K1142" s="4" t="s">
        <v>284</v>
      </c>
      <c r="L1142" s="4" t="s">
        <v>27</v>
      </c>
      <c r="M1142" s="4" t="s">
        <v>147</v>
      </c>
      <c r="N1142" s="5">
        <v>264771573</v>
      </c>
      <c r="O1142" s="2" t="s">
        <v>537</v>
      </c>
      <c r="P1142" s="2" t="s">
        <v>37</v>
      </c>
      <c r="Q1142" s="4" t="s">
        <v>1207</v>
      </c>
    </row>
    <row r="1143" spans="1:17" hidden="1" x14ac:dyDescent="0.2">
      <c r="A1143" s="2" t="s">
        <v>2135</v>
      </c>
      <c r="B1143" s="2" t="s">
        <v>207</v>
      </c>
      <c r="C1143" s="2" t="s">
        <v>426</v>
      </c>
      <c r="D1143" s="2" t="s">
        <v>20</v>
      </c>
      <c r="E1143" s="3">
        <v>98257</v>
      </c>
      <c r="F1143" s="4" t="s">
        <v>130</v>
      </c>
      <c r="G1143" s="2" t="s">
        <v>928</v>
      </c>
      <c r="H1143" s="2" t="s">
        <v>2136</v>
      </c>
      <c r="I1143" s="2" t="s">
        <v>212</v>
      </c>
      <c r="J1143" s="2" t="s">
        <v>298</v>
      </c>
      <c r="K1143" s="4" t="s">
        <v>27</v>
      </c>
      <c r="L1143" s="4" t="s">
        <v>27</v>
      </c>
      <c r="M1143" s="4" t="s">
        <v>96</v>
      </c>
      <c r="N1143" s="5">
        <v>282332046</v>
      </c>
      <c r="O1143" s="2" t="s">
        <v>427</v>
      </c>
      <c r="P1143" s="2" t="s">
        <v>30</v>
      </c>
      <c r="Q1143" s="4" t="s">
        <v>2137</v>
      </c>
    </row>
    <row r="1144" spans="1:17" x14ac:dyDescent="0.2">
      <c r="A1144" s="2" t="s">
        <v>2138</v>
      </c>
      <c r="B1144" s="2" t="s">
        <v>40</v>
      </c>
      <c r="C1144" s="2" t="s">
        <v>1385</v>
      </c>
      <c r="D1144" s="2" t="s">
        <v>20</v>
      </c>
      <c r="E1144" s="3">
        <v>98272</v>
      </c>
      <c r="F1144" s="4" t="s">
        <v>121</v>
      </c>
      <c r="G1144" s="2" t="s">
        <v>928</v>
      </c>
      <c r="H1144" s="2" t="s">
        <v>2139</v>
      </c>
      <c r="I1144" s="2" t="s">
        <v>24</v>
      </c>
      <c r="J1144" s="2" t="s">
        <v>213</v>
      </c>
      <c r="K1144" s="4" t="s">
        <v>690</v>
      </c>
      <c r="L1144" s="4" t="s">
        <v>27</v>
      </c>
      <c r="M1144" s="4" t="s">
        <v>44</v>
      </c>
      <c r="N1144" s="5">
        <v>261237980</v>
      </c>
      <c r="O1144" s="2" t="s">
        <v>1386</v>
      </c>
      <c r="P1144" s="2" t="s">
        <v>30</v>
      </c>
      <c r="Q1144" s="4" t="s">
        <v>1387</v>
      </c>
    </row>
    <row r="1145" spans="1:17" x14ac:dyDescent="0.2">
      <c r="A1145" s="2" t="s">
        <v>2140</v>
      </c>
      <c r="B1145" s="2" t="s">
        <v>55</v>
      </c>
      <c r="C1145" s="2" t="s">
        <v>282</v>
      </c>
      <c r="D1145" s="2" t="s">
        <v>20</v>
      </c>
      <c r="E1145" s="3">
        <v>98671</v>
      </c>
      <c r="F1145" s="4" t="s">
        <v>121</v>
      </c>
      <c r="G1145" s="2" t="s">
        <v>928</v>
      </c>
      <c r="H1145" s="2" t="s">
        <v>2139</v>
      </c>
      <c r="I1145" s="2" t="s">
        <v>24</v>
      </c>
      <c r="J1145" s="2" t="s">
        <v>213</v>
      </c>
      <c r="K1145" s="4" t="s">
        <v>690</v>
      </c>
      <c r="L1145" s="4" t="s">
        <v>27</v>
      </c>
      <c r="M1145" s="4" t="s">
        <v>58</v>
      </c>
      <c r="N1145" s="5">
        <v>269275695</v>
      </c>
      <c r="O1145" s="2" t="s">
        <v>285</v>
      </c>
      <c r="P1145" s="2" t="s">
        <v>60</v>
      </c>
      <c r="Q1145" s="4" t="s">
        <v>286</v>
      </c>
    </row>
    <row r="1146" spans="1:17" x14ac:dyDescent="0.2">
      <c r="A1146" s="2" t="s">
        <v>2141</v>
      </c>
      <c r="B1146" s="2" t="s">
        <v>18</v>
      </c>
      <c r="C1146" s="2" t="s">
        <v>234</v>
      </c>
      <c r="D1146" s="2" t="s">
        <v>20</v>
      </c>
      <c r="E1146" s="3">
        <v>98110</v>
      </c>
      <c r="F1146" s="4" t="s">
        <v>57</v>
      </c>
      <c r="G1146" s="2" t="s">
        <v>928</v>
      </c>
      <c r="H1146" s="2" t="s">
        <v>2139</v>
      </c>
      <c r="I1146" s="2" t="s">
        <v>24</v>
      </c>
      <c r="J1146" s="2" t="s">
        <v>213</v>
      </c>
      <c r="K1146" s="4" t="s">
        <v>690</v>
      </c>
      <c r="L1146" s="4" t="s">
        <v>27</v>
      </c>
      <c r="M1146" s="4" t="s">
        <v>28</v>
      </c>
      <c r="N1146" s="5">
        <v>213656180</v>
      </c>
      <c r="O1146" s="2" t="s">
        <v>235</v>
      </c>
      <c r="P1146" s="2" t="s">
        <v>30</v>
      </c>
      <c r="Q1146" s="4" t="s">
        <v>788</v>
      </c>
    </row>
    <row r="1147" spans="1:17" x14ac:dyDescent="0.2">
      <c r="A1147" s="2" t="s">
        <v>2142</v>
      </c>
      <c r="B1147" s="2" t="s">
        <v>94</v>
      </c>
      <c r="C1147" s="2" t="s">
        <v>775</v>
      </c>
      <c r="D1147" s="2" t="s">
        <v>20</v>
      </c>
      <c r="E1147" s="3">
        <v>98249</v>
      </c>
      <c r="F1147" s="4" t="s">
        <v>57</v>
      </c>
      <c r="G1147" s="2" t="s">
        <v>928</v>
      </c>
      <c r="H1147" s="2" t="s">
        <v>2139</v>
      </c>
      <c r="I1147" s="2" t="s">
        <v>24</v>
      </c>
      <c r="J1147" s="2" t="s">
        <v>213</v>
      </c>
      <c r="K1147" s="4" t="s">
        <v>690</v>
      </c>
      <c r="L1147" s="4" t="s">
        <v>27</v>
      </c>
      <c r="M1147" s="4" t="s">
        <v>96</v>
      </c>
      <c r="N1147" s="5">
        <v>225794775</v>
      </c>
      <c r="O1147" s="2" t="s">
        <v>776</v>
      </c>
      <c r="P1147" s="2" t="s">
        <v>30</v>
      </c>
      <c r="Q1147" s="4" t="s">
        <v>1416</v>
      </c>
    </row>
    <row r="1148" spans="1:17" x14ac:dyDescent="0.2">
      <c r="A1148" s="2" t="s">
        <v>2143</v>
      </c>
      <c r="B1148" s="2" t="s">
        <v>33</v>
      </c>
      <c r="C1148" s="2" t="s">
        <v>146</v>
      </c>
      <c r="D1148" s="2" t="s">
        <v>20</v>
      </c>
      <c r="E1148" s="3">
        <v>98005</v>
      </c>
      <c r="F1148" s="4" t="s">
        <v>21</v>
      </c>
      <c r="G1148" s="2" t="s">
        <v>928</v>
      </c>
      <c r="H1148" s="2" t="s">
        <v>2139</v>
      </c>
      <c r="I1148" s="2" t="s">
        <v>24</v>
      </c>
      <c r="J1148" s="2" t="s">
        <v>213</v>
      </c>
      <c r="K1148" s="4" t="s">
        <v>690</v>
      </c>
      <c r="L1148" s="4" t="s">
        <v>27</v>
      </c>
      <c r="M1148" s="4" t="s">
        <v>147</v>
      </c>
      <c r="N1148" s="5">
        <v>238035969</v>
      </c>
      <c r="O1148" s="2" t="s">
        <v>448</v>
      </c>
      <c r="P1148" s="2" t="s">
        <v>37</v>
      </c>
      <c r="Q1148" s="4" t="s">
        <v>195</v>
      </c>
    </row>
    <row r="1149" spans="1:17" x14ac:dyDescent="0.2">
      <c r="A1149" s="2" t="s">
        <v>2144</v>
      </c>
      <c r="B1149" s="2" t="s">
        <v>151</v>
      </c>
      <c r="C1149" s="2" t="s">
        <v>883</v>
      </c>
      <c r="D1149" s="2" t="s">
        <v>20</v>
      </c>
      <c r="E1149" s="3">
        <v>98576</v>
      </c>
      <c r="F1149" s="4" t="s">
        <v>21</v>
      </c>
      <c r="G1149" s="2" t="s">
        <v>928</v>
      </c>
      <c r="H1149" s="2" t="s">
        <v>2139</v>
      </c>
      <c r="I1149" s="2" t="s">
        <v>24</v>
      </c>
      <c r="J1149" s="2" t="s">
        <v>213</v>
      </c>
      <c r="K1149" s="4" t="s">
        <v>690</v>
      </c>
      <c r="L1149" s="4" t="s">
        <v>27</v>
      </c>
      <c r="M1149" s="4" t="s">
        <v>357</v>
      </c>
      <c r="N1149" s="5">
        <v>236505139</v>
      </c>
      <c r="O1149" s="2" t="s">
        <v>884</v>
      </c>
      <c r="P1149" s="2" t="s">
        <v>30</v>
      </c>
      <c r="Q1149" s="4" t="s">
        <v>885</v>
      </c>
    </row>
    <row r="1150" spans="1:17" x14ac:dyDescent="0.2">
      <c r="A1150" s="2" t="s">
        <v>2145</v>
      </c>
      <c r="B1150" s="2" t="s">
        <v>33</v>
      </c>
      <c r="C1150" s="2" t="s">
        <v>83</v>
      </c>
      <c r="D1150" s="2" t="s">
        <v>20</v>
      </c>
      <c r="E1150" s="3">
        <v>98146</v>
      </c>
      <c r="F1150" s="4" t="s">
        <v>121</v>
      </c>
      <c r="G1150" s="2" t="s">
        <v>928</v>
      </c>
      <c r="H1150" s="2" t="s">
        <v>2139</v>
      </c>
      <c r="I1150" s="2" t="s">
        <v>24</v>
      </c>
      <c r="J1150" s="2" t="s">
        <v>213</v>
      </c>
      <c r="K1150" s="4" t="s">
        <v>690</v>
      </c>
      <c r="L1150" s="4" t="s">
        <v>27</v>
      </c>
      <c r="M1150" s="4" t="s">
        <v>319</v>
      </c>
      <c r="N1150" s="5">
        <v>276580496</v>
      </c>
      <c r="O1150" s="2" t="s">
        <v>543</v>
      </c>
      <c r="P1150" s="2" t="s">
        <v>86</v>
      </c>
      <c r="Q1150" s="4" t="s">
        <v>2146</v>
      </c>
    </row>
    <row r="1151" spans="1:17" x14ac:dyDescent="0.2">
      <c r="A1151" s="2" t="s">
        <v>2147</v>
      </c>
      <c r="B1151" s="2" t="s">
        <v>48</v>
      </c>
      <c r="C1151" s="2" t="s">
        <v>1140</v>
      </c>
      <c r="D1151" s="2" t="s">
        <v>20</v>
      </c>
      <c r="E1151" s="3">
        <v>98942</v>
      </c>
      <c r="F1151" s="4" t="s">
        <v>42</v>
      </c>
      <c r="G1151" s="2" t="s">
        <v>928</v>
      </c>
      <c r="H1151" s="2" t="s">
        <v>2139</v>
      </c>
      <c r="I1151" s="2" t="s">
        <v>24</v>
      </c>
      <c r="J1151" s="2" t="s">
        <v>213</v>
      </c>
      <c r="K1151" s="4" t="s">
        <v>690</v>
      </c>
      <c r="L1151" s="4" t="s">
        <v>27</v>
      </c>
      <c r="M1151" s="4" t="s">
        <v>50</v>
      </c>
      <c r="N1151" s="5">
        <v>181434788</v>
      </c>
      <c r="O1151" s="2" t="s">
        <v>1141</v>
      </c>
      <c r="P1151" s="2" t="s">
        <v>52</v>
      </c>
      <c r="Q1151" s="4" t="s">
        <v>2148</v>
      </c>
    </row>
    <row r="1152" spans="1:17" x14ac:dyDescent="0.2">
      <c r="A1152" s="2" t="s">
        <v>2149</v>
      </c>
      <c r="B1152" s="2" t="s">
        <v>55</v>
      </c>
      <c r="C1152" s="2" t="s">
        <v>56</v>
      </c>
      <c r="D1152" s="2" t="s">
        <v>20</v>
      </c>
      <c r="E1152" s="3">
        <v>98607</v>
      </c>
      <c r="F1152" s="4" t="s">
        <v>21</v>
      </c>
      <c r="G1152" s="2" t="s">
        <v>928</v>
      </c>
      <c r="H1152" s="2" t="s">
        <v>2139</v>
      </c>
      <c r="I1152" s="2" t="s">
        <v>24</v>
      </c>
      <c r="J1152" s="2" t="s">
        <v>213</v>
      </c>
      <c r="K1152" s="4" t="s">
        <v>690</v>
      </c>
      <c r="L1152" s="4" t="s">
        <v>27</v>
      </c>
      <c r="M1152" s="4" t="s">
        <v>58</v>
      </c>
      <c r="N1152" s="5">
        <v>274075021</v>
      </c>
      <c r="O1152" s="2" t="s">
        <v>59</v>
      </c>
      <c r="P1152" s="2" t="s">
        <v>60</v>
      </c>
      <c r="Q1152" s="4" t="s">
        <v>2150</v>
      </c>
    </row>
    <row r="1153" spans="1:17" x14ac:dyDescent="0.2">
      <c r="A1153" s="2" t="s">
        <v>2151</v>
      </c>
      <c r="B1153" s="2" t="s">
        <v>151</v>
      </c>
      <c r="C1153" s="2" t="s">
        <v>152</v>
      </c>
      <c r="D1153" s="2" t="s">
        <v>20</v>
      </c>
      <c r="E1153" s="3">
        <v>98501</v>
      </c>
      <c r="F1153" s="4" t="s">
        <v>121</v>
      </c>
      <c r="G1153" s="2" t="s">
        <v>928</v>
      </c>
      <c r="H1153" s="2" t="s">
        <v>2139</v>
      </c>
      <c r="I1153" s="2" t="s">
        <v>24</v>
      </c>
      <c r="J1153" s="2" t="s">
        <v>213</v>
      </c>
      <c r="K1153" s="4" t="s">
        <v>690</v>
      </c>
      <c r="L1153" s="4" t="s">
        <v>27</v>
      </c>
      <c r="M1153" s="4" t="s">
        <v>255</v>
      </c>
      <c r="N1153" s="5">
        <v>263268043</v>
      </c>
      <c r="O1153" s="2" t="s">
        <v>153</v>
      </c>
      <c r="P1153" s="2" t="s">
        <v>30</v>
      </c>
      <c r="Q1153" s="4" t="s">
        <v>2152</v>
      </c>
    </row>
    <row r="1154" spans="1:17" x14ac:dyDescent="0.2">
      <c r="A1154" s="2" t="s">
        <v>2151</v>
      </c>
      <c r="B1154" s="2" t="s">
        <v>33</v>
      </c>
      <c r="C1154" s="2" t="s">
        <v>83</v>
      </c>
      <c r="D1154" s="2" t="s">
        <v>20</v>
      </c>
      <c r="E1154" s="3">
        <v>98116</v>
      </c>
      <c r="F1154" s="4" t="s">
        <v>121</v>
      </c>
      <c r="G1154" s="2" t="s">
        <v>928</v>
      </c>
      <c r="H1154" s="2" t="s">
        <v>2139</v>
      </c>
      <c r="I1154" s="2" t="s">
        <v>24</v>
      </c>
      <c r="J1154" s="2" t="s">
        <v>213</v>
      </c>
      <c r="K1154" s="4" t="s">
        <v>690</v>
      </c>
      <c r="L1154" s="4" t="s">
        <v>27</v>
      </c>
      <c r="M1154" s="4" t="s">
        <v>319</v>
      </c>
      <c r="N1154" s="5">
        <v>261390741</v>
      </c>
      <c r="O1154" s="2" t="s">
        <v>1034</v>
      </c>
      <c r="P1154" s="2" t="s">
        <v>86</v>
      </c>
      <c r="Q1154" s="4" t="s">
        <v>1622</v>
      </c>
    </row>
    <row r="1155" spans="1:17" hidden="1" x14ac:dyDescent="0.2">
      <c r="A1155" s="2" t="s">
        <v>2153</v>
      </c>
      <c r="B1155" s="2" t="s">
        <v>241</v>
      </c>
      <c r="C1155" s="2" t="s">
        <v>2154</v>
      </c>
      <c r="D1155" s="2" t="s">
        <v>20</v>
      </c>
      <c r="E1155" s="3">
        <v>99126</v>
      </c>
      <c r="F1155" s="4" t="s">
        <v>121</v>
      </c>
      <c r="G1155" s="2" t="s">
        <v>2155</v>
      </c>
      <c r="H1155" s="2" t="s">
        <v>2156</v>
      </c>
      <c r="I1155" s="2" t="s">
        <v>212</v>
      </c>
      <c r="J1155" s="2" t="s">
        <v>298</v>
      </c>
      <c r="K1155" s="4" t="s">
        <v>27</v>
      </c>
      <c r="L1155" s="4" t="s">
        <v>27</v>
      </c>
      <c r="M1155" s="4" t="s">
        <v>164</v>
      </c>
      <c r="N1155" s="5">
        <v>282410803</v>
      </c>
      <c r="O1155" s="2" t="s">
        <v>2157</v>
      </c>
      <c r="P1155" s="2" t="s">
        <v>244</v>
      </c>
      <c r="Q1155" s="4" t="s">
        <v>2158</v>
      </c>
    </row>
    <row r="1156" spans="1:17" hidden="1" x14ac:dyDescent="0.2">
      <c r="A1156" s="2" t="s">
        <v>2153</v>
      </c>
      <c r="B1156" s="2" t="s">
        <v>33</v>
      </c>
      <c r="C1156" s="2" t="s">
        <v>83</v>
      </c>
      <c r="D1156" s="2" t="s">
        <v>20</v>
      </c>
      <c r="E1156" s="3">
        <v>98107</v>
      </c>
      <c r="F1156" s="4" t="s">
        <v>121</v>
      </c>
      <c r="G1156" s="2" t="s">
        <v>2155</v>
      </c>
      <c r="H1156" s="2" t="s">
        <v>2156</v>
      </c>
      <c r="I1156" s="2" t="s">
        <v>212</v>
      </c>
      <c r="J1156" s="2" t="s">
        <v>298</v>
      </c>
      <c r="K1156" s="4" t="s">
        <v>27</v>
      </c>
      <c r="L1156" s="4" t="s">
        <v>27</v>
      </c>
      <c r="M1156" s="4" t="s">
        <v>84</v>
      </c>
      <c r="N1156" s="5">
        <v>269932001</v>
      </c>
      <c r="O1156" s="2" t="s">
        <v>869</v>
      </c>
      <c r="P1156" s="2" t="s">
        <v>86</v>
      </c>
      <c r="Q1156" s="4" t="s">
        <v>2159</v>
      </c>
    </row>
    <row r="1157" spans="1:17" hidden="1" x14ac:dyDescent="0.2">
      <c r="A1157" s="2" t="s">
        <v>2160</v>
      </c>
      <c r="B1157" s="2" t="s">
        <v>55</v>
      </c>
      <c r="C1157" s="2" t="s">
        <v>78</v>
      </c>
      <c r="D1157" s="2" t="s">
        <v>20</v>
      </c>
      <c r="E1157" s="3">
        <v>98629</v>
      </c>
      <c r="F1157" s="4" t="s">
        <v>121</v>
      </c>
      <c r="G1157" s="2" t="s">
        <v>2155</v>
      </c>
      <c r="H1157" s="2" t="s">
        <v>2156</v>
      </c>
      <c r="I1157" s="2" t="s">
        <v>212</v>
      </c>
      <c r="J1157" s="2" t="s">
        <v>298</v>
      </c>
      <c r="K1157" s="4" t="s">
        <v>27</v>
      </c>
      <c r="L1157" s="4" t="s">
        <v>27</v>
      </c>
      <c r="M1157" s="4" t="s">
        <v>58</v>
      </c>
      <c r="N1157" s="5">
        <v>280041947</v>
      </c>
      <c r="O1157" s="2" t="s">
        <v>80</v>
      </c>
      <c r="P1157" s="2" t="s">
        <v>60</v>
      </c>
      <c r="Q1157" s="4" t="s">
        <v>81</v>
      </c>
    </row>
    <row r="1158" spans="1:17" hidden="1" x14ac:dyDescent="0.2">
      <c r="A1158" s="2" t="s">
        <v>2161</v>
      </c>
      <c r="B1158" s="2" t="s">
        <v>33</v>
      </c>
      <c r="C1158" s="2" t="s">
        <v>169</v>
      </c>
      <c r="D1158" s="2" t="s">
        <v>20</v>
      </c>
      <c r="E1158" s="3">
        <v>98033</v>
      </c>
      <c r="F1158" s="4" t="s">
        <v>21</v>
      </c>
      <c r="G1158" s="2" t="s">
        <v>2155</v>
      </c>
      <c r="H1158" s="2" t="s">
        <v>2156</v>
      </c>
      <c r="I1158" s="2" t="s">
        <v>212</v>
      </c>
      <c r="J1158" s="2" t="s">
        <v>298</v>
      </c>
      <c r="K1158" s="4" t="s">
        <v>27</v>
      </c>
      <c r="L1158" s="4" t="s">
        <v>27</v>
      </c>
      <c r="M1158" s="4" t="s">
        <v>198</v>
      </c>
      <c r="N1158" s="5">
        <v>228679902</v>
      </c>
      <c r="O1158" s="2" t="s">
        <v>204</v>
      </c>
      <c r="P1158" s="2" t="s">
        <v>37</v>
      </c>
      <c r="Q1158" s="4" t="s">
        <v>378</v>
      </c>
    </row>
    <row r="1159" spans="1:17" hidden="1" x14ac:dyDescent="0.2">
      <c r="A1159" s="2" t="s">
        <v>2162</v>
      </c>
      <c r="B1159" s="2" t="s">
        <v>55</v>
      </c>
      <c r="C1159" s="2" t="s">
        <v>63</v>
      </c>
      <c r="D1159" s="2" t="s">
        <v>20</v>
      </c>
      <c r="E1159" s="3">
        <v>98685</v>
      </c>
      <c r="F1159" s="4" t="s">
        <v>130</v>
      </c>
      <c r="G1159" s="2" t="s">
        <v>2155</v>
      </c>
      <c r="H1159" s="2" t="s">
        <v>2156</v>
      </c>
      <c r="I1159" s="2" t="s">
        <v>212</v>
      </c>
      <c r="J1159" s="2" t="s">
        <v>298</v>
      </c>
      <c r="K1159" s="4" t="s">
        <v>27</v>
      </c>
      <c r="L1159" s="4" t="s">
        <v>27</v>
      </c>
      <c r="M1159" s="4" t="s">
        <v>191</v>
      </c>
      <c r="N1159" s="5">
        <v>283138243</v>
      </c>
      <c r="O1159" s="2" t="s">
        <v>299</v>
      </c>
      <c r="P1159" s="2" t="s">
        <v>60</v>
      </c>
      <c r="Q1159" s="4" t="s">
        <v>300</v>
      </c>
    </row>
    <row r="1160" spans="1:17" hidden="1" x14ac:dyDescent="0.2">
      <c r="A1160" s="2" t="s">
        <v>2163</v>
      </c>
      <c r="B1160" s="2" t="s">
        <v>688</v>
      </c>
      <c r="C1160" s="2" t="s">
        <v>689</v>
      </c>
      <c r="D1160" s="2" t="s">
        <v>20</v>
      </c>
      <c r="E1160" s="3">
        <v>98229</v>
      </c>
      <c r="F1160" s="4" t="s">
        <v>121</v>
      </c>
      <c r="G1160" s="2" t="s">
        <v>2155</v>
      </c>
      <c r="H1160" s="2" t="s">
        <v>2156</v>
      </c>
      <c r="I1160" s="2" t="s">
        <v>212</v>
      </c>
      <c r="J1160" s="2" t="s">
        <v>298</v>
      </c>
      <c r="K1160" s="4" t="s">
        <v>27</v>
      </c>
      <c r="L1160" s="4" t="s">
        <v>27</v>
      </c>
      <c r="M1160" s="4" t="s">
        <v>409</v>
      </c>
      <c r="N1160" s="5">
        <v>271502185</v>
      </c>
      <c r="O1160" s="2" t="s">
        <v>850</v>
      </c>
      <c r="P1160" s="2" t="s">
        <v>692</v>
      </c>
      <c r="Q1160" s="4" t="s">
        <v>1275</v>
      </c>
    </row>
    <row r="1161" spans="1:17" hidden="1" x14ac:dyDescent="0.2">
      <c r="A1161" s="2" t="s">
        <v>2164</v>
      </c>
      <c r="B1161" s="2" t="s">
        <v>33</v>
      </c>
      <c r="C1161" s="2" t="s">
        <v>318</v>
      </c>
      <c r="D1161" s="2" t="s">
        <v>20</v>
      </c>
      <c r="E1161" s="3">
        <v>98146</v>
      </c>
      <c r="F1161" s="4" t="s">
        <v>21</v>
      </c>
      <c r="G1161" s="2" t="s">
        <v>2155</v>
      </c>
      <c r="H1161" s="2" t="s">
        <v>2156</v>
      </c>
      <c r="I1161" s="2" t="s">
        <v>212</v>
      </c>
      <c r="J1161" s="2" t="s">
        <v>298</v>
      </c>
      <c r="K1161" s="4" t="s">
        <v>27</v>
      </c>
      <c r="L1161" s="4" t="s">
        <v>27</v>
      </c>
      <c r="M1161" s="4" t="s">
        <v>319</v>
      </c>
      <c r="N1161" s="5">
        <v>271542421</v>
      </c>
      <c r="O1161" s="2" t="s">
        <v>543</v>
      </c>
      <c r="P1161" s="2" t="s">
        <v>86</v>
      </c>
      <c r="Q1161" s="4" t="s">
        <v>544</v>
      </c>
    </row>
    <row r="1162" spans="1:17" hidden="1" x14ac:dyDescent="0.2">
      <c r="A1162" s="2" t="s">
        <v>2165</v>
      </c>
      <c r="B1162" s="2" t="s">
        <v>33</v>
      </c>
      <c r="C1162" s="2" t="s">
        <v>83</v>
      </c>
      <c r="D1162" s="2" t="s">
        <v>20</v>
      </c>
      <c r="E1162" s="3">
        <v>98115</v>
      </c>
      <c r="F1162" s="4" t="s">
        <v>21</v>
      </c>
      <c r="G1162" s="2" t="s">
        <v>2155</v>
      </c>
      <c r="H1162" s="2" t="s">
        <v>2156</v>
      </c>
      <c r="I1162" s="2" t="s">
        <v>212</v>
      </c>
      <c r="J1162" s="2" t="s">
        <v>298</v>
      </c>
      <c r="K1162" s="4" t="s">
        <v>27</v>
      </c>
      <c r="L1162" s="4" t="s">
        <v>27</v>
      </c>
      <c r="M1162" s="4" t="s">
        <v>278</v>
      </c>
      <c r="N1162" s="5">
        <v>262261261</v>
      </c>
      <c r="O1162" s="2" t="s">
        <v>828</v>
      </c>
      <c r="P1162" s="2" t="s">
        <v>86</v>
      </c>
      <c r="Q1162" s="4" t="s">
        <v>2114</v>
      </c>
    </row>
    <row r="1163" spans="1:17" hidden="1" x14ac:dyDescent="0.2">
      <c r="A1163" s="2" t="s">
        <v>2166</v>
      </c>
      <c r="B1163" s="2" t="s">
        <v>331</v>
      </c>
      <c r="C1163" s="2" t="s">
        <v>2167</v>
      </c>
      <c r="D1163" s="2" t="s">
        <v>20</v>
      </c>
      <c r="E1163" s="3">
        <v>99206</v>
      </c>
      <c r="F1163" s="4" t="s">
        <v>121</v>
      </c>
      <c r="G1163" s="2" t="s">
        <v>2155</v>
      </c>
      <c r="H1163" s="2" t="s">
        <v>2156</v>
      </c>
      <c r="I1163" s="2" t="s">
        <v>212</v>
      </c>
      <c r="J1163" s="2" t="s">
        <v>298</v>
      </c>
      <c r="K1163" s="4" t="s">
        <v>27</v>
      </c>
      <c r="L1163" s="4" t="s">
        <v>27</v>
      </c>
      <c r="M1163" s="4" t="s">
        <v>1381</v>
      </c>
      <c r="N1163" s="5">
        <v>273699366</v>
      </c>
      <c r="O1163" s="2" t="s">
        <v>1480</v>
      </c>
      <c r="P1163" s="2" t="s">
        <v>334</v>
      </c>
      <c r="Q1163" s="4" t="s">
        <v>2168</v>
      </c>
    </row>
    <row r="1164" spans="1:17" hidden="1" x14ac:dyDescent="0.2">
      <c r="A1164" s="2" t="s">
        <v>2169</v>
      </c>
      <c r="B1164" s="2" t="s">
        <v>313</v>
      </c>
      <c r="C1164" s="2" t="s">
        <v>313</v>
      </c>
      <c r="D1164" s="2" t="s">
        <v>20</v>
      </c>
      <c r="E1164" s="3">
        <v>99362</v>
      </c>
      <c r="F1164" s="4" t="s">
        <v>21</v>
      </c>
      <c r="G1164" s="2" t="s">
        <v>2155</v>
      </c>
      <c r="H1164" s="2" t="s">
        <v>2156</v>
      </c>
      <c r="I1164" s="2" t="s">
        <v>212</v>
      </c>
      <c r="J1164" s="2" t="s">
        <v>298</v>
      </c>
      <c r="K1164" s="4" t="s">
        <v>27</v>
      </c>
      <c r="L1164" s="4" t="s">
        <v>27</v>
      </c>
      <c r="M1164" s="4" t="s">
        <v>314</v>
      </c>
      <c r="N1164" s="5">
        <v>258604972</v>
      </c>
      <c r="O1164" s="2" t="s">
        <v>315</v>
      </c>
      <c r="P1164" s="2" t="s">
        <v>52</v>
      </c>
      <c r="Q1164" s="4" t="s">
        <v>2038</v>
      </c>
    </row>
    <row r="1165" spans="1:17" hidden="1" x14ac:dyDescent="0.2">
      <c r="A1165" s="2" t="s">
        <v>2170</v>
      </c>
      <c r="B1165" s="2" t="s">
        <v>55</v>
      </c>
      <c r="C1165" s="2" t="s">
        <v>63</v>
      </c>
      <c r="D1165" s="2" t="s">
        <v>20</v>
      </c>
      <c r="E1165" s="3">
        <v>98685</v>
      </c>
      <c r="F1165" s="4" t="s">
        <v>121</v>
      </c>
      <c r="G1165" s="2" t="s">
        <v>2155</v>
      </c>
      <c r="H1165" s="2" t="s">
        <v>2156</v>
      </c>
      <c r="I1165" s="2" t="s">
        <v>212</v>
      </c>
      <c r="J1165" s="2" t="s">
        <v>298</v>
      </c>
      <c r="K1165" s="4" t="s">
        <v>27</v>
      </c>
      <c r="L1165" s="4" t="s">
        <v>27</v>
      </c>
      <c r="M1165" s="4" t="s">
        <v>58</v>
      </c>
      <c r="N1165" s="5">
        <v>265231760</v>
      </c>
      <c r="O1165" s="2" t="s">
        <v>299</v>
      </c>
      <c r="P1165" s="2" t="s">
        <v>60</v>
      </c>
      <c r="Q1165" s="4" t="s">
        <v>1197</v>
      </c>
    </row>
    <row r="1166" spans="1:17" hidden="1" x14ac:dyDescent="0.2">
      <c r="A1166" s="2" t="s">
        <v>2171</v>
      </c>
      <c r="B1166" s="2" t="s">
        <v>151</v>
      </c>
      <c r="C1166" s="2" t="s">
        <v>566</v>
      </c>
      <c r="D1166" s="2" t="s">
        <v>20</v>
      </c>
      <c r="E1166" s="3">
        <v>98516</v>
      </c>
      <c r="F1166" s="4" t="s">
        <v>130</v>
      </c>
      <c r="G1166" s="2" t="s">
        <v>2155</v>
      </c>
      <c r="H1166" s="2" t="s">
        <v>2156</v>
      </c>
      <c r="I1166" s="2" t="s">
        <v>212</v>
      </c>
      <c r="J1166" s="2" t="s">
        <v>298</v>
      </c>
      <c r="K1166" s="4" t="s">
        <v>27</v>
      </c>
      <c r="L1166" s="4" t="s">
        <v>27</v>
      </c>
      <c r="M1166" s="4" t="s">
        <v>90</v>
      </c>
      <c r="N1166" s="5">
        <v>281896226</v>
      </c>
      <c r="O1166" s="2" t="s">
        <v>746</v>
      </c>
      <c r="P1166" s="2" t="s">
        <v>30</v>
      </c>
      <c r="Q1166" s="4" t="s">
        <v>998</v>
      </c>
    </row>
    <row r="1167" spans="1:17" hidden="1" x14ac:dyDescent="0.2">
      <c r="A1167" s="2" t="s">
        <v>2172</v>
      </c>
      <c r="B1167" s="2" t="s">
        <v>48</v>
      </c>
      <c r="C1167" s="2" t="s">
        <v>48</v>
      </c>
      <c r="D1167" s="2" t="s">
        <v>20</v>
      </c>
      <c r="E1167" s="3">
        <v>98908</v>
      </c>
      <c r="F1167" s="4" t="s">
        <v>21</v>
      </c>
      <c r="G1167" s="2" t="s">
        <v>2155</v>
      </c>
      <c r="H1167" s="2" t="s">
        <v>2156</v>
      </c>
      <c r="I1167" s="2" t="s">
        <v>212</v>
      </c>
      <c r="J1167" s="2" t="s">
        <v>298</v>
      </c>
      <c r="K1167" s="4" t="s">
        <v>27</v>
      </c>
      <c r="L1167" s="4" t="s">
        <v>27</v>
      </c>
      <c r="M1167" s="4" t="s">
        <v>323</v>
      </c>
      <c r="N1167" s="5">
        <v>239799157</v>
      </c>
      <c r="O1167" s="2" t="s">
        <v>596</v>
      </c>
      <c r="P1167" s="2" t="s">
        <v>52</v>
      </c>
      <c r="Q1167" s="4" t="s">
        <v>1979</v>
      </c>
    </row>
    <row r="1168" spans="1:17" hidden="1" x14ac:dyDescent="0.2">
      <c r="A1168" s="2" t="s">
        <v>2173</v>
      </c>
      <c r="B1168" s="2" t="s">
        <v>40</v>
      </c>
      <c r="C1168" s="2" t="s">
        <v>1385</v>
      </c>
      <c r="D1168" s="2" t="s">
        <v>20</v>
      </c>
      <c r="E1168" s="3">
        <v>98272</v>
      </c>
      <c r="F1168" s="4" t="s">
        <v>121</v>
      </c>
      <c r="G1168" s="2" t="s">
        <v>2155</v>
      </c>
      <c r="H1168" s="2" t="s">
        <v>2156</v>
      </c>
      <c r="I1168" s="2" t="s">
        <v>212</v>
      </c>
      <c r="J1168" s="2" t="s">
        <v>298</v>
      </c>
      <c r="K1168" s="4" t="s">
        <v>27</v>
      </c>
      <c r="L1168" s="4" t="s">
        <v>27</v>
      </c>
      <c r="M1168" s="4" t="s">
        <v>44</v>
      </c>
      <c r="N1168" s="5">
        <v>269676774</v>
      </c>
      <c r="O1168" s="2" t="s">
        <v>1386</v>
      </c>
      <c r="P1168" s="2" t="s">
        <v>30</v>
      </c>
      <c r="Q1168" s="4" t="s">
        <v>1387</v>
      </c>
    </row>
    <row r="1169" spans="1:17" hidden="1" x14ac:dyDescent="0.2">
      <c r="A1169" s="2" t="s">
        <v>2174</v>
      </c>
      <c r="B1169" s="2" t="s">
        <v>33</v>
      </c>
      <c r="C1169" s="2" t="s">
        <v>83</v>
      </c>
      <c r="D1169" s="2" t="s">
        <v>20</v>
      </c>
      <c r="E1169" s="3">
        <v>98178</v>
      </c>
      <c r="F1169" s="4" t="s">
        <v>121</v>
      </c>
      <c r="G1169" s="2" t="s">
        <v>928</v>
      </c>
      <c r="H1169" s="2" t="s">
        <v>2136</v>
      </c>
      <c r="I1169" s="2" t="s">
        <v>212</v>
      </c>
      <c r="J1169" s="2" t="s">
        <v>298</v>
      </c>
      <c r="K1169" s="4" t="s">
        <v>27</v>
      </c>
      <c r="L1169" s="4" t="s">
        <v>27</v>
      </c>
      <c r="M1169" s="4" t="s">
        <v>284</v>
      </c>
      <c r="N1169" s="5">
        <v>267472859</v>
      </c>
      <c r="O1169" s="2" t="s">
        <v>1301</v>
      </c>
      <c r="P1169" s="2" t="s">
        <v>86</v>
      </c>
      <c r="Q1169" s="4" t="s">
        <v>1302</v>
      </c>
    </row>
    <row r="1170" spans="1:17" hidden="1" x14ac:dyDescent="0.2">
      <c r="A1170" s="2" t="s">
        <v>2175</v>
      </c>
      <c r="B1170" s="2" t="s">
        <v>33</v>
      </c>
      <c r="C1170" s="2" t="s">
        <v>83</v>
      </c>
      <c r="D1170" s="2" t="s">
        <v>20</v>
      </c>
      <c r="E1170" s="3">
        <v>98103</v>
      </c>
      <c r="F1170" s="4" t="s">
        <v>130</v>
      </c>
      <c r="G1170" s="2" t="s">
        <v>928</v>
      </c>
      <c r="H1170" s="2" t="s">
        <v>2136</v>
      </c>
      <c r="I1170" s="2" t="s">
        <v>212</v>
      </c>
      <c r="J1170" s="2" t="s">
        <v>298</v>
      </c>
      <c r="K1170" s="4" t="s">
        <v>27</v>
      </c>
      <c r="L1170" s="4" t="s">
        <v>27</v>
      </c>
      <c r="M1170" s="4" t="s">
        <v>436</v>
      </c>
      <c r="N1170" s="5">
        <v>276288687</v>
      </c>
      <c r="O1170" s="2" t="s">
        <v>627</v>
      </c>
      <c r="P1170" s="2" t="s">
        <v>86</v>
      </c>
      <c r="Q1170" s="4" t="s">
        <v>2176</v>
      </c>
    </row>
    <row r="1171" spans="1:17" hidden="1" x14ac:dyDescent="0.2">
      <c r="A1171" s="2" t="s">
        <v>2177</v>
      </c>
      <c r="B1171" s="2" t="s">
        <v>331</v>
      </c>
      <c r="C1171" s="2" t="s">
        <v>331</v>
      </c>
      <c r="D1171" s="2" t="s">
        <v>20</v>
      </c>
      <c r="E1171" s="3">
        <v>99208</v>
      </c>
      <c r="F1171" s="4" t="s">
        <v>121</v>
      </c>
      <c r="G1171" s="2" t="s">
        <v>928</v>
      </c>
      <c r="H1171" s="2" t="s">
        <v>2136</v>
      </c>
      <c r="I1171" s="2" t="s">
        <v>212</v>
      </c>
      <c r="J1171" s="2" t="s">
        <v>298</v>
      </c>
      <c r="K1171" s="4" t="s">
        <v>27</v>
      </c>
      <c r="L1171" s="4" t="s">
        <v>27</v>
      </c>
      <c r="M1171" s="4" t="s">
        <v>164</v>
      </c>
      <c r="N1171" s="5">
        <v>262487025</v>
      </c>
      <c r="O1171" s="2" t="s">
        <v>333</v>
      </c>
      <c r="P1171" s="2" t="s">
        <v>334</v>
      </c>
      <c r="Q1171" s="4" t="s">
        <v>2178</v>
      </c>
    </row>
    <row r="1172" spans="1:17" hidden="1" x14ac:dyDescent="0.2">
      <c r="A1172" s="2" t="s">
        <v>2179</v>
      </c>
      <c r="B1172" s="2" t="s">
        <v>33</v>
      </c>
      <c r="C1172" s="2" t="s">
        <v>290</v>
      </c>
      <c r="D1172" s="2" t="s">
        <v>20</v>
      </c>
      <c r="E1172" s="3">
        <v>98177</v>
      </c>
      <c r="F1172" s="4" t="s">
        <v>130</v>
      </c>
      <c r="G1172" s="2" t="s">
        <v>928</v>
      </c>
      <c r="H1172" s="2" t="s">
        <v>2136</v>
      </c>
      <c r="I1172" s="2" t="s">
        <v>212</v>
      </c>
      <c r="J1172" s="2" t="s">
        <v>298</v>
      </c>
      <c r="K1172" s="4" t="s">
        <v>27</v>
      </c>
      <c r="L1172" s="4" t="s">
        <v>27</v>
      </c>
      <c r="M1172" s="4" t="s">
        <v>74</v>
      </c>
      <c r="N1172" s="5">
        <v>277112356</v>
      </c>
      <c r="O1172" s="2" t="s">
        <v>85</v>
      </c>
      <c r="P1172" s="2" t="s">
        <v>86</v>
      </c>
      <c r="Q1172" s="4" t="s">
        <v>2180</v>
      </c>
    </row>
    <row r="1173" spans="1:17" x14ac:dyDescent="0.2">
      <c r="A1173" s="2" t="s">
        <v>2181</v>
      </c>
      <c r="B1173" s="2" t="s">
        <v>18</v>
      </c>
      <c r="C1173" s="2" t="s">
        <v>218</v>
      </c>
      <c r="D1173" s="2" t="s">
        <v>20</v>
      </c>
      <c r="E1173" s="3">
        <v>98310</v>
      </c>
      <c r="F1173" s="4" t="s">
        <v>21</v>
      </c>
      <c r="G1173" s="2" t="s">
        <v>928</v>
      </c>
      <c r="H1173" s="2" t="s">
        <v>2139</v>
      </c>
      <c r="I1173" s="2" t="s">
        <v>24</v>
      </c>
      <c r="J1173" s="2" t="s">
        <v>213</v>
      </c>
      <c r="K1173" s="4" t="s">
        <v>690</v>
      </c>
      <c r="L1173" s="4" t="s">
        <v>27</v>
      </c>
      <c r="M1173" s="4" t="s">
        <v>28</v>
      </c>
      <c r="N1173" s="5">
        <v>244774967</v>
      </c>
      <c r="O1173" s="2" t="s">
        <v>743</v>
      </c>
      <c r="P1173" s="2" t="s">
        <v>30</v>
      </c>
      <c r="Q1173" s="4" t="s">
        <v>2050</v>
      </c>
    </row>
    <row r="1174" spans="1:17" x14ac:dyDescent="0.2">
      <c r="A1174" s="2" t="s">
        <v>2182</v>
      </c>
      <c r="B1174" s="2" t="s">
        <v>33</v>
      </c>
      <c r="C1174" s="2" t="s">
        <v>186</v>
      </c>
      <c r="D1174" s="2" t="s">
        <v>20</v>
      </c>
      <c r="E1174" s="3">
        <v>98023</v>
      </c>
      <c r="F1174" s="4" t="s">
        <v>121</v>
      </c>
      <c r="G1174" s="2" t="s">
        <v>928</v>
      </c>
      <c r="H1174" s="2" t="s">
        <v>2139</v>
      </c>
      <c r="I1174" s="2" t="s">
        <v>24</v>
      </c>
      <c r="J1174" s="2" t="s">
        <v>213</v>
      </c>
      <c r="K1174" s="4" t="s">
        <v>690</v>
      </c>
      <c r="L1174" s="4" t="s">
        <v>27</v>
      </c>
      <c r="M1174" s="4" t="s">
        <v>187</v>
      </c>
      <c r="N1174" s="5">
        <v>280948517</v>
      </c>
      <c r="O1174" s="2" t="s">
        <v>188</v>
      </c>
      <c r="P1174" s="2" t="s">
        <v>37</v>
      </c>
      <c r="Q1174" s="4" t="s">
        <v>1116</v>
      </c>
    </row>
    <row r="1175" spans="1:17" x14ac:dyDescent="0.2">
      <c r="A1175" s="2" t="s">
        <v>2183</v>
      </c>
      <c r="B1175" s="2" t="s">
        <v>55</v>
      </c>
      <c r="C1175" s="2" t="s">
        <v>56</v>
      </c>
      <c r="D1175" s="2" t="s">
        <v>20</v>
      </c>
      <c r="E1175" s="3">
        <v>98607</v>
      </c>
      <c r="F1175" s="4" t="s">
        <v>21</v>
      </c>
      <c r="G1175" s="2" t="s">
        <v>928</v>
      </c>
      <c r="H1175" s="2" t="s">
        <v>2139</v>
      </c>
      <c r="I1175" s="2" t="s">
        <v>24</v>
      </c>
      <c r="J1175" s="2" t="s">
        <v>213</v>
      </c>
      <c r="K1175" s="4" t="s">
        <v>690</v>
      </c>
      <c r="L1175" s="4" t="s">
        <v>27</v>
      </c>
      <c r="M1175" s="4" t="s">
        <v>58</v>
      </c>
      <c r="N1175" s="5">
        <v>257014621</v>
      </c>
      <c r="O1175" s="2" t="s">
        <v>59</v>
      </c>
      <c r="P1175" s="2" t="s">
        <v>60</v>
      </c>
      <c r="Q1175" s="4" t="s">
        <v>2150</v>
      </c>
    </row>
    <row r="1176" spans="1:17" x14ac:dyDescent="0.2">
      <c r="A1176" s="2" t="s">
        <v>2184</v>
      </c>
      <c r="B1176" s="2" t="s">
        <v>151</v>
      </c>
      <c r="C1176" s="2" t="s">
        <v>152</v>
      </c>
      <c r="D1176" s="2" t="s">
        <v>20</v>
      </c>
      <c r="E1176" s="3">
        <v>98506</v>
      </c>
      <c r="F1176" s="4" t="s">
        <v>121</v>
      </c>
      <c r="G1176" s="2" t="s">
        <v>928</v>
      </c>
      <c r="H1176" s="2" t="s">
        <v>2139</v>
      </c>
      <c r="I1176" s="2" t="s">
        <v>24</v>
      </c>
      <c r="J1176" s="2" t="s">
        <v>213</v>
      </c>
      <c r="K1176" s="4" t="s">
        <v>690</v>
      </c>
      <c r="L1176" s="4" t="s">
        <v>27</v>
      </c>
      <c r="M1176" s="4" t="s">
        <v>90</v>
      </c>
      <c r="N1176" s="5">
        <v>260677511</v>
      </c>
      <c r="O1176" s="2" t="s">
        <v>487</v>
      </c>
      <c r="P1176" s="2" t="s">
        <v>30</v>
      </c>
      <c r="Q1176" s="4" t="s">
        <v>1513</v>
      </c>
    </row>
    <row r="1177" spans="1:17" x14ac:dyDescent="0.2">
      <c r="A1177" s="2" t="s">
        <v>2185</v>
      </c>
      <c r="B1177" s="2" t="s">
        <v>33</v>
      </c>
      <c r="C1177" s="2" t="s">
        <v>83</v>
      </c>
      <c r="D1177" s="2" t="s">
        <v>20</v>
      </c>
      <c r="E1177" s="3">
        <v>98125</v>
      </c>
      <c r="F1177" s="4" t="s">
        <v>130</v>
      </c>
      <c r="G1177" s="2" t="s">
        <v>928</v>
      </c>
      <c r="H1177" s="2" t="s">
        <v>2139</v>
      </c>
      <c r="I1177" s="2" t="s">
        <v>24</v>
      </c>
      <c r="J1177" s="2" t="s">
        <v>213</v>
      </c>
      <c r="K1177" s="4" t="s">
        <v>690</v>
      </c>
      <c r="L1177" s="4" t="s">
        <v>27</v>
      </c>
      <c r="M1177" s="4" t="s">
        <v>278</v>
      </c>
      <c r="N1177" s="5">
        <v>275920704</v>
      </c>
      <c r="O1177" s="2" t="s">
        <v>279</v>
      </c>
      <c r="P1177" s="2" t="s">
        <v>86</v>
      </c>
      <c r="Q1177" s="4" t="s">
        <v>697</v>
      </c>
    </row>
    <row r="1178" spans="1:17" x14ac:dyDescent="0.2">
      <c r="A1178" s="2" t="s">
        <v>2186</v>
      </c>
      <c r="B1178" s="2" t="s">
        <v>33</v>
      </c>
      <c r="C1178" s="2" t="s">
        <v>492</v>
      </c>
      <c r="D1178" s="2" t="s">
        <v>20</v>
      </c>
      <c r="E1178" s="3">
        <v>98065</v>
      </c>
      <c r="F1178" s="4" t="s">
        <v>130</v>
      </c>
      <c r="G1178" s="2" t="s">
        <v>928</v>
      </c>
      <c r="H1178" s="2" t="s">
        <v>2139</v>
      </c>
      <c r="I1178" s="2" t="s">
        <v>24</v>
      </c>
      <c r="J1178" s="2" t="s">
        <v>213</v>
      </c>
      <c r="K1178" s="4" t="s">
        <v>690</v>
      </c>
      <c r="L1178" s="4" t="s">
        <v>27</v>
      </c>
      <c r="M1178" s="4" t="s">
        <v>35</v>
      </c>
      <c r="N1178" s="5">
        <v>279014179</v>
      </c>
      <c r="O1178" s="2" t="s">
        <v>493</v>
      </c>
      <c r="P1178" s="2" t="s">
        <v>466</v>
      </c>
      <c r="Q1178" s="4" t="s">
        <v>2187</v>
      </c>
    </row>
    <row r="1179" spans="1:17" x14ac:dyDescent="0.2">
      <c r="A1179" s="2" t="s">
        <v>2188</v>
      </c>
      <c r="B1179" s="2" t="s">
        <v>110</v>
      </c>
      <c r="C1179" s="2" t="s">
        <v>749</v>
      </c>
      <c r="D1179" s="2" t="s">
        <v>20</v>
      </c>
      <c r="E1179" s="3">
        <v>98391</v>
      </c>
      <c r="F1179" s="4" t="s">
        <v>21</v>
      </c>
      <c r="G1179" s="2" t="s">
        <v>928</v>
      </c>
      <c r="H1179" s="2" t="s">
        <v>2139</v>
      </c>
      <c r="I1179" s="2" t="s">
        <v>24</v>
      </c>
      <c r="J1179" s="2" t="s">
        <v>213</v>
      </c>
      <c r="K1179" s="4" t="s">
        <v>690</v>
      </c>
      <c r="L1179" s="4" t="s">
        <v>27</v>
      </c>
      <c r="M1179" s="4" t="s">
        <v>112</v>
      </c>
      <c r="N1179" s="5">
        <v>238270805</v>
      </c>
      <c r="O1179" s="2" t="s">
        <v>113</v>
      </c>
      <c r="P1179" s="2" t="s">
        <v>37</v>
      </c>
      <c r="Q1179" s="4" t="s">
        <v>2189</v>
      </c>
    </row>
    <row r="1180" spans="1:17" x14ac:dyDescent="0.2">
      <c r="A1180" s="2" t="s">
        <v>2190</v>
      </c>
      <c r="B1180" s="2" t="s">
        <v>55</v>
      </c>
      <c r="C1180" s="2" t="s">
        <v>836</v>
      </c>
      <c r="D1180" s="2" t="s">
        <v>20</v>
      </c>
      <c r="E1180" s="3">
        <v>98604</v>
      </c>
      <c r="F1180" s="4" t="s">
        <v>121</v>
      </c>
      <c r="G1180" s="2" t="s">
        <v>928</v>
      </c>
      <c r="H1180" s="2" t="s">
        <v>2139</v>
      </c>
      <c r="I1180" s="2" t="s">
        <v>24</v>
      </c>
      <c r="J1180" s="2" t="s">
        <v>213</v>
      </c>
      <c r="K1180" s="4" t="s">
        <v>690</v>
      </c>
      <c r="L1180" s="4" t="s">
        <v>27</v>
      </c>
      <c r="M1180" s="4" t="s">
        <v>58</v>
      </c>
      <c r="N1180" s="5">
        <v>260123811</v>
      </c>
      <c r="O1180" s="2" t="s">
        <v>837</v>
      </c>
      <c r="P1180" s="2" t="s">
        <v>60</v>
      </c>
      <c r="Q1180" s="4" t="s">
        <v>2191</v>
      </c>
    </row>
    <row r="1181" spans="1:17" x14ac:dyDescent="0.2">
      <c r="A1181" s="2" t="s">
        <v>2192</v>
      </c>
      <c r="B1181" s="2" t="s">
        <v>151</v>
      </c>
      <c r="C1181" s="2" t="s">
        <v>566</v>
      </c>
      <c r="D1181" s="2" t="s">
        <v>20</v>
      </c>
      <c r="E1181" s="3">
        <v>98503</v>
      </c>
      <c r="F1181" s="4" t="s">
        <v>121</v>
      </c>
      <c r="G1181" s="2" t="s">
        <v>928</v>
      </c>
      <c r="H1181" s="2" t="s">
        <v>2139</v>
      </c>
      <c r="I1181" s="2" t="s">
        <v>24</v>
      </c>
      <c r="J1181" s="2" t="s">
        <v>213</v>
      </c>
      <c r="K1181" s="4" t="s">
        <v>690</v>
      </c>
      <c r="L1181" s="4" t="s">
        <v>27</v>
      </c>
      <c r="M1181" s="4" t="s">
        <v>90</v>
      </c>
      <c r="N1181" s="5">
        <v>274193468</v>
      </c>
      <c r="O1181" s="2" t="s">
        <v>567</v>
      </c>
      <c r="P1181" s="2" t="s">
        <v>30</v>
      </c>
      <c r="Q1181" s="4" t="s">
        <v>568</v>
      </c>
    </row>
    <row r="1182" spans="1:17" x14ac:dyDescent="0.2">
      <c r="A1182" s="2" t="s">
        <v>2193</v>
      </c>
      <c r="B1182" s="2" t="s">
        <v>110</v>
      </c>
      <c r="C1182" s="2" t="s">
        <v>1745</v>
      </c>
      <c r="D1182" s="2" t="s">
        <v>20</v>
      </c>
      <c r="E1182" s="3">
        <v>98373</v>
      </c>
      <c r="F1182" s="4" t="s">
        <v>130</v>
      </c>
      <c r="G1182" s="2" t="s">
        <v>928</v>
      </c>
      <c r="H1182" s="2" t="s">
        <v>2139</v>
      </c>
      <c r="I1182" s="2" t="s">
        <v>24</v>
      </c>
      <c r="J1182" s="2" t="s">
        <v>213</v>
      </c>
      <c r="K1182" s="4" t="s">
        <v>690</v>
      </c>
      <c r="L1182" s="4" t="s">
        <v>27</v>
      </c>
      <c r="M1182" s="4" t="s">
        <v>43</v>
      </c>
      <c r="N1182" s="5">
        <v>276477106</v>
      </c>
      <c r="O1182" s="2" t="s">
        <v>674</v>
      </c>
      <c r="P1182" s="2" t="s">
        <v>37</v>
      </c>
      <c r="Q1182" s="4" t="s">
        <v>2194</v>
      </c>
    </row>
    <row r="1183" spans="1:17" x14ac:dyDescent="0.2">
      <c r="A1183" s="2" t="s">
        <v>2195</v>
      </c>
      <c r="B1183" s="2" t="s">
        <v>331</v>
      </c>
      <c r="C1183" s="2" t="s">
        <v>331</v>
      </c>
      <c r="D1183" s="2" t="s">
        <v>20</v>
      </c>
      <c r="E1183" s="3">
        <v>99206</v>
      </c>
      <c r="F1183" s="4" t="s">
        <v>130</v>
      </c>
      <c r="G1183" s="2" t="s">
        <v>928</v>
      </c>
      <c r="H1183" s="2" t="s">
        <v>2139</v>
      </c>
      <c r="I1183" s="2" t="s">
        <v>24</v>
      </c>
      <c r="J1183" s="2" t="s">
        <v>213</v>
      </c>
      <c r="K1183" s="4" t="s">
        <v>690</v>
      </c>
      <c r="L1183" s="4" t="s">
        <v>27</v>
      </c>
      <c r="M1183" s="4" t="s">
        <v>1381</v>
      </c>
      <c r="N1183" s="5">
        <v>284721069</v>
      </c>
      <c r="O1183" s="2" t="s">
        <v>1480</v>
      </c>
      <c r="P1183" s="2" t="s">
        <v>334</v>
      </c>
      <c r="Q1183" s="4" t="s">
        <v>2168</v>
      </c>
    </row>
    <row r="1184" spans="1:17" hidden="1" x14ac:dyDescent="0.2">
      <c r="A1184" s="2" t="s">
        <v>2196</v>
      </c>
      <c r="B1184" s="2" t="s">
        <v>110</v>
      </c>
      <c r="C1184" s="2" t="s">
        <v>307</v>
      </c>
      <c r="D1184" s="2" t="s">
        <v>20</v>
      </c>
      <c r="E1184" s="3">
        <v>98422</v>
      </c>
      <c r="F1184" s="4" t="s">
        <v>230</v>
      </c>
      <c r="G1184" s="2" t="s">
        <v>348</v>
      </c>
      <c r="H1184" s="2" t="s">
        <v>2197</v>
      </c>
      <c r="I1184" s="2" t="s">
        <v>212</v>
      </c>
      <c r="J1184" s="2" t="s">
        <v>213</v>
      </c>
      <c r="K1184" s="4" t="s">
        <v>2198</v>
      </c>
      <c r="L1184" s="4" t="s">
        <v>27</v>
      </c>
      <c r="M1184" s="4" t="s">
        <v>308</v>
      </c>
      <c r="N1184" s="5">
        <v>307978478</v>
      </c>
      <c r="O1184" s="2" t="s">
        <v>309</v>
      </c>
      <c r="P1184" s="2" t="s">
        <v>310</v>
      </c>
      <c r="Q1184" s="4" t="s">
        <v>311</v>
      </c>
    </row>
    <row r="1185" spans="1:17" hidden="1" x14ac:dyDescent="0.2">
      <c r="A1185" s="2" t="s">
        <v>2199</v>
      </c>
      <c r="B1185" s="2" t="s">
        <v>110</v>
      </c>
      <c r="C1185" s="2" t="s">
        <v>2063</v>
      </c>
      <c r="D1185" s="2" t="s">
        <v>20</v>
      </c>
      <c r="E1185" s="3">
        <v>98388</v>
      </c>
      <c r="F1185" s="4" t="s">
        <v>219</v>
      </c>
      <c r="G1185" s="2" t="s">
        <v>348</v>
      </c>
      <c r="H1185" s="2" t="s">
        <v>2197</v>
      </c>
      <c r="I1185" s="2" t="s">
        <v>212</v>
      </c>
      <c r="J1185" s="2" t="s">
        <v>213</v>
      </c>
      <c r="K1185" s="4" t="s">
        <v>2198</v>
      </c>
      <c r="L1185" s="4" t="s">
        <v>27</v>
      </c>
      <c r="M1185" s="4" t="s">
        <v>478</v>
      </c>
      <c r="N1185" s="5">
        <v>234499450</v>
      </c>
      <c r="O1185" s="2" t="s">
        <v>2064</v>
      </c>
      <c r="P1185" s="2" t="s">
        <v>2065</v>
      </c>
      <c r="Q1185" s="4" t="s">
        <v>2066</v>
      </c>
    </row>
    <row r="1186" spans="1:17" hidden="1" x14ac:dyDescent="0.2">
      <c r="A1186" s="2" t="s">
        <v>2200</v>
      </c>
      <c r="B1186" s="2" t="s">
        <v>207</v>
      </c>
      <c r="C1186" s="2" t="s">
        <v>208</v>
      </c>
      <c r="D1186" s="2" t="s">
        <v>20</v>
      </c>
      <c r="E1186" s="3">
        <v>98274</v>
      </c>
      <c r="F1186" s="4" t="s">
        <v>230</v>
      </c>
      <c r="G1186" s="2" t="s">
        <v>348</v>
      </c>
      <c r="H1186" s="2" t="s">
        <v>2197</v>
      </c>
      <c r="I1186" s="2" t="s">
        <v>212</v>
      </c>
      <c r="J1186" s="2" t="s">
        <v>213</v>
      </c>
      <c r="K1186" s="4" t="s">
        <v>2198</v>
      </c>
      <c r="L1186" s="4" t="s">
        <v>27</v>
      </c>
      <c r="M1186" s="4" t="s">
        <v>96</v>
      </c>
      <c r="N1186" s="5">
        <v>220385476</v>
      </c>
      <c r="O1186" s="2" t="s">
        <v>215</v>
      </c>
      <c r="P1186" s="2" t="s">
        <v>30</v>
      </c>
      <c r="Q1186" s="4" t="s">
        <v>2201</v>
      </c>
    </row>
    <row r="1187" spans="1:17" hidden="1" x14ac:dyDescent="0.2">
      <c r="A1187" s="2" t="s">
        <v>2202</v>
      </c>
      <c r="B1187" s="2" t="s">
        <v>40</v>
      </c>
      <c r="C1187" s="2" t="s">
        <v>268</v>
      </c>
      <c r="D1187" s="2" t="s">
        <v>20</v>
      </c>
      <c r="E1187" s="3">
        <v>98026</v>
      </c>
      <c r="F1187" s="4" t="s">
        <v>121</v>
      </c>
      <c r="G1187" s="2" t="s">
        <v>2010</v>
      </c>
      <c r="H1187" s="2" t="s">
        <v>2203</v>
      </c>
      <c r="I1187" s="2" t="s">
        <v>212</v>
      </c>
      <c r="J1187" s="2" t="s">
        <v>298</v>
      </c>
      <c r="K1187" s="4" t="s">
        <v>27</v>
      </c>
      <c r="L1187" s="4" t="s">
        <v>27</v>
      </c>
      <c r="M1187" s="4" t="s">
        <v>26</v>
      </c>
      <c r="N1187" s="5">
        <v>267276481</v>
      </c>
      <c r="O1187" s="2" t="s">
        <v>640</v>
      </c>
      <c r="P1187" s="2" t="s">
        <v>30</v>
      </c>
      <c r="Q1187" s="4" t="s">
        <v>813</v>
      </c>
    </row>
    <row r="1188" spans="1:17" x14ac:dyDescent="0.2">
      <c r="A1188" s="2" t="s">
        <v>2204</v>
      </c>
      <c r="B1188" s="2" t="s">
        <v>40</v>
      </c>
      <c r="C1188" s="2" t="s">
        <v>383</v>
      </c>
      <c r="D1188" s="2" t="s">
        <v>20</v>
      </c>
      <c r="E1188" s="3">
        <v>98208</v>
      </c>
      <c r="F1188" s="4" t="s">
        <v>121</v>
      </c>
      <c r="G1188" s="2" t="s">
        <v>2010</v>
      </c>
      <c r="H1188" s="2" t="s">
        <v>2205</v>
      </c>
      <c r="I1188" s="2" t="s">
        <v>24</v>
      </c>
      <c r="J1188" s="2" t="s">
        <v>213</v>
      </c>
      <c r="K1188" s="4" t="s">
        <v>909</v>
      </c>
      <c r="L1188" s="4" t="s">
        <v>27</v>
      </c>
      <c r="M1188" s="4" t="s">
        <v>116</v>
      </c>
      <c r="N1188" s="5">
        <v>274147338</v>
      </c>
      <c r="O1188" s="2" t="s">
        <v>384</v>
      </c>
      <c r="P1188" s="2" t="s">
        <v>30</v>
      </c>
      <c r="Q1188" s="4" t="s">
        <v>2206</v>
      </c>
    </row>
    <row r="1189" spans="1:17" x14ac:dyDescent="0.2">
      <c r="A1189" s="2" t="s">
        <v>2207</v>
      </c>
      <c r="B1189" s="2" t="s">
        <v>313</v>
      </c>
      <c r="C1189" s="2" t="s">
        <v>313</v>
      </c>
      <c r="D1189" s="2" t="s">
        <v>20</v>
      </c>
      <c r="E1189" s="3">
        <v>99362</v>
      </c>
      <c r="F1189" s="4" t="s">
        <v>121</v>
      </c>
      <c r="G1189" s="2" t="s">
        <v>2010</v>
      </c>
      <c r="H1189" s="2" t="s">
        <v>2205</v>
      </c>
      <c r="I1189" s="2" t="s">
        <v>24</v>
      </c>
      <c r="J1189" s="2" t="s">
        <v>213</v>
      </c>
      <c r="K1189" s="4" t="s">
        <v>909</v>
      </c>
      <c r="L1189" s="4" t="s">
        <v>27</v>
      </c>
      <c r="M1189" s="4" t="s">
        <v>314</v>
      </c>
      <c r="N1189" s="5">
        <v>276685608</v>
      </c>
      <c r="O1189" s="2" t="s">
        <v>315</v>
      </c>
      <c r="P1189" s="2" t="s">
        <v>52</v>
      </c>
      <c r="Q1189" s="4" t="s">
        <v>2208</v>
      </c>
    </row>
    <row r="1190" spans="1:17" x14ac:dyDescent="0.2">
      <c r="A1190" s="2" t="s">
        <v>2209</v>
      </c>
      <c r="B1190" s="2" t="s">
        <v>33</v>
      </c>
      <c r="C1190" s="2" t="s">
        <v>146</v>
      </c>
      <c r="D1190" s="2" t="s">
        <v>20</v>
      </c>
      <c r="E1190" s="3">
        <v>98004</v>
      </c>
      <c r="F1190" s="4" t="s">
        <v>121</v>
      </c>
      <c r="G1190" s="2" t="s">
        <v>2010</v>
      </c>
      <c r="H1190" s="2" t="s">
        <v>2205</v>
      </c>
      <c r="I1190" s="2" t="s">
        <v>24</v>
      </c>
      <c r="J1190" s="2" t="s">
        <v>213</v>
      </c>
      <c r="K1190" s="4" t="s">
        <v>909</v>
      </c>
      <c r="L1190" s="4" t="s">
        <v>27</v>
      </c>
      <c r="M1190" s="4" t="s">
        <v>147</v>
      </c>
      <c r="N1190" s="5">
        <v>271936220</v>
      </c>
      <c r="O1190" s="2" t="s">
        <v>148</v>
      </c>
      <c r="P1190" s="2" t="s">
        <v>37</v>
      </c>
      <c r="Q1190" s="4" t="s">
        <v>149</v>
      </c>
    </row>
    <row r="1191" spans="1:17" x14ac:dyDescent="0.2">
      <c r="A1191" s="2" t="s">
        <v>2210</v>
      </c>
      <c r="B1191" s="2" t="s">
        <v>18</v>
      </c>
      <c r="C1191" s="2" t="s">
        <v>218</v>
      </c>
      <c r="D1191" s="2" t="s">
        <v>20</v>
      </c>
      <c r="E1191" s="3">
        <v>98311</v>
      </c>
      <c r="F1191" s="4" t="s">
        <v>130</v>
      </c>
      <c r="G1191" s="2" t="s">
        <v>2010</v>
      </c>
      <c r="H1191" s="2" t="s">
        <v>2205</v>
      </c>
      <c r="I1191" s="2" t="s">
        <v>24</v>
      </c>
      <c r="J1191" s="2" t="s">
        <v>213</v>
      </c>
      <c r="K1191" s="4" t="s">
        <v>74</v>
      </c>
      <c r="L1191" s="4" t="s">
        <v>27</v>
      </c>
      <c r="M1191" s="4" t="s">
        <v>28</v>
      </c>
      <c r="N1191" s="5">
        <v>281377456</v>
      </c>
      <c r="O1191" s="2" t="s">
        <v>222</v>
      </c>
      <c r="P1191" s="2" t="s">
        <v>30</v>
      </c>
      <c r="Q1191" s="4" t="s">
        <v>2211</v>
      </c>
    </row>
    <row r="1192" spans="1:17" hidden="1" x14ac:dyDescent="0.2">
      <c r="A1192" s="2" t="s">
        <v>2212</v>
      </c>
      <c r="B1192" s="2" t="s">
        <v>33</v>
      </c>
      <c r="C1192" s="2" t="s">
        <v>83</v>
      </c>
      <c r="D1192" s="2" t="s">
        <v>20</v>
      </c>
      <c r="E1192" s="3">
        <v>98117</v>
      </c>
      <c r="F1192" s="4" t="s">
        <v>21</v>
      </c>
      <c r="G1192" s="2" t="s">
        <v>2010</v>
      </c>
      <c r="H1192" s="2" t="s">
        <v>2203</v>
      </c>
      <c r="I1192" s="2" t="s">
        <v>212</v>
      </c>
      <c r="J1192" s="2" t="s">
        <v>298</v>
      </c>
      <c r="K1192" s="4" t="s">
        <v>27</v>
      </c>
      <c r="L1192" s="4" t="s">
        <v>27</v>
      </c>
      <c r="M1192" s="4" t="s">
        <v>84</v>
      </c>
      <c r="N1192" s="5">
        <v>254040573</v>
      </c>
      <c r="O1192" s="2" t="s">
        <v>622</v>
      </c>
      <c r="P1192" s="2" t="s">
        <v>86</v>
      </c>
      <c r="Q1192" s="4" t="s">
        <v>2213</v>
      </c>
    </row>
    <row r="1193" spans="1:17" hidden="1" x14ac:dyDescent="0.2">
      <c r="A1193" s="2" t="s">
        <v>2214</v>
      </c>
      <c r="B1193" s="2" t="s">
        <v>33</v>
      </c>
      <c r="C1193" s="2" t="s">
        <v>83</v>
      </c>
      <c r="D1193" s="2" t="s">
        <v>20</v>
      </c>
      <c r="E1193" s="3">
        <v>98178</v>
      </c>
      <c r="F1193" s="4" t="s">
        <v>401</v>
      </c>
      <c r="G1193" s="2" t="s">
        <v>2010</v>
      </c>
      <c r="H1193" s="2" t="s">
        <v>2203</v>
      </c>
      <c r="I1193" s="2" t="s">
        <v>212</v>
      </c>
      <c r="J1193" s="2" t="s">
        <v>213</v>
      </c>
      <c r="K1193" s="4" t="s">
        <v>2215</v>
      </c>
      <c r="L1193" s="4" t="s">
        <v>27</v>
      </c>
      <c r="M1193" s="4" t="s">
        <v>284</v>
      </c>
      <c r="N1193" s="5">
        <v>8996998</v>
      </c>
      <c r="O1193" s="2" t="s">
        <v>1301</v>
      </c>
      <c r="P1193" s="2" t="s">
        <v>86</v>
      </c>
      <c r="Q1193" s="4" t="s">
        <v>1302</v>
      </c>
    </row>
    <row r="1194" spans="1:17" hidden="1" x14ac:dyDescent="0.2">
      <c r="A1194" s="2" t="s">
        <v>2216</v>
      </c>
      <c r="B1194" s="2" t="s">
        <v>18</v>
      </c>
      <c r="C1194" s="2" t="s">
        <v>218</v>
      </c>
      <c r="D1194" s="2" t="s">
        <v>20</v>
      </c>
      <c r="E1194" s="3">
        <v>98310</v>
      </c>
      <c r="F1194" s="4" t="s">
        <v>401</v>
      </c>
      <c r="G1194" s="2" t="s">
        <v>2010</v>
      </c>
      <c r="H1194" s="2" t="s">
        <v>2203</v>
      </c>
      <c r="I1194" s="2" t="s">
        <v>212</v>
      </c>
      <c r="J1194" s="2" t="s">
        <v>213</v>
      </c>
      <c r="K1194" s="4" t="s">
        <v>2215</v>
      </c>
      <c r="L1194" s="4" t="s">
        <v>27</v>
      </c>
      <c r="M1194" s="4" t="s">
        <v>28</v>
      </c>
      <c r="N1194" s="5">
        <v>120214083</v>
      </c>
      <c r="O1194" s="2" t="s">
        <v>743</v>
      </c>
      <c r="P1194" s="2" t="s">
        <v>30</v>
      </c>
      <c r="Q1194" s="4" t="s">
        <v>2217</v>
      </c>
    </row>
    <row r="1195" spans="1:17" hidden="1" x14ac:dyDescent="0.2">
      <c r="A1195" s="2" t="s">
        <v>2218</v>
      </c>
      <c r="B1195" s="2" t="s">
        <v>1120</v>
      </c>
      <c r="C1195" s="2" t="s">
        <v>2219</v>
      </c>
      <c r="D1195" s="2" t="s">
        <v>20</v>
      </c>
      <c r="E1195" s="3">
        <v>98802</v>
      </c>
      <c r="F1195" s="4" t="s">
        <v>21</v>
      </c>
      <c r="G1195" s="2" t="s">
        <v>2010</v>
      </c>
      <c r="H1195" s="2" t="s">
        <v>2203</v>
      </c>
      <c r="I1195" s="2" t="s">
        <v>212</v>
      </c>
      <c r="J1195" s="2" t="s">
        <v>298</v>
      </c>
      <c r="K1195" s="4" t="s">
        <v>27</v>
      </c>
      <c r="L1195" s="4" t="s">
        <v>27</v>
      </c>
      <c r="M1195" s="4" t="s">
        <v>177</v>
      </c>
      <c r="N1195" s="5">
        <v>230835048</v>
      </c>
      <c r="O1195" s="2" t="s">
        <v>2220</v>
      </c>
      <c r="P1195" s="2" t="s">
        <v>1123</v>
      </c>
      <c r="Q1195" s="4" t="s">
        <v>2221</v>
      </c>
    </row>
    <row r="1196" spans="1:17" hidden="1" x14ac:dyDescent="0.2">
      <c r="A1196" s="2" t="s">
        <v>2222</v>
      </c>
      <c r="B1196" s="2" t="s">
        <v>55</v>
      </c>
      <c r="C1196" s="2" t="s">
        <v>56</v>
      </c>
      <c r="D1196" s="2" t="s">
        <v>20</v>
      </c>
      <c r="E1196" s="3">
        <v>98607</v>
      </c>
      <c r="F1196" s="4" t="s">
        <v>57</v>
      </c>
      <c r="G1196" s="2" t="s">
        <v>2010</v>
      </c>
      <c r="H1196" s="2" t="s">
        <v>2011</v>
      </c>
      <c r="I1196" s="2" t="s">
        <v>212</v>
      </c>
      <c r="J1196" s="2" t="s">
        <v>298</v>
      </c>
      <c r="K1196" s="4" t="s">
        <v>27</v>
      </c>
      <c r="L1196" s="4" t="s">
        <v>27</v>
      </c>
      <c r="M1196" s="4" t="s">
        <v>58</v>
      </c>
      <c r="N1196" s="5">
        <v>210098367</v>
      </c>
      <c r="O1196" s="2" t="s">
        <v>59</v>
      </c>
      <c r="P1196" s="2" t="s">
        <v>60</v>
      </c>
      <c r="Q1196" s="4" t="s">
        <v>1310</v>
      </c>
    </row>
    <row r="1197" spans="1:17" hidden="1" x14ac:dyDescent="0.2">
      <c r="A1197" s="2" t="s">
        <v>2223</v>
      </c>
      <c r="B1197" s="2" t="s">
        <v>33</v>
      </c>
      <c r="C1197" s="2" t="s">
        <v>1589</v>
      </c>
      <c r="D1197" s="2" t="s">
        <v>20</v>
      </c>
      <c r="E1197" s="3">
        <v>98042</v>
      </c>
      <c r="F1197" s="4" t="s">
        <v>121</v>
      </c>
      <c r="G1197" s="2" t="s">
        <v>2010</v>
      </c>
      <c r="H1197" s="2" t="s">
        <v>2011</v>
      </c>
      <c r="I1197" s="2" t="s">
        <v>212</v>
      </c>
      <c r="J1197" s="2" t="s">
        <v>298</v>
      </c>
      <c r="K1197" s="4" t="s">
        <v>27</v>
      </c>
      <c r="L1197" s="4" t="s">
        <v>27</v>
      </c>
      <c r="M1197" s="4" t="s">
        <v>69</v>
      </c>
      <c r="N1197" s="5">
        <v>267768917</v>
      </c>
      <c r="O1197" s="2" t="s">
        <v>1398</v>
      </c>
      <c r="P1197" s="2" t="s">
        <v>37</v>
      </c>
      <c r="Q1197" s="4" t="s">
        <v>2224</v>
      </c>
    </row>
    <row r="1198" spans="1:17" hidden="1" x14ac:dyDescent="0.2">
      <c r="A1198" s="2" t="s">
        <v>2225</v>
      </c>
      <c r="B1198" s="2" t="s">
        <v>33</v>
      </c>
      <c r="C1198" s="2" t="s">
        <v>83</v>
      </c>
      <c r="D1198" s="2" t="s">
        <v>20</v>
      </c>
      <c r="E1198" s="3">
        <v>98118</v>
      </c>
      <c r="F1198" s="4" t="s">
        <v>21</v>
      </c>
      <c r="G1198" s="2" t="s">
        <v>2010</v>
      </c>
      <c r="H1198" s="2" t="s">
        <v>2011</v>
      </c>
      <c r="I1198" s="2" t="s">
        <v>212</v>
      </c>
      <c r="J1198" s="2" t="s">
        <v>298</v>
      </c>
      <c r="K1198" s="4" t="s">
        <v>27</v>
      </c>
      <c r="L1198" s="4" t="s">
        <v>27</v>
      </c>
      <c r="M1198" s="4" t="s">
        <v>284</v>
      </c>
      <c r="N1198" s="5">
        <v>252677099</v>
      </c>
      <c r="O1198" s="2" t="s">
        <v>523</v>
      </c>
      <c r="P1198" s="2" t="s">
        <v>86</v>
      </c>
      <c r="Q1198" s="4" t="s">
        <v>524</v>
      </c>
    </row>
    <row r="1199" spans="1:17" hidden="1" x14ac:dyDescent="0.2">
      <c r="A1199" s="2" t="s">
        <v>2226</v>
      </c>
      <c r="B1199" s="2" t="s">
        <v>688</v>
      </c>
      <c r="C1199" s="2" t="s">
        <v>689</v>
      </c>
      <c r="D1199" s="2" t="s">
        <v>20</v>
      </c>
      <c r="E1199" s="3">
        <v>98225</v>
      </c>
      <c r="F1199" s="4" t="s">
        <v>21</v>
      </c>
      <c r="G1199" s="2" t="s">
        <v>2010</v>
      </c>
      <c r="H1199" s="2" t="s">
        <v>2011</v>
      </c>
      <c r="I1199" s="2" t="s">
        <v>212</v>
      </c>
      <c r="J1199" s="2" t="s">
        <v>298</v>
      </c>
      <c r="K1199" s="4" t="s">
        <v>27</v>
      </c>
      <c r="L1199" s="4" t="s">
        <v>27</v>
      </c>
      <c r="M1199" s="4" t="s">
        <v>409</v>
      </c>
      <c r="N1199" s="5">
        <v>230881136</v>
      </c>
      <c r="O1199" s="2" t="s">
        <v>1716</v>
      </c>
      <c r="P1199" s="2" t="s">
        <v>692</v>
      </c>
      <c r="Q1199" s="4" t="s">
        <v>1717</v>
      </c>
    </row>
    <row r="1200" spans="1:17" hidden="1" x14ac:dyDescent="0.2">
      <c r="A1200" s="2" t="s">
        <v>2227</v>
      </c>
      <c r="B1200" s="2" t="s">
        <v>33</v>
      </c>
      <c r="C1200" s="2" t="s">
        <v>186</v>
      </c>
      <c r="D1200" s="2" t="s">
        <v>20</v>
      </c>
      <c r="E1200" s="3">
        <v>98023</v>
      </c>
      <c r="F1200" s="4" t="s">
        <v>21</v>
      </c>
      <c r="G1200" s="2" t="s">
        <v>2010</v>
      </c>
      <c r="H1200" s="2" t="s">
        <v>2011</v>
      </c>
      <c r="I1200" s="2" t="s">
        <v>212</v>
      </c>
      <c r="J1200" s="2" t="s">
        <v>298</v>
      </c>
      <c r="K1200" s="4" t="s">
        <v>27</v>
      </c>
      <c r="L1200" s="4" t="s">
        <v>27</v>
      </c>
      <c r="M1200" s="4" t="s">
        <v>187</v>
      </c>
      <c r="N1200" s="5">
        <v>227374493</v>
      </c>
      <c r="O1200" s="2" t="s">
        <v>188</v>
      </c>
      <c r="P1200" s="2" t="s">
        <v>37</v>
      </c>
      <c r="Q1200" s="4" t="s">
        <v>1675</v>
      </c>
    </row>
    <row r="1201" spans="1:17" hidden="1" x14ac:dyDescent="0.2">
      <c r="A1201" s="2" t="s">
        <v>2228</v>
      </c>
      <c r="B1201" s="2" t="s">
        <v>40</v>
      </c>
      <c r="C1201" s="2" t="s">
        <v>73</v>
      </c>
      <c r="D1201" s="2" t="s">
        <v>20</v>
      </c>
      <c r="E1201" s="3">
        <v>98037</v>
      </c>
      <c r="F1201" s="4" t="s">
        <v>57</v>
      </c>
      <c r="G1201" s="2" t="s">
        <v>2010</v>
      </c>
      <c r="H1201" s="2" t="s">
        <v>2011</v>
      </c>
      <c r="I1201" s="2" t="s">
        <v>212</v>
      </c>
      <c r="J1201" s="2" t="s">
        <v>298</v>
      </c>
      <c r="K1201" s="4" t="s">
        <v>27</v>
      </c>
      <c r="L1201" s="4" t="s">
        <v>27</v>
      </c>
      <c r="M1201" s="4" t="s">
        <v>74</v>
      </c>
      <c r="N1201" s="5">
        <v>208648835</v>
      </c>
      <c r="O1201" s="2" t="s">
        <v>1400</v>
      </c>
      <c r="P1201" s="2" t="s">
        <v>30</v>
      </c>
      <c r="Q1201" s="4" t="s">
        <v>1401</v>
      </c>
    </row>
    <row r="1202" spans="1:17" hidden="1" x14ac:dyDescent="0.2">
      <c r="A1202" s="2" t="s">
        <v>2229</v>
      </c>
      <c r="B1202" s="2" t="s">
        <v>33</v>
      </c>
      <c r="C1202" s="2" t="s">
        <v>197</v>
      </c>
      <c r="D1202" s="2" t="s">
        <v>20</v>
      </c>
      <c r="E1202" s="3">
        <v>98072</v>
      </c>
      <c r="F1202" s="4" t="s">
        <v>21</v>
      </c>
      <c r="G1202" s="2" t="s">
        <v>2010</v>
      </c>
      <c r="H1202" s="2" t="s">
        <v>2011</v>
      </c>
      <c r="I1202" s="2" t="s">
        <v>212</v>
      </c>
      <c r="J1202" s="2" t="s">
        <v>298</v>
      </c>
      <c r="K1202" s="4" t="s">
        <v>27</v>
      </c>
      <c r="L1202" s="4" t="s">
        <v>27</v>
      </c>
      <c r="M1202" s="4" t="s">
        <v>198</v>
      </c>
      <c r="N1202" s="5">
        <v>253355672</v>
      </c>
      <c r="O1202" s="2" t="s">
        <v>199</v>
      </c>
      <c r="P1202" s="2" t="s">
        <v>37</v>
      </c>
      <c r="Q1202" s="4" t="s">
        <v>200</v>
      </c>
    </row>
    <row r="1203" spans="1:17" hidden="1" x14ac:dyDescent="0.2">
      <c r="A1203" s="2" t="s">
        <v>2230</v>
      </c>
      <c r="B1203" s="2" t="s">
        <v>33</v>
      </c>
      <c r="C1203" s="2" t="s">
        <v>464</v>
      </c>
      <c r="D1203" s="2" t="s">
        <v>20</v>
      </c>
      <c r="E1203" s="3">
        <v>98045</v>
      </c>
      <c r="F1203" s="4" t="s">
        <v>21</v>
      </c>
      <c r="G1203" s="2" t="s">
        <v>2010</v>
      </c>
      <c r="H1203" s="2" t="s">
        <v>2011</v>
      </c>
      <c r="I1203" s="2" t="s">
        <v>212</v>
      </c>
      <c r="J1203" s="2" t="s">
        <v>298</v>
      </c>
      <c r="K1203" s="4" t="s">
        <v>27</v>
      </c>
      <c r="L1203" s="4" t="s">
        <v>27</v>
      </c>
      <c r="M1203" s="4" t="s">
        <v>35</v>
      </c>
      <c r="N1203" s="5">
        <v>245711091</v>
      </c>
      <c r="O1203" s="2" t="s">
        <v>465</v>
      </c>
      <c r="P1203" s="2" t="s">
        <v>37</v>
      </c>
      <c r="Q1203" s="4" t="s">
        <v>757</v>
      </c>
    </row>
    <row r="1204" spans="1:17" hidden="1" x14ac:dyDescent="0.2">
      <c r="A1204" s="2" t="s">
        <v>2230</v>
      </c>
      <c r="B1204" s="2" t="s">
        <v>33</v>
      </c>
      <c r="C1204" s="2" t="s">
        <v>169</v>
      </c>
      <c r="D1204" s="2" t="s">
        <v>20</v>
      </c>
      <c r="E1204" s="3">
        <v>98034</v>
      </c>
      <c r="F1204" s="4" t="s">
        <v>21</v>
      </c>
      <c r="G1204" s="2" t="s">
        <v>2010</v>
      </c>
      <c r="H1204" s="2" t="s">
        <v>2011</v>
      </c>
      <c r="I1204" s="2" t="s">
        <v>212</v>
      </c>
      <c r="J1204" s="2" t="s">
        <v>298</v>
      </c>
      <c r="K1204" s="4" t="s">
        <v>27</v>
      </c>
      <c r="L1204" s="4" t="s">
        <v>27</v>
      </c>
      <c r="M1204" s="4" t="s">
        <v>198</v>
      </c>
      <c r="N1204" s="5">
        <v>230275363</v>
      </c>
      <c r="O1204" s="2" t="s">
        <v>171</v>
      </c>
      <c r="P1204" s="2" t="s">
        <v>37</v>
      </c>
      <c r="Q1204" s="4" t="s">
        <v>1316</v>
      </c>
    </row>
    <row r="1205" spans="1:17" hidden="1" x14ac:dyDescent="0.2">
      <c r="A1205" s="2" t="s">
        <v>2231</v>
      </c>
      <c r="B1205" s="2" t="s">
        <v>331</v>
      </c>
      <c r="C1205" s="2" t="s">
        <v>331</v>
      </c>
      <c r="D1205" s="2" t="s">
        <v>20</v>
      </c>
      <c r="E1205" s="3">
        <v>99205</v>
      </c>
      <c r="F1205" s="4" t="s">
        <v>121</v>
      </c>
      <c r="G1205" s="2" t="s">
        <v>2010</v>
      </c>
      <c r="H1205" s="2" t="s">
        <v>2011</v>
      </c>
      <c r="I1205" s="2" t="s">
        <v>212</v>
      </c>
      <c r="J1205" s="2" t="s">
        <v>298</v>
      </c>
      <c r="K1205" s="4" t="s">
        <v>27</v>
      </c>
      <c r="L1205" s="4" t="s">
        <v>27</v>
      </c>
      <c r="M1205" s="4" t="s">
        <v>391</v>
      </c>
      <c r="N1205" s="5">
        <v>274293358</v>
      </c>
      <c r="O1205" s="2" t="s">
        <v>730</v>
      </c>
      <c r="P1205" s="2" t="s">
        <v>393</v>
      </c>
      <c r="Q1205" s="4" t="s">
        <v>731</v>
      </c>
    </row>
    <row r="1206" spans="1:17" hidden="1" x14ac:dyDescent="0.2">
      <c r="A1206" s="2" t="s">
        <v>2232</v>
      </c>
      <c r="B1206" s="2" t="s">
        <v>33</v>
      </c>
      <c r="C1206" s="2" t="s">
        <v>83</v>
      </c>
      <c r="D1206" s="2" t="s">
        <v>20</v>
      </c>
      <c r="E1206" s="3">
        <v>98119</v>
      </c>
      <c r="F1206" s="4" t="s">
        <v>121</v>
      </c>
      <c r="G1206" s="2" t="s">
        <v>2010</v>
      </c>
      <c r="H1206" s="2" t="s">
        <v>2011</v>
      </c>
      <c r="I1206" s="2" t="s">
        <v>212</v>
      </c>
      <c r="J1206" s="2" t="s">
        <v>298</v>
      </c>
      <c r="K1206" s="4" t="s">
        <v>27</v>
      </c>
      <c r="L1206" s="4" t="s">
        <v>27</v>
      </c>
      <c r="M1206" s="4" t="s">
        <v>84</v>
      </c>
      <c r="N1206" s="5">
        <v>261480208</v>
      </c>
      <c r="O1206" s="2" t="s">
        <v>650</v>
      </c>
      <c r="P1206" s="2" t="s">
        <v>86</v>
      </c>
      <c r="Q1206" s="4" t="s">
        <v>1818</v>
      </c>
    </row>
    <row r="1207" spans="1:17" hidden="1" x14ac:dyDescent="0.2">
      <c r="A1207" s="2" t="s">
        <v>2233</v>
      </c>
      <c r="B1207" s="2" t="s">
        <v>18</v>
      </c>
      <c r="C1207" s="2" t="s">
        <v>19</v>
      </c>
      <c r="D1207" s="2" t="s">
        <v>20</v>
      </c>
      <c r="E1207" s="3">
        <v>98370</v>
      </c>
      <c r="F1207" s="4" t="s">
        <v>121</v>
      </c>
      <c r="G1207" s="2" t="s">
        <v>2010</v>
      </c>
      <c r="H1207" s="2" t="s">
        <v>2011</v>
      </c>
      <c r="I1207" s="2" t="s">
        <v>212</v>
      </c>
      <c r="J1207" s="2" t="s">
        <v>298</v>
      </c>
      <c r="K1207" s="4" t="s">
        <v>27</v>
      </c>
      <c r="L1207" s="4" t="s">
        <v>27</v>
      </c>
      <c r="M1207" s="4" t="s">
        <v>28</v>
      </c>
      <c r="N1207" s="5">
        <v>276691852</v>
      </c>
      <c r="O1207" s="2" t="s">
        <v>29</v>
      </c>
      <c r="P1207" s="2" t="s">
        <v>30</v>
      </c>
      <c r="Q1207" s="4" t="s">
        <v>343</v>
      </c>
    </row>
    <row r="1208" spans="1:17" hidden="1" x14ac:dyDescent="0.2">
      <c r="A1208" s="2" t="s">
        <v>2233</v>
      </c>
      <c r="B1208" s="2" t="s">
        <v>33</v>
      </c>
      <c r="C1208" s="2" t="s">
        <v>669</v>
      </c>
      <c r="D1208" s="2" t="s">
        <v>20</v>
      </c>
      <c r="E1208" s="3">
        <v>98052</v>
      </c>
      <c r="F1208" s="4" t="s">
        <v>121</v>
      </c>
      <c r="G1208" s="2" t="s">
        <v>2010</v>
      </c>
      <c r="H1208" s="2" t="s">
        <v>2011</v>
      </c>
      <c r="I1208" s="2" t="s">
        <v>212</v>
      </c>
      <c r="J1208" s="2" t="s">
        <v>298</v>
      </c>
      <c r="K1208" s="4" t="s">
        <v>27</v>
      </c>
      <c r="L1208" s="4" t="s">
        <v>27</v>
      </c>
      <c r="M1208" s="4" t="s">
        <v>147</v>
      </c>
      <c r="N1208" s="5">
        <v>272406221</v>
      </c>
      <c r="O1208" s="2" t="s">
        <v>670</v>
      </c>
      <c r="P1208" s="2" t="s">
        <v>37</v>
      </c>
      <c r="Q1208" s="4" t="s">
        <v>684</v>
      </c>
    </row>
    <row r="1209" spans="1:17" hidden="1" x14ac:dyDescent="0.2">
      <c r="A1209" s="2" t="s">
        <v>2234</v>
      </c>
      <c r="B1209" s="2" t="s">
        <v>551</v>
      </c>
      <c r="C1209" s="2" t="s">
        <v>552</v>
      </c>
      <c r="D1209" s="2" t="s">
        <v>20</v>
      </c>
      <c r="E1209" s="3">
        <v>98382</v>
      </c>
      <c r="F1209" s="4" t="s">
        <v>21</v>
      </c>
      <c r="G1209" s="2" t="s">
        <v>2010</v>
      </c>
      <c r="H1209" s="2" t="s">
        <v>2011</v>
      </c>
      <c r="I1209" s="2" t="s">
        <v>212</v>
      </c>
      <c r="J1209" s="2" t="s">
        <v>298</v>
      </c>
      <c r="K1209" s="4" t="s">
        <v>27</v>
      </c>
      <c r="L1209" s="4" t="s">
        <v>27</v>
      </c>
      <c r="M1209" s="4" t="s">
        <v>509</v>
      </c>
      <c r="N1209" s="5">
        <v>233618591</v>
      </c>
      <c r="O1209" s="2" t="s">
        <v>553</v>
      </c>
      <c r="P1209" s="2" t="s">
        <v>554</v>
      </c>
      <c r="Q1209" s="4" t="s">
        <v>555</v>
      </c>
    </row>
    <row r="1210" spans="1:17" hidden="1" x14ac:dyDescent="0.2">
      <c r="A1210" s="2" t="s">
        <v>2235</v>
      </c>
      <c r="B1210" s="2" t="s">
        <v>40</v>
      </c>
      <c r="C1210" s="2" t="s">
        <v>2236</v>
      </c>
      <c r="D1210" s="2" t="s">
        <v>20</v>
      </c>
      <c r="E1210" s="3">
        <v>98043</v>
      </c>
      <c r="F1210" s="4" t="s">
        <v>21</v>
      </c>
      <c r="G1210" s="2" t="s">
        <v>2010</v>
      </c>
      <c r="H1210" s="2" t="s">
        <v>2011</v>
      </c>
      <c r="I1210" s="2" t="s">
        <v>212</v>
      </c>
      <c r="J1210" s="2" t="s">
        <v>298</v>
      </c>
      <c r="K1210" s="4" t="s">
        <v>27</v>
      </c>
      <c r="L1210" s="4" t="s">
        <v>27</v>
      </c>
      <c r="M1210" s="4" t="s">
        <v>170</v>
      </c>
      <c r="N1210" s="5">
        <v>236528449</v>
      </c>
      <c r="O1210" s="2" t="s">
        <v>2237</v>
      </c>
      <c r="P1210" s="2" t="s">
        <v>30</v>
      </c>
      <c r="Q1210" s="4" t="s">
        <v>2238</v>
      </c>
    </row>
    <row r="1211" spans="1:17" hidden="1" x14ac:dyDescent="0.2">
      <c r="A1211" s="2" t="s">
        <v>2235</v>
      </c>
      <c r="B1211" s="2" t="s">
        <v>40</v>
      </c>
      <c r="C1211" s="2" t="s">
        <v>272</v>
      </c>
      <c r="D1211" s="2" t="s">
        <v>20</v>
      </c>
      <c r="E1211" s="3">
        <v>98271</v>
      </c>
      <c r="F1211" s="4" t="s">
        <v>21</v>
      </c>
      <c r="G1211" s="2" t="s">
        <v>2010</v>
      </c>
      <c r="H1211" s="2" t="s">
        <v>2011</v>
      </c>
      <c r="I1211" s="2" t="s">
        <v>212</v>
      </c>
      <c r="J1211" s="2" t="s">
        <v>298</v>
      </c>
      <c r="K1211" s="4" t="s">
        <v>27</v>
      </c>
      <c r="L1211" s="4" t="s">
        <v>27</v>
      </c>
      <c r="M1211" s="4" t="s">
        <v>44</v>
      </c>
      <c r="N1211" s="5">
        <v>270183910</v>
      </c>
      <c r="O1211" s="2" t="s">
        <v>1506</v>
      </c>
      <c r="P1211" s="2" t="s">
        <v>30</v>
      </c>
      <c r="Q1211" s="4" t="s">
        <v>2239</v>
      </c>
    </row>
    <row r="1212" spans="1:17" hidden="1" x14ac:dyDescent="0.2">
      <c r="A1212" s="2" t="s">
        <v>2240</v>
      </c>
      <c r="B1212" s="2" t="s">
        <v>33</v>
      </c>
      <c r="C1212" s="2" t="s">
        <v>83</v>
      </c>
      <c r="D1212" s="2" t="s">
        <v>20</v>
      </c>
      <c r="E1212" s="3">
        <v>98177</v>
      </c>
      <c r="F1212" s="4" t="s">
        <v>21</v>
      </c>
      <c r="G1212" s="2" t="s">
        <v>2010</v>
      </c>
      <c r="H1212" s="2" t="s">
        <v>2011</v>
      </c>
      <c r="I1212" s="2" t="s">
        <v>212</v>
      </c>
      <c r="J1212" s="2" t="s">
        <v>298</v>
      </c>
      <c r="K1212" s="4" t="s">
        <v>27</v>
      </c>
      <c r="L1212" s="4" t="s">
        <v>27</v>
      </c>
      <c r="M1212" s="4" t="s">
        <v>74</v>
      </c>
      <c r="N1212" s="5">
        <v>226085527</v>
      </c>
      <c r="O1212" s="2" t="s">
        <v>85</v>
      </c>
      <c r="P1212" s="2" t="s">
        <v>86</v>
      </c>
      <c r="Q1212" s="4" t="s">
        <v>798</v>
      </c>
    </row>
    <row r="1213" spans="1:17" hidden="1" x14ac:dyDescent="0.2">
      <c r="A1213" s="2" t="s">
        <v>2241</v>
      </c>
      <c r="B1213" s="2" t="s">
        <v>33</v>
      </c>
      <c r="C1213" s="2" t="s">
        <v>669</v>
      </c>
      <c r="D1213" s="2" t="s">
        <v>20</v>
      </c>
      <c r="E1213" s="3">
        <v>98052</v>
      </c>
      <c r="F1213" s="4" t="s">
        <v>121</v>
      </c>
      <c r="G1213" s="2" t="s">
        <v>2010</v>
      </c>
      <c r="H1213" s="2" t="s">
        <v>2011</v>
      </c>
      <c r="I1213" s="2" t="s">
        <v>212</v>
      </c>
      <c r="J1213" s="2" t="s">
        <v>298</v>
      </c>
      <c r="K1213" s="4" t="s">
        <v>27</v>
      </c>
      <c r="L1213" s="4" t="s">
        <v>27</v>
      </c>
      <c r="M1213" s="4" t="s">
        <v>198</v>
      </c>
      <c r="N1213" s="5">
        <v>269721294</v>
      </c>
      <c r="O1213" s="2" t="s">
        <v>670</v>
      </c>
      <c r="P1213" s="2" t="s">
        <v>37</v>
      </c>
      <c r="Q1213" s="4" t="s">
        <v>1808</v>
      </c>
    </row>
    <row r="1214" spans="1:17" hidden="1" x14ac:dyDescent="0.2">
      <c r="A1214" s="2" t="s">
        <v>2242</v>
      </c>
      <c r="B1214" s="2" t="s">
        <v>33</v>
      </c>
      <c r="C1214" s="2" t="s">
        <v>83</v>
      </c>
      <c r="D1214" s="2" t="s">
        <v>20</v>
      </c>
      <c r="E1214" s="3">
        <v>98122</v>
      </c>
      <c r="F1214" s="4" t="s">
        <v>121</v>
      </c>
      <c r="G1214" s="2" t="s">
        <v>2010</v>
      </c>
      <c r="H1214" s="2" t="s">
        <v>2011</v>
      </c>
      <c r="I1214" s="2" t="s">
        <v>212</v>
      </c>
      <c r="J1214" s="2" t="s">
        <v>298</v>
      </c>
      <c r="K1214" s="4" t="s">
        <v>27</v>
      </c>
      <c r="L1214" s="4" t="s">
        <v>27</v>
      </c>
      <c r="M1214" s="4" t="s">
        <v>284</v>
      </c>
      <c r="N1214" s="5">
        <v>277626786</v>
      </c>
      <c r="O1214" s="2" t="s">
        <v>558</v>
      </c>
      <c r="P1214" s="2" t="s">
        <v>86</v>
      </c>
      <c r="Q1214" s="4" t="s">
        <v>2243</v>
      </c>
    </row>
    <row r="1215" spans="1:17" hidden="1" x14ac:dyDescent="0.2">
      <c r="A1215" s="2" t="s">
        <v>2244</v>
      </c>
      <c r="B1215" s="2" t="s">
        <v>33</v>
      </c>
      <c r="C1215" s="2" t="s">
        <v>83</v>
      </c>
      <c r="D1215" s="2" t="s">
        <v>20</v>
      </c>
      <c r="E1215" s="3">
        <v>98125</v>
      </c>
      <c r="F1215" s="4" t="s">
        <v>121</v>
      </c>
      <c r="G1215" s="2" t="s">
        <v>2010</v>
      </c>
      <c r="H1215" s="2" t="s">
        <v>2011</v>
      </c>
      <c r="I1215" s="2" t="s">
        <v>212</v>
      </c>
      <c r="J1215" s="2" t="s">
        <v>298</v>
      </c>
      <c r="K1215" s="4" t="s">
        <v>27</v>
      </c>
      <c r="L1215" s="4" t="s">
        <v>27</v>
      </c>
      <c r="M1215" s="4" t="s">
        <v>278</v>
      </c>
      <c r="N1215" s="5">
        <v>274528068</v>
      </c>
      <c r="O1215" s="2" t="s">
        <v>279</v>
      </c>
      <c r="P1215" s="2" t="s">
        <v>86</v>
      </c>
      <c r="Q1215" s="4" t="s">
        <v>697</v>
      </c>
    </row>
    <row r="1216" spans="1:17" hidden="1" x14ac:dyDescent="0.2">
      <c r="A1216" s="2" t="s">
        <v>2244</v>
      </c>
      <c r="B1216" s="2" t="s">
        <v>151</v>
      </c>
      <c r="C1216" s="2" t="s">
        <v>152</v>
      </c>
      <c r="D1216" s="2" t="s">
        <v>20</v>
      </c>
      <c r="E1216" s="3">
        <v>98502</v>
      </c>
      <c r="F1216" s="4" t="s">
        <v>121</v>
      </c>
      <c r="G1216" s="2" t="s">
        <v>2010</v>
      </c>
      <c r="H1216" s="2" t="s">
        <v>2011</v>
      </c>
      <c r="I1216" s="2" t="s">
        <v>212</v>
      </c>
      <c r="J1216" s="2" t="s">
        <v>298</v>
      </c>
      <c r="K1216" s="4" t="s">
        <v>27</v>
      </c>
      <c r="L1216" s="4" t="s">
        <v>27</v>
      </c>
      <c r="M1216" s="4" t="s">
        <v>255</v>
      </c>
      <c r="N1216" s="5">
        <v>274921398</v>
      </c>
      <c r="O1216" s="2" t="s">
        <v>337</v>
      </c>
      <c r="P1216" s="2" t="s">
        <v>30</v>
      </c>
      <c r="Q1216" s="4" t="s">
        <v>570</v>
      </c>
    </row>
    <row r="1217" spans="1:17" hidden="1" x14ac:dyDescent="0.2">
      <c r="A1217" s="2" t="s">
        <v>2244</v>
      </c>
      <c r="B1217" s="2" t="s">
        <v>33</v>
      </c>
      <c r="C1217" s="2" t="s">
        <v>146</v>
      </c>
      <c r="D1217" s="2" t="s">
        <v>20</v>
      </c>
      <c r="E1217" s="3">
        <v>98004</v>
      </c>
      <c r="F1217" s="4" t="s">
        <v>121</v>
      </c>
      <c r="G1217" s="2" t="s">
        <v>2010</v>
      </c>
      <c r="H1217" s="2" t="s">
        <v>2011</v>
      </c>
      <c r="I1217" s="2" t="s">
        <v>212</v>
      </c>
      <c r="J1217" s="2" t="s">
        <v>298</v>
      </c>
      <c r="K1217" s="4" t="s">
        <v>27</v>
      </c>
      <c r="L1217" s="4" t="s">
        <v>27</v>
      </c>
      <c r="M1217" s="4" t="s">
        <v>403</v>
      </c>
      <c r="N1217" s="5">
        <v>272486868</v>
      </c>
      <c r="O1217" s="2" t="s">
        <v>148</v>
      </c>
      <c r="P1217" s="2" t="s">
        <v>37</v>
      </c>
      <c r="Q1217" s="4" t="s">
        <v>1250</v>
      </c>
    </row>
    <row r="1218" spans="1:17" hidden="1" x14ac:dyDescent="0.2">
      <c r="A1218" s="2" t="s">
        <v>2245</v>
      </c>
      <c r="B1218" s="2" t="s">
        <v>33</v>
      </c>
      <c r="C1218" s="2" t="s">
        <v>83</v>
      </c>
      <c r="D1218" s="2" t="s">
        <v>20</v>
      </c>
      <c r="E1218" s="3">
        <v>98112</v>
      </c>
      <c r="F1218" s="4" t="s">
        <v>121</v>
      </c>
      <c r="G1218" s="2" t="s">
        <v>2010</v>
      </c>
      <c r="H1218" s="2" t="s">
        <v>2011</v>
      </c>
      <c r="I1218" s="2" t="s">
        <v>212</v>
      </c>
      <c r="J1218" s="2" t="s">
        <v>298</v>
      </c>
      <c r="K1218" s="4" t="s">
        <v>27</v>
      </c>
      <c r="L1218" s="4" t="s">
        <v>27</v>
      </c>
      <c r="M1218" s="4" t="s">
        <v>284</v>
      </c>
      <c r="N1218" s="5">
        <v>261873594</v>
      </c>
      <c r="O1218" s="2" t="s">
        <v>736</v>
      </c>
      <c r="P1218" s="2" t="s">
        <v>86</v>
      </c>
      <c r="Q1218" s="4" t="s">
        <v>1252</v>
      </c>
    </row>
    <row r="1219" spans="1:17" hidden="1" x14ac:dyDescent="0.2">
      <c r="A1219" s="2" t="s">
        <v>2245</v>
      </c>
      <c r="B1219" s="2" t="s">
        <v>33</v>
      </c>
      <c r="C1219" s="2" t="s">
        <v>169</v>
      </c>
      <c r="D1219" s="2" t="s">
        <v>20</v>
      </c>
      <c r="E1219" s="3">
        <v>98034</v>
      </c>
      <c r="F1219" s="4" t="s">
        <v>121</v>
      </c>
      <c r="G1219" s="2" t="s">
        <v>2010</v>
      </c>
      <c r="H1219" s="2" t="s">
        <v>2011</v>
      </c>
      <c r="I1219" s="2" t="s">
        <v>212</v>
      </c>
      <c r="J1219" s="2" t="s">
        <v>298</v>
      </c>
      <c r="K1219" s="4" t="s">
        <v>27</v>
      </c>
      <c r="L1219" s="4" t="s">
        <v>27</v>
      </c>
      <c r="M1219" s="4" t="s">
        <v>198</v>
      </c>
      <c r="N1219" s="5">
        <v>280008795</v>
      </c>
      <c r="O1219" s="2" t="s">
        <v>171</v>
      </c>
      <c r="P1219" s="2" t="s">
        <v>37</v>
      </c>
      <c r="Q1219" s="4" t="s">
        <v>724</v>
      </c>
    </row>
    <row r="1220" spans="1:17" hidden="1" x14ac:dyDescent="0.2">
      <c r="A1220" s="2" t="s">
        <v>2246</v>
      </c>
      <c r="B1220" s="2" t="s">
        <v>33</v>
      </c>
      <c r="C1220" s="2" t="s">
        <v>83</v>
      </c>
      <c r="D1220" s="2" t="s">
        <v>20</v>
      </c>
      <c r="E1220" s="3">
        <v>98103</v>
      </c>
      <c r="F1220" s="4" t="s">
        <v>121</v>
      </c>
      <c r="G1220" s="2" t="s">
        <v>2010</v>
      </c>
      <c r="H1220" s="2" t="s">
        <v>2011</v>
      </c>
      <c r="I1220" s="2" t="s">
        <v>212</v>
      </c>
      <c r="J1220" s="2" t="s">
        <v>298</v>
      </c>
      <c r="K1220" s="4" t="s">
        <v>27</v>
      </c>
      <c r="L1220" s="4" t="s">
        <v>27</v>
      </c>
      <c r="M1220" s="4" t="s">
        <v>84</v>
      </c>
      <c r="N1220" s="5">
        <v>276783923</v>
      </c>
      <c r="O1220" s="2" t="s">
        <v>627</v>
      </c>
      <c r="P1220" s="2" t="s">
        <v>86</v>
      </c>
      <c r="Q1220" s="4" t="s">
        <v>1195</v>
      </c>
    </row>
    <row r="1221" spans="1:17" hidden="1" x14ac:dyDescent="0.2">
      <c r="A1221" s="2" t="s">
        <v>2247</v>
      </c>
      <c r="B1221" s="2" t="s">
        <v>33</v>
      </c>
      <c r="C1221" s="2" t="s">
        <v>83</v>
      </c>
      <c r="D1221" s="2" t="s">
        <v>20</v>
      </c>
      <c r="E1221" s="3">
        <v>98109</v>
      </c>
      <c r="F1221" s="4" t="s">
        <v>130</v>
      </c>
      <c r="G1221" s="2" t="s">
        <v>2010</v>
      </c>
      <c r="H1221" s="2" t="s">
        <v>2248</v>
      </c>
      <c r="I1221" s="2" t="s">
        <v>212</v>
      </c>
      <c r="J1221" s="2" t="s">
        <v>298</v>
      </c>
      <c r="K1221" s="4" t="s">
        <v>27</v>
      </c>
      <c r="L1221" s="4" t="s">
        <v>27</v>
      </c>
      <c r="M1221" s="4" t="s">
        <v>436</v>
      </c>
      <c r="N1221" s="5">
        <v>286019534</v>
      </c>
      <c r="O1221" s="2" t="s">
        <v>437</v>
      </c>
      <c r="P1221" s="2" t="s">
        <v>86</v>
      </c>
      <c r="Q1221" s="4" t="s">
        <v>1090</v>
      </c>
    </row>
    <row r="1222" spans="1:17" hidden="1" x14ac:dyDescent="0.2">
      <c r="A1222" s="2" t="s">
        <v>2249</v>
      </c>
      <c r="B1222" s="2" t="s">
        <v>33</v>
      </c>
      <c r="C1222" s="2" t="s">
        <v>1056</v>
      </c>
      <c r="D1222" s="2" t="s">
        <v>20</v>
      </c>
      <c r="E1222" s="3">
        <v>98032</v>
      </c>
      <c r="F1222" s="4" t="s">
        <v>121</v>
      </c>
      <c r="G1222" s="2" t="s">
        <v>2010</v>
      </c>
      <c r="H1222" s="2" t="s">
        <v>2248</v>
      </c>
      <c r="I1222" s="2" t="s">
        <v>212</v>
      </c>
      <c r="J1222" s="2" t="s">
        <v>298</v>
      </c>
      <c r="K1222" s="4" t="s">
        <v>27</v>
      </c>
      <c r="L1222" s="4" t="s">
        <v>27</v>
      </c>
      <c r="M1222" s="4" t="s">
        <v>909</v>
      </c>
      <c r="N1222" s="5">
        <v>275571901</v>
      </c>
      <c r="O1222" s="2" t="s">
        <v>1255</v>
      </c>
      <c r="P1222" s="2" t="s">
        <v>37</v>
      </c>
      <c r="Q1222" s="4" t="s">
        <v>1363</v>
      </c>
    </row>
    <row r="1223" spans="1:17" hidden="1" x14ac:dyDescent="0.2">
      <c r="A1223" s="2" t="s">
        <v>2250</v>
      </c>
      <c r="B1223" s="2" t="s">
        <v>33</v>
      </c>
      <c r="C1223" s="2" t="s">
        <v>451</v>
      </c>
      <c r="D1223" s="2" t="s">
        <v>20</v>
      </c>
      <c r="E1223" s="3">
        <v>98074</v>
      </c>
      <c r="F1223" s="4" t="s">
        <v>121</v>
      </c>
      <c r="G1223" s="2" t="s">
        <v>2010</v>
      </c>
      <c r="H1223" s="2" t="s">
        <v>2248</v>
      </c>
      <c r="I1223" s="2" t="s">
        <v>212</v>
      </c>
      <c r="J1223" s="2" t="s">
        <v>298</v>
      </c>
      <c r="K1223" s="4" t="s">
        <v>27</v>
      </c>
      <c r="L1223" s="4" t="s">
        <v>27</v>
      </c>
      <c r="M1223" s="4" t="s">
        <v>198</v>
      </c>
      <c r="N1223" s="5">
        <v>263061137</v>
      </c>
      <c r="O1223" s="2" t="s">
        <v>781</v>
      </c>
      <c r="P1223" s="2" t="s">
        <v>37</v>
      </c>
      <c r="Q1223" s="4" t="s">
        <v>1426</v>
      </c>
    </row>
    <row r="1224" spans="1:17" hidden="1" x14ac:dyDescent="0.2">
      <c r="A1224" s="2" t="s">
        <v>2251</v>
      </c>
      <c r="B1224" s="2" t="s">
        <v>33</v>
      </c>
      <c r="C1224" s="2" t="s">
        <v>492</v>
      </c>
      <c r="D1224" s="2" t="s">
        <v>20</v>
      </c>
      <c r="E1224" s="3">
        <v>98065</v>
      </c>
      <c r="F1224" s="4" t="s">
        <v>21</v>
      </c>
      <c r="G1224" s="2" t="s">
        <v>2010</v>
      </c>
      <c r="H1224" s="2" t="s">
        <v>2248</v>
      </c>
      <c r="I1224" s="2" t="s">
        <v>212</v>
      </c>
      <c r="J1224" s="2" t="s">
        <v>298</v>
      </c>
      <c r="K1224" s="4" t="s">
        <v>27</v>
      </c>
      <c r="L1224" s="4" t="s">
        <v>27</v>
      </c>
      <c r="M1224" s="4" t="s">
        <v>35</v>
      </c>
      <c r="N1224" s="5">
        <v>260699771</v>
      </c>
      <c r="O1224" s="2" t="s">
        <v>493</v>
      </c>
      <c r="P1224" s="2" t="s">
        <v>37</v>
      </c>
      <c r="Q1224" s="4" t="s">
        <v>494</v>
      </c>
    </row>
    <row r="1225" spans="1:17" hidden="1" x14ac:dyDescent="0.2">
      <c r="A1225" s="2" t="s">
        <v>2252</v>
      </c>
      <c r="B1225" s="2" t="s">
        <v>40</v>
      </c>
      <c r="C1225" s="2" t="s">
        <v>1385</v>
      </c>
      <c r="D1225" s="2" t="s">
        <v>20</v>
      </c>
      <c r="E1225" s="3">
        <v>98272</v>
      </c>
      <c r="F1225" s="4" t="s">
        <v>121</v>
      </c>
      <c r="G1225" s="2" t="s">
        <v>1114</v>
      </c>
      <c r="H1225" s="2" t="s">
        <v>2253</v>
      </c>
      <c r="I1225" s="2" t="s">
        <v>212</v>
      </c>
      <c r="J1225" s="2" t="s">
        <v>298</v>
      </c>
      <c r="K1225" s="4" t="s">
        <v>27</v>
      </c>
      <c r="L1225" s="4" t="s">
        <v>27</v>
      </c>
      <c r="M1225" s="4" t="s">
        <v>44</v>
      </c>
      <c r="N1225" s="5">
        <v>273461030</v>
      </c>
      <c r="O1225" s="2" t="s">
        <v>1386</v>
      </c>
      <c r="P1225" s="2" t="s">
        <v>30</v>
      </c>
      <c r="Q1225" s="4" t="s">
        <v>1709</v>
      </c>
    </row>
    <row r="1226" spans="1:17" x14ac:dyDescent="0.2">
      <c r="A1226" s="2" t="s">
        <v>2254</v>
      </c>
      <c r="B1226" s="2" t="s">
        <v>110</v>
      </c>
      <c r="C1226" s="2" t="s">
        <v>2255</v>
      </c>
      <c r="D1226" s="2" t="s">
        <v>20</v>
      </c>
      <c r="E1226" s="3">
        <v>98327</v>
      </c>
      <c r="F1226" s="4" t="s">
        <v>371</v>
      </c>
      <c r="G1226" s="2" t="s">
        <v>1166</v>
      </c>
      <c r="H1226" s="2" t="s">
        <v>2256</v>
      </c>
      <c r="I1226" s="2" t="s">
        <v>24</v>
      </c>
      <c r="J1226" s="2" t="s">
        <v>25</v>
      </c>
      <c r="K1226" s="4" t="s">
        <v>582</v>
      </c>
      <c r="L1226" s="4" t="s">
        <v>27</v>
      </c>
      <c r="M1226" s="4" t="s">
        <v>478</v>
      </c>
      <c r="N1226" s="5">
        <v>157737002</v>
      </c>
      <c r="O1226" s="2" t="s">
        <v>2257</v>
      </c>
      <c r="P1226" s="2" t="s">
        <v>37</v>
      </c>
      <c r="Q1226" s="4" t="s">
        <v>2258</v>
      </c>
    </row>
    <row r="1227" spans="1:17" hidden="1" x14ac:dyDescent="0.2">
      <c r="A1227" s="2" t="s">
        <v>2259</v>
      </c>
      <c r="B1227" s="2" t="s">
        <v>40</v>
      </c>
      <c r="C1227" s="2" t="s">
        <v>2236</v>
      </c>
      <c r="D1227" s="2" t="s">
        <v>20</v>
      </c>
      <c r="E1227" s="3">
        <v>98043</v>
      </c>
      <c r="F1227" s="4" t="s">
        <v>121</v>
      </c>
      <c r="G1227" s="2" t="s">
        <v>1166</v>
      </c>
      <c r="H1227" s="2" t="s">
        <v>1167</v>
      </c>
      <c r="I1227" s="2" t="s">
        <v>212</v>
      </c>
      <c r="J1227" s="2" t="s">
        <v>298</v>
      </c>
      <c r="K1227" s="4" t="s">
        <v>27</v>
      </c>
      <c r="L1227" s="4" t="s">
        <v>27</v>
      </c>
      <c r="M1227" s="4" t="s">
        <v>170</v>
      </c>
      <c r="N1227" s="5">
        <v>274315464</v>
      </c>
      <c r="O1227" s="2" t="s">
        <v>2237</v>
      </c>
      <c r="P1227" s="2" t="s">
        <v>30</v>
      </c>
      <c r="Q1227" s="4" t="s">
        <v>2260</v>
      </c>
    </row>
    <row r="1228" spans="1:17" hidden="1" x14ac:dyDescent="0.2">
      <c r="A1228" s="2" t="s">
        <v>2261</v>
      </c>
      <c r="B1228" s="2" t="s">
        <v>110</v>
      </c>
      <c r="C1228" s="2" t="s">
        <v>1854</v>
      </c>
      <c r="D1228" s="2" t="s">
        <v>20</v>
      </c>
      <c r="E1228" s="3">
        <v>98466</v>
      </c>
      <c r="F1228" s="4" t="s">
        <v>121</v>
      </c>
      <c r="G1228" s="2" t="s">
        <v>1166</v>
      </c>
      <c r="H1228" s="2" t="s">
        <v>1167</v>
      </c>
      <c r="I1228" s="2" t="s">
        <v>212</v>
      </c>
      <c r="J1228" s="2" t="s">
        <v>298</v>
      </c>
      <c r="K1228" s="4" t="s">
        <v>27</v>
      </c>
      <c r="L1228" s="4" t="s">
        <v>27</v>
      </c>
      <c r="M1228" s="4" t="s">
        <v>478</v>
      </c>
      <c r="N1228" s="5">
        <v>275391637</v>
      </c>
      <c r="O1228" s="2" t="s">
        <v>1855</v>
      </c>
      <c r="P1228" s="2" t="s">
        <v>310</v>
      </c>
      <c r="Q1228" s="4" t="s">
        <v>2262</v>
      </c>
    </row>
    <row r="1229" spans="1:17" hidden="1" x14ac:dyDescent="0.2">
      <c r="A1229" s="2" t="s">
        <v>2263</v>
      </c>
      <c r="B1229" s="2" t="s">
        <v>33</v>
      </c>
      <c r="C1229" s="2" t="s">
        <v>669</v>
      </c>
      <c r="D1229" s="2" t="s">
        <v>20</v>
      </c>
      <c r="E1229" s="3">
        <v>98052</v>
      </c>
      <c r="F1229" s="4" t="s">
        <v>121</v>
      </c>
      <c r="G1229" s="2" t="s">
        <v>1166</v>
      </c>
      <c r="H1229" s="2" t="s">
        <v>1167</v>
      </c>
      <c r="I1229" s="2" t="s">
        <v>212</v>
      </c>
      <c r="J1229" s="2" t="s">
        <v>298</v>
      </c>
      <c r="K1229" s="4" t="s">
        <v>27</v>
      </c>
      <c r="L1229" s="4" t="s">
        <v>27</v>
      </c>
      <c r="M1229" s="4" t="s">
        <v>198</v>
      </c>
      <c r="N1229" s="5">
        <v>273717643</v>
      </c>
      <c r="O1229" s="2" t="s">
        <v>670</v>
      </c>
      <c r="P1229" s="2" t="s">
        <v>37</v>
      </c>
      <c r="Q1229" s="4" t="s">
        <v>1047</v>
      </c>
    </row>
    <row r="1230" spans="1:17" hidden="1" x14ac:dyDescent="0.2">
      <c r="A1230" s="2" t="s">
        <v>2264</v>
      </c>
      <c r="B1230" s="2" t="s">
        <v>151</v>
      </c>
      <c r="C1230" s="2" t="s">
        <v>229</v>
      </c>
      <c r="D1230" s="2" t="s">
        <v>20</v>
      </c>
      <c r="E1230" s="3">
        <v>98579</v>
      </c>
      <c r="F1230" s="4" t="s">
        <v>130</v>
      </c>
      <c r="G1230" s="2" t="s">
        <v>1166</v>
      </c>
      <c r="H1230" s="2" t="s">
        <v>1167</v>
      </c>
      <c r="I1230" s="2" t="s">
        <v>212</v>
      </c>
      <c r="J1230" s="2" t="s">
        <v>298</v>
      </c>
      <c r="K1230" s="4" t="s">
        <v>27</v>
      </c>
      <c r="L1230" s="4" t="s">
        <v>27</v>
      </c>
      <c r="M1230" s="4" t="s">
        <v>255</v>
      </c>
      <c r="N1230" s="5">
        <v>276205233</v>
      </c>
      <c r="O1230" s="2" t="s">
        <v>231</v>
      </c>
      <c r="P1230" s="2" t="s">
        <v>30</v>
      </c>
      <c r="Q1230" s="4" t="s">
        <v>2265</v>
      </c>
    </row>
    <row r="1231" spans="1:17" hidden="1" x14ac:dyDescent="0.2">
      <c r="A1231" s="2" t="s">
        <v>2264</v>
      </c>
      <c r="B1231" s="2" t="s">
        <v>33</v>
      </c>
      <c r="C1231" s="2" t="s">
        <v>83</v>
      </c>
      <c r="D1231" s="2" t="s">
        <v>20</v>
      </c>
      <c r="E1231" s="3">
        <v>98125</v>
      </c>
      <c r="F1231" s="4" t="s">
        <v>130</v>
      </c>
      <c r="G1231" s="2" t="s">
        <v>1166</v>
      </c>
      <c r="H1231" s="2" t="s">
        <v>1167</v>
      </c>
      <c r="I1231" s="2" t="s">
        <v>212</v>
      </c>
      <c r="J1231" s="2" t="s">
        <v>298</v>
      </c>
      <c r="K1231" s="4" t="s">
        <v>27</v>
      </c>
      <c r="L1231" s="4" t="s">
        <v>27</v>
      </c>
      <c r="M1231" s="4" t="s">
        <v>278</v>
      </c>
      <c r="N1231" s="5">
        <v>275956628</v>
      </c>
      <c r="O1231" s="2" t="s">
        <v>279</v>
      </c>
      <c r="P1231" s="2" t="s">
        <v>86</v>
      </c>
      <c r="Q1231" s="4" t="s">
        <v>280</v>
      </c>
    </row>
    <row r="1232" spans="1:17" hidden="1" x14ac:dyDescent="0.2">
      <c r="A1232" s="2" t="s">
        <v>2266</v>
      </c>
      <c r="B1232" s="2" t="s">
        <v>33</v>
      </c>
      <c r="C1232" s="2" t="s">
        <v>83</v>
      </c>
      <c r="D1232" s="2" t="s">
        <v>20</v>
      </c>
      <c r="E1232" s="3">
        <v>98125</v>
      </c>
      <c r="F1232" s="4" t="s">
        <v>121</v>
      </c>
      <c r="G1232" s="2" t="s">
        <v>1166</v>
      </c>
      <c r="H1232" s="2" t="s">
        <v>1167</v>
      </c>
      <c r="I1232" s="2" t="s">
        <v>212</v>
      </c>
      <c r="J1232" s="2" t="s">
        <v>298</v>
      </c>
      <c r="K1232" s="4" t="s">
        <v>27</v>
      </c>
      <c r="L1232" s="4" t="s">
        <v>27</v>
      </c>
      <c r="M1232" s="4" t="s">
        <v>278</v>
      </c>
      <c r="N1232" s="5">
        <v>278047465</v>
      </c>
      <c r="O1232" s="2" t="s">
        <v>279</v>
      </c>
      <c r="P1232" s="2" t="s">
        <v>86</v>
      </c>
      <c r="Q1232" s="4" t="s">
        <v>434</v>
      </c>
    </row>
    <row r="1233" spans="1:17" hidden="1" x14ac:dyDescent="0.2">
      <c r="A1233" s="2" t="s">
        <v>2267</v>
      </c>
      <c r="B1233" s="2" t="s">
        <v>33</v>
      </c>
      <c r="C1233" s="2" t="s">
        <v>83</v>
      </c>
      <c r="D1233" s="2" t="s">
        <v>20</v>
      </c>
      <c r="E1233" s="3">
        <v>98125</v>
      </c>
      <c r="F1233" s="4" t="s">
        <v>121</v>
      </c>
      <c r="G1233" s="2" t="s">
        <v>1166</v>
      </c>
      <c r="H1233" s="2" t="s">
        <v>1167</v>
      </c>
      <c r="I1233" s="2" t="s">
        <v>212</v>
      </c>
      <c r="J1233" s="2" t="s">
        <v>298</v>
      </c>
      <c r="K1233" s="4" t="s">
        <v>27</v>
      </c>
      <c r="L1233" s="4" t="s">
        <v>27</v>
      </c>
      <c r="M1233" s="4" t="s">
        <v>278</v>
      </c>
      <c r="N1233" s="5">
        <v>273285204</v>
      </c>
      <c r="O1233" s="2" t="s">
        <v>279</v>
      </c>
      <c r="P1233" s="2" t="s">
        <v>86</v>
      </c>
      <c r="Q1233" s="4" t="s">
        <v>280</v>
      </c>
    </row>
    <row r="1234" spans="1:17" hidden="1" x14ac:dyDescent="0.2">
      <c r="A1234" s="2" t="s">
        <v>2268</v>
      </c>
      <c r="B1234" s="2" t="s">
        <v>110</v>
      </c>
      <c r="C1234" s="2" t="s">
        <v>307</v>
      </c>
      <c r="D1234" s="2" t="s">
        <v>20</v>
      </c>
      <c r="E1234" s="3">
        <v>98409</v>
      </c>
      <c r="F1234" s="4" t="s">
        <v>130</v>
      </c>
      <c r="G1234" s="2" t="s">
        <v>1166</v>
      </c>
      <c r="H1234" s="2" t="s">
        <v>1167</v>
      </c>
      <c r="I1234" s="2" t="s">
        <v>212</v>
      </c>
      <c r="J1234" s="2" t="s">
        <v>298</v>
      </c>
      <c r="K1234" s="4" t="s">
        <v>27</v>
      </c>
      <c r="L1234" s="4" t="s">
        <v>27</v>
      </c>
      <c r="M1234" s="4" t="s">
        <v>582</v>
      </c>
      <c r="N1234" s="5">
        <v>276757806</v>
      </c>
      <c r="O1234" s="2" t="s">
        <v>2269</v>
      </c>
      <c r="P1234" s="2" t="s">
        <v>310</v>
      </c>
      <c r="Q1234" s="4" t="s">
        <v>2270</v>
      </c>
    </row>
    <row r="1235" spans="1:17" hidden="1" x14ac:dyDescent="0.2">
      <c r="A1235" s="2" t="s">
        <v>2271</v>
      </c>
      <c r="B1235" s="2" t="s">
        <v>33</v>
      </c>
      <c r="C1235" s="2" t="s">
        <v>318</v>
      </c>
      <c r="D1235" s="2" t="s">
        <v>20</v>
      </c>
      <c r="E1235" s="3">
        <v>98146</v>
      </c>
      <c r="F1235" s="4" t="s">
        <v>121</v>
      </c>
      <c r="G1235" s="2" t="s">
        <v>1166</v>
      </c>
      <c r="H1235" s="2" t="s">
        <v>1167</v>
      </c>
      <c r="I1235" s="2" t="s">
        <v>212</v>
      </c>
      <c r="J1235" s="2" t="s">
        <v>298</v>
      </c>
      <c r="K1235" s="4" t="s">
        <v>27</v>
      </c>
      <c r="L1235" s="4" t="s">
        <v>27</v>
      </c>
      <c r="M1235" s="4" t="s">
        <v>319</v>
      </c>
      <c r="N1235" s="5">
        <v>265304336</v>
      </c>
      <c r="O1235" s="2" t="s">
        <v>543</v>
      </c>
      <c r="P1235" s="2" t="s">
        <v>86</v>
      </c>
      <c r="Q1235" s="4" t="s">
        <v>544</v>
      </c>
    </row>
    <row r="1236" spans="1:17" hidden="1" x14ac:dyDescent="0.2">
      <c r="A1236" s="2" t="s">
        <v>2272</v>
      </c>
      <c r="B1236" s="2" t="s">
        <v>331</v>
      </c>
      <c r="C1236" s="2" t="s">
        <v>2273</v>
      </c>
      <c r="D1236" s="2" t="s">
        <v>20</v>
      </c>
      <c r="E1236" s="3">
        <v>99019</v>
      </c>
      <c r="F1236" s="4" t="s">
        <v>121</v>
      </c>
      <c r="G1236" s="2" t="s">
        <v>1166</v>
      </c>
      <c r="H1236" s="2" t="s">
        <v>1167</v>
      </c>
      <c r="I1236" s="2" t="s">
        <v>212</v>
      </c>
      <c r="J1236" s="2" t="s">
        <v>298</v>
      </c>
      <c r="K1236" s="4" t="s">
        <v>27</v>
      </c>
      <c r="L1236" s="4" t="s">
        <v>27</v>
      </c>
      <c r="M1236" s="4" t="s">
        <v>1381</v>
      </c>
      <c r="N1236" s="5">
        <v>270669458</v>
      </c>
      <c r="O1236" s="2" t="s">
        <v>2274</v>
      </c>
      <c r="P1236" s="2" t="s">
        <v>334</v>
      </c>
      <c r="Q1236" s="4" t="s">
        <v>2275</v>
      </c>
    </row>
    <row r="1237" spans="1:17" hidden="1" x14ac:dyDescent="0.2">
      <c r="A1237" s="2" t="s">
        <v>2276</v>
      </c>
      <c r="B1237" s="2" t="s">
        <v>40</v>
      </c>
      <c r="C1237" s="2" t="s">
        <v>73</v>
      </c>
      <c r="D1237" s="2" t="s">
        <v>20</v>
      </c>
      <c r="E1237" s="3">
        <v>98037</v>
      </c>
      <c r="F1237" s="4" t="s">
        <v>121</v>
      </c>
      <c r="G1237" s="2" t="s">
        <v>1166</v>
      </c>
      <c r="H1237" s="2" t="s">
        <v>1167</v>
      </c>
      <c r="I1237" s="2" t="s">
        <v>212</v>
      </c>
      <c r="J1237" s="2" t="s">
        <v>298</v>
      </c>
      <c r="K1237" s="4" t="s">
        <v>27</v>
      </c>
      <c r="L1237" s="4" t="s">
        <v>27</v>
      </c>
      <c r="M1237" s="4" t="s">
        <v>74</v>
      </c>
      <c r="N1237" s="5">
        <v>272065678</v>
      </c>
      <c r="O1237" s="2" t="s">
        <v>1400</v>
      </c>
      <c r="P1237" s="2" t="s">
        <v>30</v>
      </c>
      <c r="Q1237" s="4" t="s">
        <v>763</v>
      </c>
    </row>
    <row r="1238" spans="1:17" hidden="1" x14ac:dyDescent="0.2">
      <c r="A1238" s="2" t="s">
        <v>2277</v>
      </c>
      <c r="B1238" s="2" t="s">
        <v>110</v>
      </c>
      <c r="C1238" s="2" t="s">
        <v>307</v>
      </c>
      <c r="D1238" s="2" t="s">
        <v>20</v>
      </c>
      <c r="E1238" s="3">
        <v>98403</v>
      </c>
      <c r="F1238" s="4" t="s">
        <v>57</v>
      </c>
      <c r="G1238" s="2" t="s">
        <v>1166</v>
      </c>
      <c r="H1238" s="2" t="s">
        <v>1174</v>
      </c>
      <c r="I1238" s="2" t="s">
        <v>212</v>
      </c>
      <c r="J1238" s="2" t="s">
        <v>298</v>
      </c>
      <c r="K1238" s="4" t="s">
        <v>27</v>
      </c>
      <c r="L1238" s="4" t="s">
        <v>27</v>
      </c>
      <c r="M1238" s="4" t="s">
        <v>308</v>
      </c>
      <c r="N1238" s="5">
        <v>277761809</v>
      </c>
      <c r="O1238" s="2" t="s">
        <v>2278</v>
      </c>
      <c r="P1238" s="2" t="s">
        <v>310</v>
      </c>
      <c r="Q1238" s="4" t="s">
        <v>2279</v>
      </c>
    </row>
    <row r="1239" spans="1:17" hidden="1" x14ac:dyDescent="0.2">
      <c r="A1239" s="2" t="s">
        <v>2280</v>
      </c>
      <c r="B1239" s="2" t="s">
        <v>688</v>
      </c>
      <c r="C1239" s="2" t="s">
        <v>2281</v>
      </c>
      <c r="D1239" s="2" t="s">
        <v>20</v>
      </c>
      <c r="E1239" s="3">
        <v>98264</v>
      </c>
      <c r="F1239" s="4" t="s">
        <v>57</v>
      </c>
      <c r="G1239" s="2" t="s">
        <v>1166</v>
      </c>
      <c r="H1239" s="2" t="s">
        <v>1174</v>
      </c>
      <c r="I1239" s="2" t="s">
        <v>212</v>
      </c>
      <c r="J1239" s="2" t="s">
        <v>298</v>
      </c>
      <c r="K1239" s="4" t="s">
        <v>27</v>
      </c>
      <c r="L1239" s="4" t="s">
        <v>27</v>
      </c>
      <c r="M1239" s="4" t="s">
        <v>690</v>
      </c>
      <c r="N1239" s="5">
        <v>220082180</v>
      </c>
      <c r="O1239" s="2" t="s">
        <v>2282</v>
      </c>
      <c r="P1239" s="2" t="s">
        <v>692</v>
      </c>
      <c r="Q1239" s="4" t="s">
        <v>2283</v>
      </c>
    </row>
    <row r="1240" spans="1:17" hidden="1" x14ac:dyDescent="0.2">
      <c r="A1240" s="2" t="s">
        <v>2284</v>
      </c>
      <c r="B1240" s="2" t="s">
        <v>40</v>
      </c>
      <c r="C1240" s="2" t="s">
        <v>268</v>
      </c>
      <c r="D1240" s="2" t="s">
        <v>20</v>
      </c>
      <c r="E1240" s="3">
        <v>98026</v>
      </c>
      <c r="F1240" s="4" t="s">
        <v>57</v>
      </c>
      <c r="G1240" s="2" t="s">
        <v>1166</v>
      </c>
      <c r="H1240" s="2" t="s">
        <v>1174</v>
      </c>
      <c r="I1240" s="2" t="s">
        <v>212</v>
      </c>
      <c r="J1240" s="2" t="s">
        <v>298</v>
      </c>
      <c r="K1240" s="4" t="s">
        <v>27</v>
      </c>
      <c r="L1240" s="4" t="s">
        <v>27</v>
      </c>
      <c r="M1240" s="4" t="s">
        <v>26</v>
      </c>
      <c r="N1240" s="5">
        <v>218186027</v>
      </c>
      <c r="O1240" s="2" t="s">
        <v>640</v>
      </c>
      <c r="P1240" s="2" t="s">
        <v>30</v>
      </c>
      <c r="Q1240" s="4" t="s">
        <v>1678</v>
      </c>
    </row>
    <row r="1241" spans="1:17" hidden="1" x14ac:dyDescent="0.2">
      <c r="A1241" s="2" t="s">
        <v>2285</v>
      </c>
      <c r="B1241" s="2" t="s">
        <v>151</v>
      </c>
      <c r="C1241" s="2" t="s">
        <v>566</v>
      </c>
      <c r="D1241" s="2" t="s">
        <v>20</v>
      </c>
      <c r="E1241" s="3">
        <v>98503</v>
      </c>
      <c r="F1241" s="4" t="s">
        <v>21</v>
      </c>
      <c r="G1241" s="2" t="s">
        <v>1166</v>
      </c>
      <c r="H1241" s="2" t="s">
        <v>1174</v>
      </c>
      <c r="I1241" s="2" t="s">
        <v>212</v>
      </c>
      <c r="J1241" s="2" t="s">
        <v>298</v>
      </c>
      <c r="K1241" s="4" t="s">
        <v>27</v>
      </c>
      <c r="L1241" s="4" t="s">
        <v>27</v>
      </c>
      <c r="M1241" s="4" t="s">
        <v>90</v>
      </c>
      <c r="N1241" s="5">
        <v>228635529</v>
      </c>
      <c r="O1241" s="2" t="s">
        <v>567</v>
      </c>
      <c r="P1241" s="2" t="s">
        <v>30</v>
      </c>
      <c r="Q1241" s="4" t="s">
        <v>2286</v>
      </c>
    </row>
    <row r="1242" spans="1:17" hidden="1" x14ac:dyDescent="0.2">
      <c r="A1242" s="2" t="s">
        <v>2287</v>
      </c>
      <c r="B1242" s="2" t="s">
        <v>33</v>
      </c>
      <c r="C1242" s="2" t="s">
        <v>89</v>
      </c>
      <c r="D1242" s="2" t="s">
        <v>20</v>
      </c>
      <c r="E1242" s="3">
        <v>98011</v>
      </c>
      <c r="F1242" s="4" t="s">
        <v>121</v>
      </c>
      <c r="G1242" s="2" t="s">
        <v>1166</v>
      </c>
      <c r="H1242" s="2" t="s">
        <v>1174</v>
      </c>
      <c r="I1242" s="2" t="s">
        <v>212</v>
      </c>
      <c r="J1242" s="2" t="s">
        <v>298</v>
      </c>
      <c r="K1242" s="4" t="s">
        <v>27</v>
      </c>
      <c r="L1242" s="4" t="s">
        <v>27</v>
      </c>
      <c r="M1242" s="4" t="s">
        <v>170</v>
      </c>
      <c r="N1242" s="5">
        <v>261070029</v>
      </c>
      <c r="O1242" s="2" t="s">
        <v>503</v>
      </c>
      <c r="P1242" s="2" t="s">
        <v>37</v>
      </c>
      <c r="Q1242" s="4" t="s">
        <v>700</v>
      </c>
    </row>
    <row r="1243" spans="1:17" hidden="1" x14ac:dyDescent="0.2">
      <c r="A1243" s="2" t="s">
        <v>2288</v>
      </c>
      <c r="B1243" s="2" t="s">
        <v>33</v>
      </c>
      <c r="C1243" s="2" t="s">
        <v>83</v>
      </c>
      <c r="D1243" s="2" t="s">
        <v>20</v>
      </c>
      <c r="E1243" s="3">
        <v>98122</v>
      </c>
      <c r="F1243" s="4" t="s">
        <v>57</v>
      </c>
      <c r="G1243" s="2" t="s">
        <v>1166</v>
      </c>
      <c r="H1243" s="2" t="s">
        <v>1174</v>
      </c>
      <c r="I1243" s="2" t="s">
        <v>212</v>
      </c>
      <c r="J1243" s="2" t="s">
        <v>298</v>
      </c>
      <c r="K1243" s="4" t="s">
        <v>27</v>
      </c>
      <c r="L1243" s="4" t="s">
        <v>27</v>
      </c>
      <c r="M1243" s="4" t="s">
        <v>284</v>
      </c>
      <c r="N1243" s="5">
        <v>285901451</v>
      </c>
      <c r="O1243" s="2" t="s">
        <v>558</v>
      </c>
      <c r="P1243" s="2" t="s">
        <v>86</v>
      </c>
      <c r="Q1243" s="4" t="s">
        <v>1252</v>
      </c>
    </row>
    <row r="1244" spans="1:17" hidden="1" x14ac:dyDescent="0.2">
      <c r="A1244" s="2" t="s">
        <v>2289</v>
      </c>
      <c r="B1244" s="2" t="s">
        <v>33</v>
      </c>
      <c r="C1244" s="2" t="s">
        <v>464</v>
      </c>
      <c r="D1244" s="2" t="s">
        <v>20</v>
      </c>
      <c r="E1244" s="3">
        <v>98045</v>
      </c>
      <c r="F1244" s="4" t="s">
        <v>121</v>
      </c>
      <c r="G1244" s="2" t="s">
        <v>1166</v>
      </c>
      <c r="H1244" s="2" t="s">
        <v>1174</v>
      </c>
      <c r="I1244" s="2" t="s">
        <v>212</v>
      </c>
      <c r="J1244" s="2" t="s">
        <v>298</v>
      </c>
      <c r="K1244" s="4" t="s">
        <v>27</v>
      </c>
      <c r="L1244" s="4" t="s">
        <v>27</v>
      </c>
      <c r="M1244" s="4" t="s">
        <v>35</v>
      </c>
      <c r="N1244" s="5">
        <v>263302546</v>
      </c>
      <c r="O1244" s="2" t="s">
        <v>465</v>
      </c>
      <c r="P1244" s="2" t="s">
        <v>37</v>
      </c>
      <c r="Q1244" s="4" t="s">
        <v>1272</v>
      </c>
    </row>
    <row r="1245" spans="1:17" hidden="1" x14ac:dyDescent="0.2">
      <c r="A1245" s="2" t="s">
        <v>2290</v>
      </c>
      <c r="B1245" s="2" t="s">
        <v>33</v>
      </c>
      <c r="C1245" s="2" t="s">
        <v>83</v>
      </c>
      <c r="D1245" s="2" t="s">
        <v>20</v>
      </c>
      <c r="E1245" s="3">
        <v>98103</v>
      </c>
      <c r="F1245" s="4" t="s">
        <v>121</v>
      </c>
      <c r="G1245" s="2" t="s">
        <v>1166</v>
      </c>
      <c r="H1245" s="2" t="s">
        <v>1174</v>
      </c>
      <c r="I1245" s="2" t="s">
        <v>212</v>
      </c>
      <c r="J1245" s="2" t="s">
        <v>298</v>
      </c>
      <c r="K1245" s="4" t="s">
        <v>27</v>
      </c>
      <c r="L1245" s="4" t="s">
        <v>27</v>
      </c>
      <c r="M1245" s="4" t="s">
        <v>436</v>
      </c>
      <c r="N1245" s="5">
        <v>275184199</v>
      </c>
      <c r="O1245" s="2" t="s">
        <v>627</v>
      </c>
      <c r="P1245" s="2" t="s">
        <v>86</v>
      </c>
      <c r="Q1245" s="4" t="s">
        <v>2291</v>
      </c>
    </row>
    <row r="1246" spans="1:17" hidden="1" x14ac:dyDescent="0.2">
      <c r="A1246" s="2" t="s">
        <v>2292</v>
      </c>
      <c r="B1246" s="2" t="s">
        <v>151</v>
      </c>
      <c r="C1246" s="2" t="s">
        <v>250</v>
      </c>
      <c r="D1246" s="2" t="s">
        <v>20</v>
      </c>
      <c r="E1246" s="3">
        <v>98512</v>
      </c>
      <c r="F1246" s="4" t="s">
        <v>57</v>
      </c>
      <c r="G1246" s="2" t="s">
        <v>1166</v>
      </c>
      <c r="H1246" s="2" t="s">
        <v>1174</v>
      </c>
      <c r="I1246" s="2" t="s">
        <v>212</v>
      </c>
      <c r="J1246" s="2" t="s">
        <v>298</v>
      </c>
      <c r="K1246" s="4" t="s">
        <v>27</v>
      </c>
      <c r="L1246" s="4" t="s">
        <v>27</v>
      </c>
      <c r="M1246" s="4" t="s">
        <v>90</v>
      </c>
      <c r="N1246" s="5">
        <v>207295728</v>
      </c>
      <c r="O1246" s="2" t="s">
        <v>256</v>
      </c>
      <c r="P1246" s="2" t="s">
        <v>30</v>
      </c>
      <c r="Q1246" s="4" t="s">
        <v>424</v>
      </c>
    </row>
    <row r="1247" spans="1:17" hidden="1" x14ac:dyDescent="0.2">
      <c r="A1247" s="2" t="s">
        <v>2293</v>
      </c>
      <c r="B1247" s="2" t="s">
        <v>33</v>
      </c>
      <c r="C1247" s="2" t="s">
        <v>451</v>
      </c>
      <c r="D1247" s="2" t="s">
        <v>20</v>
      </c>
      <c r="E1247" s="3">
        <v>98074</v>
      </c>
      <c r="F1247" s="4" t="s">
        <v>121</v>
      </c>
      <c r="G1247" s="2" t="s">
        <v>1166</v>
      </c>
      <c r="H1247" s="2" t="s">
        <v>1174</v>
      </c>
      <c r="I1247" s="2" t="s">
        <v>212</v>
      </c>
      <c r="J1247" s="2" t="s">
        <v>298</v>
      </c>
      <c r="K1247" s="4" t="s">
        <v>27</v>
      </c>
      <c r="L1247" s="4" t="s">
        <v>27</v>
      </c>
      <c r="M1247" s="4" t="s">
        <v>198</v>
      </c>
      <c r="N1247" s="5">
        <v>274279414</v>
      </c>
      <c r="O1247" s="2" t="s">
        <v>781</v>
      </c>
      <c r="P1247" s="2" t="s">
        <v>37</v>
      </c>
      <c r="Q1247" s="4" t="s">
        <v>1499</v>
      </c>
    </row>
    <row r="1248" spans="1:17" hidden="1" x14ac:dyDescent="0.2">
      <c r="A1248" s="2" t="s">
        <v>2294</v>
      </c>
      <c r="B1248" s="2" t="s">
        <v>40</v>
      </c>
      <c r="C1248" s="2" t="s">
        <v>268</v>
      </c>
      <c r="D1248" s="2" t="s">
        <v>20</v>
      </c>
      <c r="E1248" s="3">
        <v>98020</v>
      </c>
      <c r="F1248" s="4" t="s">
        <v>57</v>
      </c>
      <c r="G1248" s="2" t="s">
        <v>1166</v>
      </c>
      <c r="H1248" s="2" t="s">
        <v>1174</v>
      </c>
      <c r="I1248" s="2" t="s">
        <v>212</v>
      </c>
      <c r="J1248" s="2" t="s">
        <v>298</v>
      </c>
      <c r="K1248" s="4" t="s">
        <v>27</v>
      </c>
      <c r="L1248" s="4" t="s">
        <v>27</v>
      </c>
      <c r="M1248" s="4" t="s">
        <v>26</v>
      </c>
      <c r="N1248" s="5">
        <v>218850866</v>
      </c>
      <c r="O1248" s="2" t="s">
        <v>269</v>
      </c>
      <c r="P1248" s="2" t="s">
        <v>30</v>
      </c>
      <c r="Q1248" s="4" t="s">
        <v>1555</v>
      </c>
    </row>
    <row r="1249" spans="1:17" hidden="1" x14ac:dyDescent="0.2">
      <c r="A1249" s="2" t="s">
        <v>2294</v>
      </c>
      <c r="B1249" s="2" t="s">
        <v>241</v>
      </c>
      <c r="C1249" s="2" t="s">
        <v>965</v>
      </c>
      <c r="D1249" s="2" t="s">
        <v>20</v>
      </c>
      <c r="E1249" s="3">
        <v>99026</v>
      </c>
      <c r="F1249" s="4" t="s">
        <v>57</v>
      </c>
      <c r="G1249" s="2" t="s">
        <v>1166</v>
      </c>
      <c r="H1249" s="2" t="s">
        <v>1174</v>
      </c>
      <c r="I1249" s="2" t="s">
        <v>212</v>
      </c>
      <c r="J1249" s="2" t="s">
        <v>298</v>
      </c>
      <c r="K1249" s="4" t="s">
        <v>27</v>
      </c>
      <c r="L1249" s="4" t="s">
        <v>27</v>
      </c>
      <c r="M1249" s="4" t="s">
        <v>164</v>
      </c>
      <c r="N1249" s="5">
        <v>211396937</v>
      </c>
      <c r="O1249" s="2" t="s">
        <v>966</v>
      </c>
      <c r="P1249" s="2" t="s">
        <v>967</v>
      </c>
      <c r="Q1249" s="4" t="s">
        <v>2295</v>
      </c>
    </row>
    <row r="1250" spans="1:17" hidden="1" x14ac:dyDescent="0.2">
      <c r="A1250" s="2" t="s">
        <v>2296</v>
      </c>
      <c r="B1250" s="2" t="s">
        <v>48</v>
      </c>
      <c r="C1250" s="2" t="s">
        <v>48</v>
      </c>
      <c r="D1250" s="2" t="s">
        <v>20</v>
      </c>
      <c r="E1250" s="3">
        <v>98908</v>
      </c>
      <c r="F1250" s="4" t="s">
        <v>57</v>
      </c>
      <c r="G1250" s="2" t="s">
        <v>1166</v>
      </c>
      <c r="H1250" s="2" t="s">
        <v>1174</v>
      </c>
      <c r="I1250" s="2" t="s">
        <v>212</v>
      </c>
      <c r="J1250" s="2" t="s">
        <v>298</v>
      </c>
      <c r="K1250" s="4" t="s">
        <v>27</v>
      </c>
      <c r="L1250" s="4" t="s">
        <v>27</v>
      </c>
      <c r="M1250" s="4" t="s">
        <v>323</v>
      </c>
      <c r="N1250" s="5">
        <v>219969144</v>
      </c>
      <c r="O1250" s="2" t="s">
        <v>596</v>
      </c>
      <c r="P1250" s="2" t="s">
        <v>52</v>
      </c>
      <c r="Q1250" s="4" t="s">
        <v>1372</v>
      </c>
    </row>
    <row r="1251" spans="1:17" hidden="1" x14ac:dyDescent="0.2">
      <c r="A1251" s="2" t="s">
        <v>2296</v>
      </c>
      <c r="B1251" s="2" t="s">
        <v>33</v>
      </c>
      <c r="C1251" s="2" t="s">
        <v>83</v>
      </c>
      <c r="D1251" s="2" t="s">
        <v>20</v>
      </c>
      <c r="E1251" s="3">
        <v>98125</v>
      </c>
      <c r="F1251" s="4" t="s">
        <v>57</v>
      </c>
      <c r="G1251" s="2" t="s">
        <v>1166</v>
      </c>
      <c r="H1251" s="2" t="s">
        <v>1174</v>
      </c>
      <c r="I1251" s="2" t="s">
        <v>212</v>
      </c>
      <c r="J1251" s="2" t="s">
        <v>298</v>
      </c>
      <c r="K1251" s="4" t="s">
        <v>27</v>
      </c>
      <c r="L1251" s="4" t="s">
        <v>27</v>
      </c>
      <c r="M1251" s="4" t="s">
        <v>278</v>
      </c>
      <c r="N1251" s="5">
        <v>195672165</v>
      </c>
      <c r="O1251" s="2" t="s">
        <v>279</v>
      </c>
      <c r="P1251" s="2" t="s">
        <v>86</v>
      </c>
      <c r="Q1251" s="4" t="s">
        <v>434</v>
      </c>
    </row>
    <row r="1252" spans="1:17" hidden="1" x14ac:dyDescent="0.2">
      <c r="A1252" s="2" t="s">
        <v>2297</v>
      </c>
      <c r="B1252" s="2" t="s">
        <v>842</v>
      </c>
      <c r="C1252" s="2" t="s">
        <v>2298</v>
      </c>
      <c r="D1252" s="2" t="s">
        <v>20</v>
      </c>
      <c r="E1252" s="3">
        <v>98520</v>
      </c>
      <c r="F1252" s="4" t="s">
        <v>21</v>
      </c>
      <c r="G1252" s="2" t="s">
        <v>1166</v>
      </c>
      <c r="H1252" s="2" t="s">
        <v>1174</v>
      </c>
      <c r="I1252" s="2" t="s">
        <v>212</v>
      </c>
      <c r="J1252" s="2" t="s">
        <v>298</v>
      </c>
      <c r="K1252" s="4" t="s">
        <v>27</v>
      </c>
      <c r="L1252" s="4" t="s">
        <v>27</v>
      </c>
      <c r="M1252" s="4" t="s">
        <v>221</v>
      </c>
      <c r="N1252" s="5">
        <v>230318364</v>
      </c>
      <c r="O1252" s="2" t="s">
        <v>2299</v>
      </c>
      <c r="P1252" s="2" t="s">
        <v>845</v>
      </c>
      <c r="Q1252" s="4" t="s">
        <v>2300</v>
      </c>
    </row>
    <row r="1253" spans="1:17" x14ac:dyDescent="0.2">
      <c r="A1253" s="2" t="s">
        <v>2301</v>
      </c>
      <c r="B1253" s="2" t="s">
        <v>33</v>
      </c>
      <c r="C1253" s="2" t="s">
        <v>915</v>
      </c>
      <c r="D1253" s="2" t="s">
        <v>20</v>
      </c>
      <c r="E1253" s="3">
        <v>98155</v>
      </c>
      <c r="F1253" s="4" t="s">
        <v>371</v>
      </c>
      <c r="G1253" s="2" t="s">
        <v>1166</v>
      </c>
      <c r="H1253" s="2" t="s">
        <v>2302</v>
      </c>
      <c r="I1253" s="2" t="s">
        <v>24</v>
      </c>
      <c r="J1253" s="2" t="s">
        <v>25</v>
      </c>
      <c r="K1253" s="4" t="s">
        <v>101</v>
      </c>
      <c r="L1253" s="4" t="s">
        <v>27</v>
      </c>
      <c r="M1253" s="4" t="s">
        <v>278</v>
      </c>
      <c r="N1253" s="5">
        <v>211744375</v>
      </c>
      <c r="O1253" s="2" t="s">
        <v>616</v>
      </c>
      <c r="P1253" s="2" t="s">
        <v>86</v>
      </c>
      <c r="Q1253" s="4" t="s">
        <v>916</v>
      </c>
    </row>
    <row r="1254" spans="1:17" x14ac:dyDescent="0.2">
      <c r="A1254" s="2" t="s">
        <v>2303</v>
      </c>
      <c r="B1254" s="2" t="s">
        <v>18</v>
      </c>
      <c r="C1254" s="2" t="s">
        <v>218</v>
      </c>
      <c r="D1254" s="2" t="s">
        <v>20</v>
      </c>
      <c r="E1254" s="3">
        <v>98312</v>
      </c>
      <c r="F1254" s="4" t="s">
        <v>408</v>
      </c>
      <c r="G1254" s="2" t="s">
        <v>1166</v>
      </c>
      <c r="H1254" s="2" t="s">
        <v>2302</v>
      </c>
      <c r="I1254" s="2" t="s">
        <v>24</v>
      </c>
      <c r="J1254" s="2" t="s">
        <v>25</v>
      </c>
      <c r="K1254" s="4" t="s">
        <v>101</v>
      </c>
      <c r="L1254" s="4" t="s">
        <v>27</v>
      </c>
      <c r="M1254" s="4" t="s">
        <v>101</v>
      </c>
      <c r="N1254" s="5">
        <v>2581225</v>
      </c>
      <c r="O1254" s="2" t="s">
        <v>1180</v>
      </c>
      <c r="P1254" s="2" t="s">
        <v>30</v>
      </c>
      <c r="Q1254" s="4" t="s">
        <v>1444</v>
      </c>
    </row>
    <row r="1255" spans="1:17" hidden="1" x14ac:dyDescent="0.2">
      <c r="A1255" s="2" t="s">
        <v>2304</v>
      </c>
      <c r="B1255" s="2" t="s">
        <v>688</v>
      </c>
      <c r="C1255" s="2" t="s">
        <v>689</v>
      </c>
      <c r="D1255" s="2" t="s">
        <v>20</v>
      </c>
      <c r="E1255" s="3">
        <v>98225</v>
      </c>
      <c r="F1255" s="4" t="s">
        <v>408</v>
      </c>
      <c r="G1255" s="2" t="s">
        <v>1166</v>
      </c>
      <c r="H1255" s="2" t="s">
        <v>2302</v>
      </c>
      <c r="I1255" s="2" t="s">
        <v>212</v>
      </c>
      <c r="J1255" s="2" t="s">
        <v>213</v>
      </c>
      <c r="K1255" s="4" t="s">
        <v>2305</v>
      </c>
      <c r="L1255" s="4" t="s">
        <v>27</v>
      </c>
      <c r="M1255" s="4" t="s">
        <v>690</v>
      </c>
      <c r="N1255" s="5">
        <v>4726291</v>
      </c>
      <c r="O1255" s="2" t="s">
        <v>1716</v>
      </c>
      <c r="P1255" s="2" t="s">
        <v>692</v>
      </c>
      <c r="Q1255" s="4" t="s">
        <v>2306</v>
      </c>
    </row>
    <row r="1256" spans="1:17" hidden="1" x14ac:dyDescent="0.2">
      <c r="A1256" s="2" t="s">
        <v>2307</v>
      </c>
      <c r="B1256" s="2" t="s">
        <v>40</v>
      </c>
      <c r="C1256" s="2" t="s">
        <v>1902</v>
      </c>
      <c r="D1256" s="2" t="s">
        <v>20</v>
      </c>
      <c r="E1256" s="3">
        <v>98036</v>
      </c>
      <c r="F1256" s="4" t="s">
        <v>401</v>
      </c>
      <c r="G1256" s="2" t="s">
        <v>1166</v>
      </c>
      <c r="H1256" s="2" t="s">
        <v>2302</v>
      </c>
      <c r="I1256" s="2" t="s">
        <v>212</v>
      </c>
      <c r="J1256" s="2" t="s">
        <v>213</v>
      </c>
      <c r="K1256" s="4" t="s">
        <v>2305</v>
      </c>
      <c r="L1256" s="4" t="s">
        <v>27</v>
      </c>
      <c r="M1256" s="4" t="s">
        <v>170</v>
      </c>
      <c r="N1256" s="5">
        <v>281365724</v>
      </c>
      <c r="O1256" s="2" t="s">
        <v>75</v>
      </c>
      <c r="P1256" s="2" t="s">
        <v>30</v>
      </c>
      <c r="Q1256" s="4" t="s">
        <v>1916</v>
      </c>
    </row>
    <row r="1257" spans="1:17" hidden="1" x14ac:dyDescent="0.2">
      <c r="A1257" s="2" t="s">
        <v>2308</v>
      </c>
      <c r="B1257" s="2" t="s">
        <v>1120</v>
      </c>
      <c r="C1257" s="2" t="s">
        <v>2219</v>
      </c>
      <c r="D1257" s="2" t="s">
        <v>20</v>
      </c>
      <c r="E1257" s="3">
        <v>98802</v>
      </c>
      <c r="F1257" s="4" t="s">
        <v>408</v>
      </c>
      <c r="G1257" s="2" t="s">
        <v>1166</v>
      </c>
      <c r="H1257" s="2" t="s">
        <v>2302</v>
      </c>
      <c r="I1257" s="2" t="s">
        <v>212</v>
      </c>
      <c r="J1257" s="2" t="s">
        <v>213</v>
      </c>
      <c r="K1257" s="4" t="s">
        <v>2305</v>
      </c>
      <c r="L1257" s="4" t="s">
        <v>27</v>
      </c>
      <c r="M1257" s="4" t="s">
        <v>177</v>
      </c>
      <c r="N1257" s="5">
        <v>298218728</v>
      </c>
      <c r="O1257" s="2" t="s">
        <v>2220</v>
      </c>
      <c r="P1257" s="2" t="s">
        <v>1123</v>
      </c>
      <c r="Q1257" s="4" t="s">
        <v>2309</v>
      </c>
    </row>
    <row r="1258" spans="1:17" hidden="1" x14ac:dyDescent="0.2">
      <c r="A1258" s="2" t="s">
        <v>2310</v>
      </c>
      <c r="B1258" s="2" t="s">
        <v>151</v>
      </c>
      <c r="C1258" s="2" t="s">
        <v>152</v>
      </c>
      <c r="D1258" s="2" t="s">
        <v>20</v>
      </c>
      <c r="E1258" s="3">
        <v>98502</v>
      </c>
      <c r="F1258" s="4" t="s">
        <v>408</v>
      </c>
      <c r="G1258" s="2" t="s">
        <v>1166</v>
      </c>
      <c r="H1258" s="2" t="s">
        <v>2302</v>
      </c>
      <c r="I1258" s="2" t="s">
        <v>212</v>
      </c>
      <c r="J1258" s="2" t="s">
        <v>213</v>
      </c>
      <c r="K1258" s="4" t="s">
        <v>2305</v>
      </c>
      <c r="L1258" s="4" t="s">
        <v>27</v>
      </c>
      <c r="M1258" s="4" t="s">
        <v>90</v>
      </c>
      <c r="N1258" s="5">
        <v>477755827</v>
      </c>
      <c r="O1258" s="2" t="s">
        <v>337</v>
      </c>
      <c r="P1258" s="2" t="s">
        <v>30</v>
      </c>
      <c r="Q1258" s="4" t="s">
        <v>1338</v>
      </c>
    </row>
    <row r="1259" spans="1:17" hidden="1" x14ac:dyDescent="0.2">
      <c r="A1259" s="2" t="s">
        <v>2311</v>
      </c>
      <c r="B1259" s="2" t="s">
        <v>688</v>
      </c>
      <c r="C1259" s="2" t="s">
        <v>689</v>
      </c>
      <c r="D1259" s="2" t="s">
        <v>20</v>
      </c>
      <c r="E1259" s="3">
        <v>98225</v>
      </c>
      <c r="F1259" s="4" t="s">
        <v>57</v>
      </c>
      <c r="G1259" s="2" t="s">
        <v>1166</v>
      </c>
      <c r="H1259" s="2" t="s">
        <v>2302</v>
      </c>
      <c r="I1259" s="2" t="s">
        <v>212</v>
      </c>
      <c r="J1259" s="2" t="s">
        <v>298</v>
      </c>
      <c r="K1259" s="4" t="s">
        <v>27</v>
      </c>
      <c r="L1259" s="4" t="s">
        <v>27</v>
      </c>
      <c r="M1259" s="4" t="s">
        <v>409</v>
      </c>
      <c r="N1259" s="5">
        <v>205916770</v>
      </c>
      <c r="O1259" s="2" t="s">
        <v>1716</v>
      </c>
      <c r="P1259" s="2" t="s">
        <v>692</v>
      </c>
      <c r="Q1259" s="4" t="s">
        <v>2312</v>
      </c>
    </row>
    <row r="1260" spans="1:17" hidden="1" x14ac:dyDescent="0.2">
      <c r="A1260" s="2" t="s">
        <v>2313</v>
      </c>
      <c r="B1260" s="2" t="s">
        <v>33</v>
      </c>
      <c r="C1260" s="2" t="s">
        <v>318</v>
      </c>
      <c r="D1260" s="2" t="s">
        <v>20</v>
      </c>
      <c r="E1260" s="3">
        <v>98146</v>
      </c>
      <c r="F1260" s="4" t="s">
        <v>408</v>
      </c>
      <c r="G1260" s="2" t="s">
        <v>1166</v>
      </c>
      <c r="H1260" s="2" t="s">
        <v>2302</v>
      </c>
      <c r="I1260" s="2" t="s">
        <v>212</v>
      </c>
      <c r="J1260" s="2" t="s">
        <v>213</v>
      </c>
      <c r="K1260" s="4" t="s">
        <v>2305</v>
      </c>
      <c r="L1260" s="4" t="s">
        <v>27</v>
      </c>
      <c r="M1260" s="4" t="s">
        <v>319</v>
      </c>
      <c r="N1260" s="5">
        <v>3523768</v>
      </c>
      <c r="O1260" s="2" t="s">
        <v>543</v>
      </c>
      <c r="P1260" s="2" t="s">
        <v>86</v>
      </c>
      <c r="Q1260" s="4" t="s">
        <v>544</v>
      </c>
    </row>
    <row r="1261" spans="1:17" x14ac:dyDescent="0.2">
      <c r="A1261" s="2" t="s">
        <v>2314</v>
      </c>
      <c r="B1261" s="2" t="s">
        <v>33</v>
      </c>
      <c r="C1261" s="2" t="s">
        <v>83</v>
      </c>
      <c r="D1261" s="2" t="s">
        <v>20</v>
      </c>
      <c r="E1261" s="3">
        <v>98108</v>
      </c>
      <c r="F1261" s="4" t="s">
        <v>57</v>
      </c>
      <c r="G1261" s="2" t="s">
        <v>1166</v>
      </c>
      <c r="H1261" s="2" t="s">
        <v>2302</v>
      </c>
      <c r="I1261" s="2" t="s">
        <v>24</v>
      </c>
      <c r="J1261" s="2" t="s">
        <v>25</v>
      </c>
      <c r="K1261" s="4" t="s">
        <v>101</v>
      </c>
      <c r="L1261" s="4" t="s">
        <v>27</v>
      </c>
      <c r="M1261" s="4" t="s">
        <v>284</v>
      </c>
      <c r="N1261" s="5">
        <v>194622592</v>
      </c>
      <c r="O1261" s="2" t="s">
        <v>954</v>
      </c>
      <c r="P1261" s="2" t="s">
        <v>86</v>
      </c>
      <c r="Q1261" s="4" t="s">
        <v>2315</v>
      </c>
    </row>
    <row r="1262" spans="1:17" x14ac:dyDescent="0.2">
      <c r="A1262" s="2" t="s">
        <v>2316</v>
      </c>
      <c r="B1262" s="2" t="s">
        <v>33</v>
      </c>
      <c r="C1262" s="2" t="s">
        <v>83</v>
      </c>
      <c r="D1262" s="2" t="s">
        <v>20</v>
      </c>
      <c r="E1262" s="3">
        <v>98101</v>
      </c>
      <c r="F1262" s="4" t="s">
        <v>57</v>
      </c>
      <c r="G1262" s="2" t="s">
        <v>1166</v>
      </c>
      <c r="H1262" s="2" t="s">
        <v>2302</v>
      </c>
      <c r="I1262" s="2" t="s">
        <v>24</v>
      </c>
      <c r="J1262" s="2" t="s">
        <v>25</v>
      </c>
      <c r="K1262" s="4" t="s">
        <v>101</v>
      </c>
      <c r="L1262" s="4" t="s">
        <v>27</v>
      </c>
      <c r="M1262" s="4" t="s">
        <v>436</v>
      </c>
      <c r="N1262" s="5">
        <v>180026136</v>
      </c>
      <c r="O1262" s="2" t="s">
        <v>1235</v>
      </c>
      <c r="P1262" s="2" t="s">
        <v>86</v>
      </c>
      <c r="Q1262" s="4" t="s">
        <v>1659</v>
      </c>
    </row>
    <row r="1263" spans="1:17" hidden="1" x14ac:dyDescent="0.2">
      <c r="A1263" s="2" t="s">
        <v>2317</v>
      </c>
      <c r="B1263" s="2" t="s">
        <v>33</v>
      </c>
      <c r="C1263" s="2" t="s">
        <v>83</v>
      </c>
      <c r="D1263" s="2" t="s">
        <v>20</v>
      </c>
      <c r="E1263" s="3">
        <v>98117</v>
      </c>
      <c r="F1263" s="4" t="s">
        <v>401</v>
      </c>
      <c r="G1263" s="2" t="s">
        <v>1166</v>
      </c>
      <c r="H1263" s="2" t="s">
        <v>2302</v>
      </c>
      <c r="I1263" s="2" t="s">
        <v>212</v>
      </c>
      <c r="J1263" s="2" t="s">
        <v>213</v>
      </c>
      <c r="K1263" s="4" t="s">
        <v>2305</v>
      </c>
      <c r="L1263" s="4" t="s">
        <v>27</v>
      </c>
      <c r="M1263" s="4" t="s">
        <v>84</v>
      </c>
      <c r="N1263" s="5">
        <v>156718635</v>
      </c>
      <c r="O1263" s="2" t="s">
        <v>622</v>
      </c>
      <c r="P1263" s="2" t="s">
        <v>86</v>
      </c>
      <c r="Q1263" s="4" t="s">
        <v>2318</v>
      </c>
    </row>
    <row r="1264" spans="1:17" hidden="1" x14ac:dyDescent="0.2">
      <c r="A1264" s="2" t="s">
        <v>2319</v>
      </c>
      <c r="B1264" s="2" t="s">
        <v>33</v>
      </c>
      <c r="C1264" s="2" t="s">
        <v>83</v>
      </c>
      <c r="D1264" s="2" t="s">
        <v>20</v>
      </c>
      <c r="E1264" s="3">
        <v>98178</v>
      </c>
      <c r="F1264" s="4" t="s">
        <v>408</v>
      </c>
      <c r="G1264" s="2" t="s">
        <v>1166</v>
      </c>
      <c r="H1264" s="2" t="s">
        <v>2302</v>
      </c>
      <c r="I1264" s="2" t="s">
        <v>212</v>
      </c>
      <c r="J1264" s="2" t="s">
        <v>213</v>
      </c>
      <c r="K1264" s="4" t="s">
        <v>2305</v>
      </c>
      <c r="L1264" s="4" t="s">
        <v>27</v>
      </c>
      <c r="M1264" s="4" t="s">
        <v>284</v>
      </c>
      <c r="N1264" s="5">
        <v>8188813</v>
      </c>
      <c r="O1264" s="2" t="s">
        <v>1301</v>
      </c>
      <c r="P1264" s="2" t="s">
        <v>86</v>
      </c>
      <c r="Q1264" s="4" t="s">
        <v>2320</v>
      </c>
    </row>
    <row r="1265" spans="1:17" hidden="1" x14ac:dyDescent="0.2">
      <c r="A1265" s="2" t="s">
        <v>2321</v>
      </c>
      <c r="B1265" s="2" t="s">
        <v>40</v>
      </c>
      <c r="C1265" s="2" t="s">
        <v>89</v>
      </c>
      <c r="D1265" s="2" t="s">
        <v>20</v>
      </c>
      <c r="E1265" s="3">
        <v>98012</v>
      </c>
      <c r="F1265" s="4" t="s">
        <v>408</v>
      </c>
      <c r="G1265" s="2" t="s">
        <v>1166</v>
      </c>
      <c r="H1265" s="2" t="s">
        <v>2302</v>
      </c>
      <c r="I1265" s="2" t="s">
        <v>212</v>
      </c>
      <c r="J1265" s="2" t="s">
        <v>213</v>
      </c>
      <c r="K1265" s="4" t="s">
        <v>2305</v>
      </c>
      <c r="L1265" s="4" t="s">
        <v>27</v>
      </c>
      <c r="M1265" s="4" t="s">
        <v>170</v>
      </c>
      <c r="N1265" s="5">
        <v>279965171</v>
      </c>
      <c r="O1265" s="2" t="s">
        <v>91</v>
      </c>
      <c r="P1265" s="2" t="s">
        <v>30</v>
      </c>
      <c r="Q1265" s="4" t="s">
        <v>2322</v>
      </c>
    </row>
    <row r="1266" spans="1:17" hidden="1" x14ac:dyDescent="0.2">
      <c r="A1266" s="2" t="s">
        <v>2323</v>
      </c>
      <c r="B1266" s="2" t="s">
        <v>33</v>
      </c>
      <c r="C1266" s="2" t="s">
        <v>83</v>
      </c>
      <c r="D1266" s="2" t="s">
        <v>20</v>
      </c>
      <c r="E1266" s="3">
        <v>98107</v>
      </c>
      <c r="F1266" s="4" t="s">
        <v>401</v>
      </c>
      <c r="G1266" s="2" t="s">
        <v>1166</v>
      </c>
      <c r="H1266" s="2" t="s">
        <v>2302</v>
      </c>
      <c r="I1266" s="2" t="s">
        <v>212</v>
      </c>
      <c r="J1266" s="2" t="s">
        <v>213</v>
      </c>
      <c r="K1266" s="4" t="s">
        <v>2305</v>
      </c>
      <c r="L1266" s="4" t="s">
        <v>27</v>
      </c>
      <c r="M1266" s="4" t="s">
        <v>84</v>
      </c>
      <c r="N1266" s="5">
        <v>156523342</v>
      </c>
      <c r="O1266" s="2" t="s">
        <v>869</v>
      </c>
      <c r="P1266" s="2" t="s">
        <v>86</v>
      </c>
      <c r="Q1266" s="4" t="s">
        <v>2324</v>
      </c>
    </row>
    <row r="1267" spans="1:17" hidden="1" x14ac:dyDescent="0.2">
      <c r="A1267" s="2" t="s">
        <v>2325</v>
      </c>
      <c r="B1267" s="2" t="s">
        <v>40</v>
      </c>
      <c r="C1267" s="2" t="s">
        <v>383</v>
      </c>
      <c r="D1267" s="2" t="s">
        <v>20</v>
      </c>
      <c r="E1267" s="3">
        <v>98203</v>
      </c>
      <c r="F1267" s="4" t="s">
        <v>401</v>
      </c>
      <c r="G1267" s="2" t="s">
        <v>1166</v>
      </c>
      <c r="H1267" s="2" t="s">
        <v>2302</v>
      </c>
      <c r="I1267" s="2" t="s">
        <v>212</v>
      </c>
      <c r="J1267" s="2" t="s">
        <v>213</v>
      </c>
      <c r="K1267" s="4" t="s">
        <v>2305</v>
      </c>
      <c r="L1267" s="4" t="s">
        <v>27</v>
      </c>
      <c r="M1267" s="4" t="s">
        <v>274</v>
      </c>
      <c r="N1267" s="5">
        <v>240671203</v>
      </c>
      <c r="O1267" s="2" t="s">
        <v>1347</v>
      </c>
      <c r="P1267" s="2" t="s">
        <v>30</v>
      </c>
      <c r="Q1267" s="4" t="s">
        <v>2326</v>
      </c>
    </row>
    <row r="1268" spans="1:17" x14ac:dyDescent="0.2">
      <c r="A1268" s="2" t="s">
        <v>2327</v>
      </c>
      <c r="B1268" s="2" t="s">
        <v>40</v>
      </c>
      <c r="C1268" s="2" t="s">
        <v>383</v>
      </c>
      <c r="D1268" s="2" t="s">
        <v>20</v>
      </c>
      <c r="E1268" s="3">
        <v>98201</v>
      </c>
      <c r="F1268" s="4" t="s">
        <v>408</v>
      </c>
      <c r="G1268" s="2" t="s">
        <v>1166</v>
      </c>
      <c r="H1268" s="2" t="s">
        <v>2302</v>
      </c>
      <c r="I1268" s="2" t="s">
        <v>24</v>
      </c>
      <c r="J1268" s="2" t="s">
        <v>25</v>
      </c>
      <c r="K1268" s="4" t="s">
        <v>101</v>
      </c>
      <c r="L1268" s="4" t="s">
        <v>27</v>
      </c>
      <c r="M1268" s="4" t="s">
        <v>274</v>
      </c>
      <c r="N1268" s="5">
        <v>123691655</v>
      </c>
      <c r="O1268" s="2" t="s">
        <v>1161</v>
      </c>
      <c r="P1268" s="2" t="s">
        <v>30</v>
      </c>
      <c r="Q1268" s="4" t="s">
        <v>2328</v>
      </c>
    </row>
    <row r="1269" spans="1:17" x14ac:dyDescent="0.2">
      <c r="A1269" s="2" t="s">
        <v>2329</v>
      </c>
      <c r="B1269" s="2" t="s">
        <v>40</v>
      </c>
      <c r="C1269" s="2" t="s">
        <v>268</v>
      </c>
      <c r="D1269" s="2" t="s">
        <v>20</v>
      </c>
      <c r="E1269" s="3">
        <v>98026</v>
      </c>
      <c r="F1269" s="4" t="s">
        <v>401</v>
      </c>
      <c r="G1269" s="2" t="s">
        <v>1166</v>
      </c>
      <c r="H1269" s="2" t="s">
        <v>2302</v>
      </c>
      <c r="I1269" s="2" t="s">
        <v>24</v>
      </c>
      <c r="J1269" s="2" t="s">
        <v>25</v>
      </c>
      <c r="K1269" s="4" t="s">
        <v>101</v>
      </c>
      <c r="L1269" s="4" t="s">
        <v>27</v>
      </c>
      <c r="M1269" s="4" t="s">
        <v>74</v>
      </c>
      <c r="N1269" s="5">
        <v>268791022</v>
      </c>
      <c r="O1269" s="2" t="s">
        <v>640</v>
      </c>
      <c r="P1269" s="2" t="s">
        <v>30</v>
      </c>
      <c r="Q1269" s="4" t="s">
        <v>1269</v>
      </c>
    </row>
    <row r="1270" spans="1:17" x14ac:dyDescent="0.2">
      <c r="A1270" s="2" t="s">
        <v>2330</v>
      </c>
      <c r="B1270" s="2" t="s">
        <v>151</v>
      </c>
      <c r="C1270" s="2" t="s">
        <v>152</v>
      </c>
      <c r="D1270" s="2" t="s">
        <v>20</v>
      </c>
      <c r="E1270" s="3">
        <v>98502</v>
      </c>
      <c r="F1270" s="4" t="s">
        <v>408</v>
      </c>
      <c r="G1270" s="2" t="s">
        <v>1166</v>
      </c>
      <c r="H1270" s="2" t="s">
        <v>2302</v>
      </c>
      <c r="I1270" s="2" t="s">
        <v>24</v>
      </c>
      <c r="J1270" s="2" t="s">
        <v>25</v>
      </c>
      <c r="K1270" s="4" t="s">
        <v>101</v>
      </c>
      <c r="L1270" s="4" t="s">
        <v>27</v>
      </c>
      <c r="M1270" s="4" t="s">
        <v>90</v>
      </c>
      <c r="N1270" s="5">
        <v>109855182</v>
      </c>
      <c r="O1270" s="2" t="s">
        <v>337</v>
      </c>
      <c r="P1270" s="2" t="s">
        <v>30</v>
      </c>
      <c r="Q1270" s="4" t="s">
        <v>2331</v>
      </c>
    </row>
    <row r="1271" spans="1:17" x14ac:dyDescent="0.2">
      <c r="A1271" s="2" t="s">
        <v>2332</v>
      </c>
      <c r="B1271" s="2" t="s">
        <v>18</v>
      </c>
      <c r="C1271" s="2" t="s">
        <v>218</v>
      </c>
      <c r="D1271" s="2" t="s">
        <v>20</v>
      </c>
      <c r="E1271" s="3">
        <v>98337</v>
      </c>
      <c r="F1271" s="4" t="s">
        <v>371</v>
      </c>
      <c r="G1271" s="2" t="s">
        <v>1166</v>
      </c>
      <c r="H1271" s="2" t="s">
        <v>2302</v>
      </c>
      <c r="I1271" s="2" t="s">
        <v>24</v>
      </c>
      <c r="J1271" s="2" t="s">
        <v>25</v>
      </c>
      <c r="K1271" s="4" t="s">
        <v>101</v>
      </c>
      <c r="L1271" s="4" t="s">
        <v>27</v>
      </c>
      <c r="M1271" s="4" t="s">
        <v>101</v>
      </c>
      <c r="N1271" s="5">
        <v>268986511</v>
      </c>
      <c r="O1271" s="2" t="s">
        <v>1875</v>
      </c>
      <c r="P1271" s="2" t="s">
        <v>30</v>
      </c>
      <c r="Q1271" s="4" t="s">
        <v>1876</v>
      </c>
    </row>
    <row r="1272" spans="1:17" hidden="1" x14ac:dyDescent="0.2">
      <c r="A1272" s="2" t="s">
        <v>2333</v>
      </c>
      <c r="B1272" s="2" t="s">
        <v>40</v>
      </c>
      <c r="C1272" s="2" t="s">
        <v>1367</v>
      </c>
      <c r="D1272" s="2" t="s">
        <v>20</v>
      </c>
      <c r="E1272" s="3">
        <v>98012</v>
      </c>
      <c r="F1272" s="4" t="s">
        <v>121</v>
      </c>
      <c r="G1272" s="2" t="s">
        <v>1166</v>
      </c>
      <c r="H1272" s="2" t="s">
        <v>2302</v>
      </c>
      <c r="I1272" s="2" t="s">
        <v>212</v>
      </c>
      <c r="J1272" s="2" t="s">
        <v>298</v>
      </c>
      <c r="K1272" s="4" t="s">
        <v>27</v>
      </c>
      <c r="L1272" s="4" t="s">
        <v>27</v>
      </c>
      <c r="M1272" s="4" t="s">
        <v>116</v>
      </c>
      <c r="N1272" s="5">
        <v>271140929</v>
      </c>
      <c r="O1272" s="2" t="s">
        <v>91</v>
      </c>
      <c r="P1272" s="2" t="s">
        <v>30</v>
      </c>
      <c r="Q1272" s="4" t="s">
        <v>2334</v>
      </c>
    </row>
    <row r="1273" spans="1:17" hidden="1" x14ac:dyDescent="0.2">
      <c r="A1273" s="2" t="s">
        <v>2335</v>
      </c>
      <c r="B1273" s="2" t="s">
        <v>33</v>
      </c>
      <c r="C1273" s="2" t="s">
        <v>146</v>
      </c>
      <c r="D1273" s="2" t="s">
        <v>20</v>
      </c>
      <c r="E1273" s="3">
        <v>98006</v>
      </c>
      <c r="F1273" s="4" t="s">
        <v>130</v>
      </c>
      <c r="G1273" s="2" t="s">
        <v>1166</v>
      </c>
      <c r="H1273" s="2" t="s">
        <v>2302</v>
      </c>
      <c r="I1273" s="2" t="s">
        <v>212</v>
      </c>
      <c r="J1273" s="2" t="s">
        <v>298</v>
      </c>
      <c r="K1273" s="4" t="s">
        <v>27</v>
      </c>
      <c r="L1273" s="4" t="s">
        <v>27</v>
      </c>
      <c r="M1273" s="4" t="s">
        <v>403</v>
      </c>
      <c r="N1273" s="5">
        <v>282385610</v>
      </c>
      <c r="O1273" s="2" t="s">
        <v>1249</v>
      </c>
      <c r="P1273" s="2" t="s">
        <v>37</v>
      </c>
      <c r="Q1273" s="4" t="s">
        <v>1326</v>
      </c>
    </row>
    <row r="1274" spans="1:17" hidden="1" x14ac:dyDescent="0.2">
      <c r="A1274" s="2" t="s">
        <v>2336</v>
      </c>
      <c r="B1274" s="2" t="s">
        <v>55</v>
      </c>
      <c r="C1274" s="2" t="s">
        <v>63</v>
      </c>
      <c r="D1274" s="2" t="s">
        <v>20</v>
      </c>
      <c r="E1274" s="3">
        <v>98685</v>
      </c>
      <c r="F1274" s="4" t="s">
        <v>130</v>
      </c>
      <c r="G1274" s="2" t="s">
        <v>1166</v>
      </c>
      <c r="H1274" s="2" t="s">
        <v>2302</v>
      </c>
      <c r="I1274" s="2" t="s">
        <v>212</v>
      </c>
      <c r="J1274" s="2" t="s">
        <v>298</v>
      </c>
      <c r="K1274" s="4" t="s">
        <v>27</v>
      </c>
      <c r="L1274" s="4" t="s">
        <v>27</v>
      </c>
      <c r="M1274" s="4" t="s">
        <v>191</v>
      </c>
      <c r="N1274" s="5">
        <v>276676830</v>
      </c>
      <c r="O1274" s="2" t="s">
        <v>299</v>
      </c>
      <c r="P1274" s="2" t="s">
        <v>60</v>
      </c>
      <c r="Q1274" s="4" t="s">
        <v>300</v>
      </c>
    </row>
    <row r="1275" spans="1:17" hidden="1" x14ac:dyDescent="0.2">
      <c r="A1275" s="2" t="s">
        <v>2337</v>
      </c>
      <c r="B1275" s="2" t="s">
        <v>33</v>
      </c>
      <c r="C1275" s="2" t="s">
        <v>186</v>
      </c>
      <c r="D1275" s="2" t="s">
        <v>20</v>
      </c>
      <c r="E1275" s="3">
        <v>98023</v>
      </c>
      <c r="F1275" s="4" t="s">
        <v>130</v>
      </c>
      <c r="G1275" s="2" t="s">
        <v>1166</v>
      </c>
      <c r="H1275" s="2" t="s">
        <v>2302</v>
      </c>
      <c r="I1275" s="2" t="s">
        <v>212</v>
      </c>
      <c r="J1275" s="2" t="s">
        <v>298</v>
      </c>
      <c r="K1275" s="4" t="s">
        <v>27</v>
      </c>
      <c r="L1275" s="4" t="s">
        <v>27</v>
      </c>
      <c r="M1275" s="4" t="s">
        <v>187</v>
      </c>
      <c r="N1275" s="5">
        <v>278171617</v>
      </c>
      <c r="O1275" s="2" t="s">
        <v>188</v>
      </c>
      <c r="P1275" s="2" t="s">
        <v>37</v>
      </c>
      <c r="Q1275" s="4" t="s">
        <v>341</v>
      </c>
    </row>
    <row r="1276" spans="1:17" hidden="1" x14ac:dyDescent="0.2">
      <c r="A1276" s="2" t="s">
        <v>2338</v>
      </c>
      <c r="B1276" s="2" t="s">
        <v>33</v>
      </c>
      <c r="C1276" s="2" t="s">
        <v>1056</v>
      </c>
      <c r="D1276" s="2" t="s">
        <v>20</v>
      </c>
      <c r="E1276" s="3">
        <v>98031</v>
      </c>
      <c r="F1276" s="4" t="s">
        <v>21</v>
      </c>
      <c r="G1276" s="2" t="s">
        <v>1166</v>
      </c>
      <c r="H1276" s="2" t="s">
        <v>2302</v>
      </c>
      <c r="I1276" s="2" t="s">
        <v>212</v>
      </c>
      <c r="J1276" s="2" t="s">
        <v>298</v>
      </c>
      <c r="K1276" s="4" t="s">
        <v>27</v>
      </c>
      <c r="L1276" s="4" t="s">
        <v>27</v>
      </c>
      <c r="M1276" s="4" t="s">
        <v>69</v>
      </c>
      <c r="N1276" s="5">
        <v>253181589</v>
      </c>
      <c r="O1276" s="2" t="s">
        <v>1057</v>
      </c>
      <c r="P1276" s="2" t="s">
        <v>37</v>
      </c>
      <c r="Q1276" s="4" t="s">
        <v>2339</v>
      </c>
    </row>
    <row r="1277" spans="1:17" hidden="1" x14ac:dyDescent="0.2">
      <c r="A1277" s="2" t="s">
        <v>2340</v>
      </c>
      <c r="B1277" s="2" t="s">
        <v>151</v>
      </c>
      <c r="C1277" s="2" t="s">
        <v>152</v>
      </c>
      <c r="D1277" s="2" t="s">
        <v>20</v>
      </c>
      <c r="E1277" s="3">
        <v>98503</v>
      </c>
      <c r="F1277" s="4" t="s">
        <v>121</v>
      </c>
      <c r="G1277" s="2" t="s">
        <v>1166</v>
      </c>
      <c r="H1277" s="2" t="s">
        <v>2302</v>
      </c>
      <c r="I1277" s="2" t="s">
        <v>212</v>
      </c>
      <c r="J1277" s="2" t="s">
        <v>298</v>
      </c>
      <c r="K1277" s="4" t="s">
        <v>27</v>
      </c>
      <c r="L1277" s="4" t="s">
        <v>27</v>
      </c>
      <c r="M1277" s="4" t="s">
        <v>357</v>
      </c>
      <c r="N1277" s="5">
        <v>269795662</v>
      </c>
      <c r="O1277" s="2" t="s">
        <v>567</v>
      </c>
      <c r="P1277" s="2" t="s">
        <v>30</v>
      </c>
      <c r="Q1277" s="4" t="s">
        <v>2061</v>
      </c>
    </row>
    <row r="1278" spans="1:17" hidden="1" x14ac:dyDescent="0.2">
      <c r="A1278" s="2" t="s">
        <v>2341</v>
      </c>
      <c r="B1278" s="2" t="s">
        <v>331</v>
      </c>
      <c r="C1278" s="2" t="s">
        <v>2167</v>
      </c>
      <c r="D1278" s="2" t="s">
        <v>20</v>
      </c>
      <c r="E1278" s="3">
        <v>99016</v>
      </c>
      <c r="F1278" s="4" t="s">
        <v>130</v>
      </c>
      <c r="G1278" s="2" t="s">
        <v>1166</v>
      </c>
      <c r="H1278" s="2" t="s">
        <v>2302</v>
      </c>
      <c r="I1278" s="2" t="s">
        <v>212</v>
      </c>
      <c r="J1278" s="2" t="s">
        <v>298</v>
      </c>
      <c r="K1278" s="4" t="s">
        <v>27</v>
      </c>
      <c r="L1278" s="4" t="s">
        <v>27</v>
      </c>
      <c r="M1278" s="4" t="s">
        <v>1381</v>
      </c>
      <c r="N1278" s="5">
        <v>278884336</v>
      </c>
      <c r="O1278" s="2" t="s">
        <v>2342</v>
      </c>
      <c r="P1278" s="2" t="s">
        <v>334</v>
      </c>
      <c r="Q1278" s="4" t="s">
        <v>2343</v>
      </c>
    </row>
    <row r="1279" spans="1:17" x14ac:dyDescent="0.2">
      <c r="A1279" s="2" t="s">
        <v>2344</v>
      </c>
      <c r="B1279" s="2" t="s">
        <v>33</v>
      </c>
      <c r="C1279" s="2" t="s">
        <v>1056</v>
      </c>
      <c r="D1279" s="2" t="s">
        <v>20</v>
      </c>
      <c r="E1279" s="3">
        <v>98032</v>
      </c>
      <c r="F1279" s="4" t="s">
        <v>21</v>
      </c>
      <c r="G1279" s="2" t="s">
        <v>1166</v>
      </c>
      <c r="H1279" s="2" t="s">
        <v>2302</v>
      </c>
      <c r="I1279" s="2" t="s">
        <v>24</v>
      </c>
      <c r="J1279" s="2" t="s">
        <v>213</v>
      </c>
      <c r="K1279" s="4" t="s">
        <v>909</v>
      </c>
      <c r="L1279" s="4" t="s">
        <v>27</v>
      </c>
      <c r="M1279" s="4" t="s">
        <v>909</v>
      </c>
      <c r="N1279" s="5">
        <v>221515920</v>
      </c>
      <c r="O1279" s="2" t="s">
        <v>1255</v>
      </c>
      <c r="P1279" s="2" t="s">
        <v>37</v>
      </c>
      <c r="Q1279" s="4" t="s">
        <v>2345</v>
      </c>
    </row>
    <row r="1280" spans="1:17" x14ac:dyDescent="0.2">
      <c r="A1280" s="2" t="s">
        <v>2346</v>
      </c>
      <c r="B1280" s="2" t="s">
        <v>48</v>
      </c>
      <c r="C1280" s="2" t="s">
        <v>48</v>
      </c>
      <c r="D1280" s="2" t="s">
        <v>20</v>
      </c>
      <c r="E1280" s="3">
        <v>98902</v>
      </c>
      <c r="F1280" s="4" t="s">
        <v>21</v>
      </c>
      <c r="G1280" s="2" t="s">
        <v>1166</v>
      </c>
      <c r="H1280" s="2" t="s">
        <v>2302</v>
      </c>
      <c r="I1280" s="2" t="s">
        <v>24</v>
      </c>
      <c r="J1280" s="2" t="s">
        <v>213</v>
      </c>
      <c r="K1280" s="4" t="s">
        <v>909</v>
      </c>
      <c r="L1280" s="4" t="s">
        <v>27</v>
      </c>
      <c r="M1280" s="4" t="s">
        <v>323</v>
      </c>
      <c r="N1280" s="5">
        <v>258750306</v>
      </c>
      <c r="O1280" s="2" t="s">
        <v>421</v>
      </c>
      <c r="P1280" s="2" t="s">
        <v>52</v>
      </c>
      <c r="Q1280" s="4" t="s">
        <v>2347</v>
      </c>
    </row>
    <row r="1281" spans="1:17" x14ac:dyDescent="0.2">
      <c r="A1281" s="2" t="s">
        <v>2348</v>
      </c>
      <c r="B1281" s="2" t="s">
        <v>151</v>
      </c>
      <c r="C1281" s="2" t="s">
        <v>883</v>
      </c>
      <c r="D1281" s="2" t="s">
        <v>20</v>
      </c>
      <c r="E1281" s="3">
        <v>98576</v>
      </c>
      <c r="F1281" s="4" t="s">
        <v>121</v>
      </c>
      <c r="G1281" s="2" t="s">
        <v>1166</v>
      </c>
      <c r="H1281" s="2" t="s">
        <v>2302</v>
      </c>
      <c r="I1281" s="2" t="s">
        <v>24</v>
      </c>
      <c r="J1281" s="2" t="s">
        <v>213</v>
      </c>
      <c r="K1281" s="4" t="s">
        <v>909</v>
      </c>
      <c r="L1281" s="4" t="s">
        <v>27</v>
      </c>
      <c r="M1281" s="4" t="s">
        <v>357</v>
      </c>
      <c r="N1281" s="5">
        <v>261605466</v>
      </c>
      <c r="O1281" s="2" t="s">
        <v>884</v>
      </c>
      <c r="P1281" s="2" t="s">
        <v>30</v>
      </c>
      <c r="Q1281" s="4" t="s">
        <v>885</v>
      </c>
    </row>
    <row r="1282" spans="1:17" x14ac:dyDescent="0.2">
      <c r="A1282" s="2" t="s">
        <v>2349</v>
      </c>
      <c r="B1282" s="2" t="s">
        <v>207</v>
      </c>
      <c r="C1282" s="2" t="s">
        <v>426</v>
      </c>
      <c r="D1282" s="2" t="s">
        <v>20</v>
      </c>
      <c r="E1282" s="3">
        <v>98257</v>
      </c>
      <c r="F1282" s="4" t="s">
        <v>121</v>
      </c>
      <c r="G1282" s="2" t="s">
        <v>1166</v>
      </c>
      <c r="H1282" s="2" t="s">
        <v>2302</v>
      </c>
      <c r="I1282" s="2" t="s">
        <v>24</v>
      </c>
      <c r="J1282" s="2" t="s">
        <v>213</v>
      </c>
      <c r="K1282" s="4" t="s">
        <v>909</v>
      </c>
      <c r="L1282" s="4" t="s">
        <v>27</v>
      </c>
      <c r="M1282" s="4" t="s">
        <v>96</v>
      </c>
      <c r="N1282" s="5">
        <v>273836776</v>
      </c>
      <c r="O1282" s="2" t="s">
        <v>427</v>
      </c>
      <c r="P1282" s="2" t="s">
        <v>30</v>
      </c>
      <c r="Q1282" s="4" t="s">
        <v>428</v>
      </c>
    </row>
    <row r="1283" spans="1:17" x14ac:dyDescent="0.2">
      <c r="A1283" s="2" t="s">
        <v>2350</v>
      </c>
      <c r="B1283" s="2" t="s">
        <v>151</v>
      </c>
      <c r="C1283" s="2" t="s">
        <v>566</v>
      </c>
      <c r="D1283" s="2" t="s">
        <v>20</v>
      </c>
      <c r="E1283" s="3">
        <v>98503</v>
      </c>
      <c r="F1283" s="4" t="s">
        <v>21</v>
      </c>
      <c r="G1283" s="2" t="s">
        <v>1166</v>
      </c>
      <c r="H1283" s="2" t="s">
        <v>2302</v>
      </c>
      <c r="I1283" s="2" t="s">
        <v>24</v>
      </c>
      <c r="J1283" s="2" t="s">
        <v>213</v>
      </c>
      <c r="K1283" s="4" t="s">
        <v>909</v>
      </c>
      <c r="L1283" s="4" t="s">
        <v>27</v>
      </c>
      <c r="M1283" s="4" t="s">
        <v>90</v>
      </c>
      <c r="N1283" s="5">
        <v>227682549</v>
      </c>
      <c r="O1283" s="2" t="s">
        <v>567</v>
      </c>
      <c r="P1283" s="2" t="s">
        <v>30</v>
      </c>
      <c r="Q1283" s="4" t="s">
        <v>2351</v>
      </c>
    </row>
    <row r="1284" spans="1:17" x14ac:dyDescent="0.2">
      <c r="A1284" s="2" t="s">
        <v>2352</v>
      </c>
      <c r="B1284" s="2" t="s">
        <v>40</v>
      </c>
      <c r="C1284" s="2" t="s">
        <v>2236</v>
      </c>
      <c r="D1284" s="2" t="s">
        <v>20</v>
      </c>
      <c r="E1284" s="3">
        <v>98043</v>
      </c>
      <c r="F1284" s="4" t="s">
        <v>21</v>
      </c>
      <c r="G1284" s="2" t="s">
        <v>1166</v>
      </c>
      <c r="H1284" s="2" t="s">
        <v>2302</v>
      </c>
      <c r="I1284" s="2" t="s">
        <v>24</v>
      </c>
      <c r="J1284" s="2" t="s">
        <v>213</v>
      </c>
      <c r="K1284" s="4" t="s">
        <v>909</v>
      </c>
      <c r="L1284" s="4" t="s">
        <v>27</v>
      </c>
      <c r="M1284" s="4" t="s">
        <v>170</v>
      </c>
      <c r="N1284" s="5">
        <v>220106232</v>
      </c>
      <c r="O1284" s="2" t="s">
        <v>2237</v>
      </c>
      <c r="P1284" s="2" t="s">
        <v>30</v>
      </c>
      <c r="Q1284" s="4" t="s">
        <v>2260</v>
      </c>
    </row>
    <row r="1285" spans="1:17" x14ac:dyDescent="0.2">
      <c r="A1285" s="2" t="s">
        <v>2353</v>
      </c>
      <c r="B1285" s="2" t="s">
        <v>331</v>
      </c>
      <c r="C1285" s="2" t="s">
        <v>1810</v>
      </c>
      <c r="D1285" s="2" t="s">
        <v>20</v>
      </c>
      <c r="E1285" s="3">
        <v>99021</v>
      </c>
      <c r="F1285" s="4" t="s">
        <v>121</v>
      </c>
      <c r="G1285" s="2" t="s">
        <v>1166</v>
      </c>
      <c r="H1285" s="2" t="s">
        <v>2302</v>
      </c>
      <c r="I1285" s="2" t="s">
        <v>24</v>
      </c>
      <c r="J1285" s="2" t="s">
        <v>213</v>
      </c>
      <c r="K1285" s="4" t="s">
        <v>909</v>
      </c>
      <c r="L1285" s="4" t="s">
        <v>27</v>
      </c>
      <c r="M1285" s="4" t="s">
        <v>164</v>
      </c>
      <c r="N1285" s="5">
        <v>270098020</v>
      </c>
      <c r="O1285" s="2" t="s">
        <v>1811</v>
      </c>
      <c r="P1285" s="2" t="s">
        <v>334</v>
      </c>
      <c r="Q1285" s="4" t="s">
        <v>2354</v>
      </c>
    </row>
    <row r="1286" spans="1:17" hidden="1" x14ac:dyDescent="0.2">
      <c r="A1286" s="2" t="s">
        <v>2355</v>
      </c>
      <c r="B1286" s="2" t="s">
        <v>33</v>
      </c>
      <c r="C1286" s="2" t="s">
        <v>68</v>
      </c>
      <c r="D1286" s="2" t="s">
        <v>20</v>
      </c>
      <c r="E1286" s="3">
        <v>98092</v>
      </c>
      <c r="F1286" s="4" t="s">
        <v>209</v>
      </c>
      <c r="G1286" s="2" t="s">
        <v>1166</v>
      </c>
      <c r="H1286" s="2" t="s">
        <v>2356</v>
      </c>
      <c r="I1286" s="2" t="s">
        <v>212</v>
      </c>
      <c r="J1286" s="2" t="s">
        <v>213</v>
      </c>
      <c r="K1286" s="4" t="s">
        <v>2357</v>
      </c>
      <c r="L1286" s="4" t="s">
        <v>2358</v>
      </c>
      <c r="M1286" s="4" t="s">
        <v>69</v>
      </c>
      <c r="N1286" s="5">
        <v>168238150</v>
      </c>
      <c r="O1286" s="2" t="s">
        <v>540</v>
      </c>
      <c r="P1286" s="2" t="s">
        <v>37</v>
      </c>
      <c r="Q1286" s="4" t="s">
        <v>1288</v>
      </c>
    </row>
    <row r="1287" spans="1:17" hidden="1" x14ac:dyDescent="0.2">
      <c r="A1287" s="2" t="s">
        <v>2359</v>
      </c>
      <c r="B1287" s="2" t="s">
        <v>110</v>
      </c>
      <c r="C1287" s="2" t="s">
        <v>307</v>
      </c>
      <c r="D1287" s="2" t="s">
        <v>20</v>
      </c>
      <c r="E1287" s="3">
        <v>98445</v>
      </c>
      <c r="F1287" s="4" t="s">
        <v>209</v>
      </c>
      <c r="G1287" s="2" t="s">
        <v>1166</v>
      </c>
      <c r="H1287" s="2" t="s">
        <v>2356</v>
      </c>
      <c r="I1287" s="2" t="s">
        <v>212</v>
      </c>
      <c r="J1287" s="2" t="s">
        <v>213</v>
      </c>
      <c r="K1287" s="4" t="s">
        <v>2357</v>
      </c>
      <c r="L1287" s="4" t="s">
        <v>2358</v>
      </c>
      <c r="M1287" s="4" t="s">
        <v>43</v>
      </c>
      <c r="N1287" s="5">
        <v>5579794</v>
      </c>
      <c r="O1287" s="2" t="s">
        <v>2360</v>
      </c>
      <c r="P1287" s="2" t="s">
        <v>2361</v>
      </c>
      <c r="Q1287" s="4" t="s">
        <v>2362</v>
      </c>
    </row>
    <row r="1288" spans="1:17" hidden="1" x14ac:dyDescent="0.2">
      <c r="A1288" s="2" t="s">
        <v>2363</v>
      </c>
      <c r="B1288" s="2" t="s">
        <v>40</v>
      </c>
      <c r="C1288" s="2" t="s">
        <v>73</v>
      </c>
      <c r="D1288" s="2" t="s">
        <v>20</v>
      </c>
      <c r="E1288" s="3">
        <v>98037</v>
      </c>
      <c r="F1288" s="4" t="s">
        <v>209</v>
      </c>
      <c r="G1288" s="2" t="s">
        <v>1166</v>
      </c>
      <c r="H1288" s="2" t="s">
        <v>2356</v>
      </c>
      <c r="I1288" s="2" t="s">
        <v>212</v>
      </c>
      <c r="J1288" s="2" t="s">
        <v>213</v>
      </c>
      <c r="K1288" s="4" t="s">
        <v>2357</v>
      </c>
      <c r="L1288" s="4" t="s">
        <v>2358</v>
      </c>
      <c r="M1288" s="4" t="s">
        <v>26</v>
      </c>
      <c r="N1288" s="5">
        <v>209171889</v>
      </c>
      <c r="O1288" s="2" t="s">
        <v>1400</v>
      </c>
      <c r="P1288" s="2" t="s">
        <v>30</v>
      </c>
      <c r="Q1288" s="4" t="s">
        <v>1437</v>
      </c>
    </row>
    <row r="1289" spans="1:17" hidden="1" x14ac:dyDescent="0.2">
      <c r="A1289" s="2" t="s">
        <v>2364</v>
      </c>
      <c r="B1289" s="2" t="s">
        <v>40</v>
      </c>
      <c r="C1289" s="2" t="s">
        <v>2236</v>
      </c>
      <c r="D1289" s="2" t="s">
        <v>20</v>
      </c>
      <c r="E1289" s="3">
        <v>98043</v>
      </c>
      <c r="F1289" s="4" t="s">
        <v>273</v>
      </c>
      <c r="G1289" s="2" t="s">
        <v>1166</v>
      </c>
      <c r="H1289" s="2" t="s">
        <v>2356</v>
      </c>
      <c r="I1289" s="2" t="s">
        <v>212</v>
      </c>
      <c r="J1289" s="2" t="s">
        <v>213</v>
      </c>
      <c r="K1289" s="4" t="s">
        <v>2357</v>
      </c>
      <c r="L1289" s="4" t="s">
        <v>2365</v>
      </c>
      <c r="M1289" s="4" t="s">
        <v>170</v>
      </c>
      <c r="N1289" s="5">
        <v>348333660</v>
      </c>
      <c r="O1289" s="2" t="s">
        <v>2237</v>
      </c>
      <c r="P1289" s="2" t="s">
        <v>30</v>
      </c>
      <c r="Q1289" s="4" t="s">
        <v>2366</v>
      </c>
    </row>
    <row r="1290" spans="1:17" hidden="1" x14ac:dyDescent="0.2">
      <c r="A1290" s="2" t="s">
        <v>2364</v>
      </c>
      <c r="B1290" s="2" t="s">
        <v>33</v>
      </c>
      <c r="C1290" s="2" t="s">
        <v>669</v>
      </c>
      <c r="D1290" s="2" t="s">
        <v>20</v>
      </c>
      <c r="E1290" s="3">
        <v>98052</v>
      </c>
      <c r="F1290" s="4" t="s">
        <v>273</v>
      </c>
      <c r="G1290" s="2" t="s">
        <v>1166</v>
      </c>
      <c r="H1290" s="2" t="s">
        <v>2356</v>
      </c>
      <c r="I1290" s="2" t="s">
        <v>212</v>
      </c>
      <c r="J1290" s="2" t="s">
        <v>213</v>
      </c>
      <c r="K1290" s="4" t="s">
        <v>2357</v>
      </c>
      <c r="L1290" s="4" t="s">
        <v>2365</v>
      </c>
      <c r="M1290" s="4" t="s">
        <v>147</v>
      </c>
      <c r="N1290" s="5">
        <v>156633172</v>
      </c>
      <c r="O1290" s="2" t="s">
        <v>670</v>
      </c>
      <c r="P1290" s="2" t="s">
        <v>37</v>
      </c>
      <c r="Q1290" s="4" t="s">
        <v>684</v>
      </c>
    </row>
    <row r="1291" spans="1:17" hidden="1" x14ac:dyDescent="0.2">
      <c r="A1291" s="2" t="s">
        <v>2367</v>
      </c>
      <c r="B1291" s="2" t="s">
        <v>33</v>
      </c>
      <c r="C1291" s="2" t="s">
        <v>146</v>
      </c>
      <c r="D1291" s="2" t="s">
        <v>20</v>
      </c>
      <c r="E1291" s="3">
        <v>98008</v>
      </c>
      <c r="F1291" s="4" t="s">
        <v>273</v>
      </c>
      <c r="G1291" s="2" t="s">
        <v>1166</v>
      </c>
      <c r="H1291" s="2" t="s">
        <v>2356</v>
      </c>
      <c r="I1291" s="2" t="s">
        <v>212</v>
      </c>
      <c r="J1291" s="2" t="s">
        <v>213</v>
      </c>
      <c r="K1291" s="4" t="s">
        <v>2357</v>
      </c>
      <c r="L1291" s="4" t="s">
        <v>2365</v>
      </c>
      <c r="M1291" s="4" t="s">
        <v>147</v>
      </c>
      <c r="N1291" s="5">
        <v>349787371</v>
      </c>
      <c r="O1291" s="2" t="s">
        <v>537</v>
      </c>
      <c r="P1291" s="2" t="s">
        <v>37</v>
      </c>
      <c r="Q1291" s="4" t="s">
        <v>538</v>
      </c>
    </row>
    <row r="1292" spans="1:17" hidden="1" x14ac:dyDescent="0.2">
      <c r="A1292" s="2" t="s">
        <v>2368</v>
      </c>
      <c r="B1292" s="2" t="s">
        <v>151</v>
      </c>
      <c r="C1292" s="2" t="s">
        <v>152</v>
      </c>
      <c r="D1292" s="2" t="s">
        <v>20</v>
      </c>
      <c r="E1292" s="3">
        <v>98506</v>
      </c>
      <c r="F1292" s="4" t="s">
        <v>230</v>
      </c>
      <c r="G1292" s="2" t="s">
        <v>1166</v>
      </c>
      <c r="H1292" s="2" t="s">
        <v>2356</v>
      </c>
      <c r="I1292" s="2" t="s">
        <v>212</v>
      </c>
      <c r="J1292" s="2" t="s">
        <v>213</v>
      </c>
      <c r="K1292" s="4" t="s">
        <v>2357</v>
      </c>
      <c r="L1292" s="4" t="s">
        <v>27</v>
      </c>
      <c r="M1292" s="4" t="s">
        <v>90</v>
      </c>
      <c r="N1292" s="5">
        <v>230289853</v>
      </c>
      <c r="O1292" s="2" t="s">
        <v>487</v>
      </c>
      <c r="P1292" s="2" t="s">
        <v>30</v>
      </c>
      <c r="Q1292" s="4" t="s">
        <v>1352</v>
      </c>
    </row>
    <row r="1293" spans="1:17" hidden="1" x14ac:dyDescent="0.2">
      <c r="A1293" s="2" t="s">
        <v>2369</v>
      </c>
      <c r="B1293" s="2" t="s">
        <v>151</v>
      </c>
      <c r="C1293" s="2" t="s">
        <v>152</v>
      </c>
      <c r="D1293" s="2" t="s">
        <v>20</v>
      </c>
      <c r="E1293" s="3">
        <v>98512</v>
      </c>
      <c r="F1293" s="4" t="s">
        <v>273</v>
      </c>
      <c r="G1293" s="2" t="s">
        <v>1166</v>
      </c>
      <c r="H1293" s="2" t="s">
        <v>2356</v>
      </c>
      <c r="I1293" s="2" t="s">
        <v>212</v>
      </c>
      <c r="J1293" s="2" t="s">
        <v>213</v>
      </c>
      <c r="K1293" s="4" t="s">
        <v>2357</v>
      </c>
      <c r="L1293" s="4" t="s">
        <v>2365</v>
      </c>
      <c r="M1293" s="4" t="s">
        <v>255</v>
      </c>
      <c r="N1293" s="5">
        <v>187773477</v>
      </c>
      <c r="O1293" s="2" t="s">
        <v>256</v>
      </c>
      <c r="P1293" s="2" t="s">
        <v>30</v>
      </c>
      <c r="Q1293" s="4" t="s">
        <v>2370</v>
      </c>
    </row>
    <row r="1294" spans="1:17" hidden="1" x14ac:dyDescent="0.2">
      <c r="A1294" s="2" t="s">
        <v>2371</v>
      </c>
      <c r="B1294" s="2" t="s">
        <v>151</v>
      </c>
      <c r="C1294" s="2" t="s">
        <v>566</v>
      </c>
      <c r="D1294" s="2" t="s">
        <v>20</v>
      </c>
      <c r="E1294" s="3">
        <v>98503</v>
      </c>
      <c r="F1294" s="4" t="s">
        <v>209</v>
      </c>
      <c r="G1294" s="2" t="s">
        <v>1166</v>
      </c>
      <c r="H1294" s="2" t="s">
        <v>2356</v>
      </c>
      <c r="I1294" s="2" t="s">
        <v>212</v>
      </c>
      <c r="J1294" s="2" t="s">
        <v>213</v>
      </c>
      <c r="K1294" s="4" t="s">
        <v>2357</v>
      </c>
      <c r="L1294" s="4" t="s">
        <v>2358</v>
      </c>
      <c r="M1294" s="4" t="s">
        <v>90</v>
      </c>
      <c r="N1294" s="5">
        <v>199591969</v>
      </c>
      <c r="O1294" s="2" t="s">
        <v>567</v>
      </c>
      <c r="P1294" s="2" t="s">
        <v>30</v>
      </c>
      <c r="Q1294" s="4" t="s">
        <v>568</v>
      </c>
    </row>
    <row r="1295" spans="1:17" x14ac:dyDescent="0.2">
      <c r="A1295" s="2" t="s">
        <v>2372</v>
      </c>
      <c r="B1295" s="2" t="s">
        <v>33</v>
      </c>
      <c r="C1295" s="2" t="s">
        <v>83</v>
      </c>
      <c r="D1295" s="2" t="s">
        <v>20</v>
      </c>
      <c r="E1295" s="3">
        <v>98116</v>
      </c>
      <c r="F1295" s="4" t="s">
        <v>21</v>
      </c>
      <c r="G1295" s="2" t="s">
        <v>1166</v>
      </c>
      <c r="H1295" s="2" t="s">
        <v>2373</v>
      </c>
      <c r="I1295" s="2" t="s">
        <v>24</v>
      </c>
      <c r="J1295" s="2" t="s">
        <v>213</v>
      </c>
      <c r="K1295" s="4" t="s">
        <v>319</v>
      </c>
      <c r="L1295" s="4" t="s">
        <v>27</v>
      </c>
      <c r="M1295" s="4" t="s">
        <v>319</v>
      </c>
      <c r="N1295" s="5">
        <v>251000494</v>
      </c>
      <c r="O1295" s="2" t="s">
        <v>1034</v>
      </c>
      <c r="P1295" s="2" t="s">
        <v>86</v>
      </c>
      <c r="Q1295" s="4" t="s">
        <v>1035</v>
      </c>
    </row>
    <row r="1296" spans="1:17" x14ac:dyDescent="0.2">
      <c r="A1296" s="2" t="s">
        <v>2374</v>
      </c>
      <c r="B1296" s="2" t="s">
        <v>48</v>
      </c>
      <c r="C1296" s="2" t="s">
        <v>48</v>
      </c>
      <c r="D1296" s="2" t="s">
        <v>20</v>
      </c>
      <c r="E1296" s="3">
        <v>98901</v>
      </c>
      <c r="F1296" s="4" t="s">
        <v>21</v>
      </c>
      <c r="G1296" s="2" t="s">
        <v>1166</v>
      </c>
      <c r="H1296" s="2" t="s">
        <v>2373</v>
      </c>
      <c r="I1296" s="2" t="s">
        <v>24</v>
      </c>
      <c r="J1296" s="2" t="s">
        <v>213</v>
      </c>
      <c r="K1296" s="4" t="s">
        <v>319</v>
      </c>
      <c r="L1296" s="4" t="s">
        <v>27</v>
      </c>
      <c r="M1296" s="4" t="s">
        <v>50</v>
      </c>
      <c r="N1296" s="5">
        <v>238017279</v>
      </c>
      <c r="O1296" s="2" t="s">
        <v>1258</v>
      </c>
      <c r="P1296" s="2" t="s">
        <v>52</v>
      </c>
      <c r="Q1296" s="4" t="s">
        <v>2375</v>
      </c>
    </row>
    <row r="1297" spans="1:17" x14ac:dyDescent="0.2">
      <c r="A1297" s="2" t="s">
        <v>2376</v>
      </c>
      <c r="B1297" s="2" t="s">
        <v>1376</v>
      </c>
      <c r="C1297" s="2" t="s">
        <v>2127</v>
      </c>
      <c r="D1297" s="2" t="s">
        <v>20</v>
      </c>
      <c r="E1297" s="3">
        <v>98626</v>
      </c>
      <c r="F1297" s="4" t="s">
        <v>21</v>
      </c>
      <c r="G1297" s="2" t="s">
        <v>1166</v>
      </c>
      <c r="H1297" s="2" t="s">
        <v>2373</v>
      </c>
      <c r="I1297" s="2" t="s">
        <v>24</v>
      </c>
      <c r="J1297" s="2" t="s">
        <v>213</v>
      </c>
      <c r="K1297" s="4" t="s">
        <v>319</v>
      </c>
      <c r="L1297" s="4" t="s">
        <v>27</v>
      </c>
      <c r="M1297" s="4" t="s">
        <v>221</v>
      </c>
      <c r="N1297" s="5">
        <v>273303768</v>
      </c>
      <c r="O1297" s="2" t="s">
        <v>2128</v>
      </c>
      <c r="P1297" s="2" t="s">
        <v>1379</v>
      </c>
      <c r="Q1297" s="4" t="s">
        <v>2377</v>
      </c>
    </row>
    <row r="1298" spans="1:17" x14ac:dyDescent="0.2">
      <c r="A1298" s="2" t="s">
        <v>2378</v>
      </c>
      <c r="B1298" s="2" t="s">
        <v>33</v>
      </c>
      <c r="C1298" s="2" t="s">
        <v>83</v>
      </c>
      <c r="D1298" s="2" t="s">
        <v>20</v>
      </c>
      <c r="E1298" s="3">
        <v>98109</v>
      </c>
      <c r="F1298" s="4" t="s">
        <v>21</v>
      </c>
      <c r="G1298" s="2" t="s">
        <v>1166</v>
      </c>
      <c r="H1298" s="2" t="s">
        <v>2373</v>
      </c>
      <c r="I1298" s="2" t="s">
        <v>24</v>
      </c>
      <c r="J1298" s="2" t="s">
        <v>213</v>
      </c>
      <c r="K1298" s="4" t="s">
        <v>319</v>
      </c>
      <c r="L1298" s="4" t="s">
        <v>27</v>
      </c>
      <c r="M1298" s="4" t="s">
        <v>436</v>
      </c>
      <c r="N1298" s="5">
        <v>229939853</v>
      </c>
      <c r="O1298" s="2" t="s">
        <v>437</v>
      </c>
      <c r="P1298" s="2" t="s">
        <v>86</v>
      </c>
      <c r="Q1298" s="4" t="s">
        <v>438</v>
      </c>
    </row>
    <row r="1299" spans="1:17" x14ac:dyDescent="0.2">
      <c r="A1299" s="2" t="s">
        <v>2379</v>
      </c>
      <c r="B1299" s="2" t="s">
        <v>48</v>
      </c>
      <c r="C1299" s="2" t="s">
        <v>48</v>
      </c>
      <c r="D1299" s="2" t="s">
        <v>20</v>
      </c>
      <c r="E1299" s="3">
        <v>98902</v>
      </c>
      <c r="F1299" s="4" t="s">
        <v>121</v>
      </c>
      <c r="G1299" s="2" t="s">
        <v>1166</v>
      </c>
      <c r="H1299" s="2" t="s">
        <v>2373</v>
      </c>
      <c r="I1299" s="2" t="s">
        <v>24</v>
      </c>
      <c r="J1299" s="2" t="s">
        <v>213</v>
      </c>
      <c r="K1299" s="4" t="s">
        <v>319</v>
      </c>
      <c r="L1299" s="4" t="s">
        <v>27</v>
      </c>
      <c r="M1299" s="4" t="s">
        <v>323</v>
      </c>
      <c r="N1299" s="5">
        <v>276811020</v>
      </c>
      <c r="O1299" s="2" t="s">
        <v>421</v>
      </c>
      <c r="P1299" s="2" t="s">
        <v>52</v>
      </c>
      <c r="Q1299" s="4" t="s">
        <v>696</v>
      </c>
    </row>
    <row r="1300" spans="1:17" x14ac:dyDescent="0.2">
      <c r="A1300" s="2" t="s">
        <v>2380</v>
      </c>
      <c r="B1300" s="2" t="s">
        <v>40</v>
      </c>
      <c r="C1300" s="2" t="s">
        <v>73</v>
      </c>
      <c r="D1300" s="2" t="s">
        <v>20</v>
      </c>
      <c r="E1300" s="3">
        <v>98087</v>
      </c>
      <c r="F1300" s="4" t="s">
        <v>130</v>
      </c>
      <c r="G1300" s="2" t="s">
        <v>1166</v>
      </c>
      <c r="H1300" s="2" t="s">
        <v>2373</v>
      </c>
      <c r="I1300" s="2" t="s">
        <v>24</v>
      </c>
      <c r="J1300" s="2" t="s">
        <v>213</v>
      </c>
      <c r="K1300" s="4" t="s">
        <v>319</v>
      </c>
      <c r="L1300" s="4" t="s">
        <v>27</v>
      </c>
      <c r="M1300" s="4" t="s">
        <v>26</v>
      </c>
      <c r="N1300" s="5">
        <v>278025401</v>
      </c>
      <c r="O1300" s="2" t="s">
        <v>496</v>
      </c>
      <c r="P1300" s="2" t="s">
        <v>30</v>
      </c>
      <c r="Q1300" s="4" t="s">
        <v>1179</v>
      </c>
    </row>
    <row r="1301" spans="1:17" x14ac:dyDescent="0.2">
      <c r="A1301" s="2" t="s">
        <v>2380</v>
      </c>
      <c r="B1301" s="2" t="s">
        <v>18</v>
      </c>
      <c r="C1301" s="2" t="s">
        <v>374</v>
      </c>
      <c r="D1301" s="2" t="s">
        <v>20</v>
      </c>
      <c r="E1301" s="3">
        <v>98346</v>
      </c>
      <c r="F1301" s="4" t="s">
        <v>130</v>
      </c>
      <c r="G1301" s="2" t="s">
        <v>1166</v>
      </c>
      <c r="H1301" s="2" t="s">
        <v>2373</v>
      </c>
      <c r="I1301" s="2" t="s">
        <v>24</v>
      </c>
      <c r="J1301" s="2" t="s">
        <v>213</v>
      </c>
      <c r="K1301" s="4" t="s">
        <v>319</v>
      </c>
      <c r="L1301" s="4" t="s">
        <v>27</v>
      </c>
      <c r="M1301" s="4" t="s">
        <v>28</v>
      </c>
      <c r="N1301" s="5">
        <v>285328515</v>
      </c>
      <c r="O1301" s="2" t="s">
        <v>375</v>
      </c>
      <c r="P1301" s="2" t="s">
        <v>30</v>
      </c>
      <c r="Q1301" s="4" t="s">
        <v>515</v>
      </c>
    </row>
    <row r="1302" spans="1:17" x14ac:dyDescent="0.2">
      <c r="A1302" s="2" t="s">
        <v>2381</v>
      </c>
      <c r="B1302" s="2" t="s">
        <v>110</v>
      </c>
      <c r="C1302" s="2" t="s">
        <v>749</v>
      </c>
      <c r="D1302" s="2" t="s">
        <v>20</v>
      </c>
      <c r="E1302" s="3">
        <v>98391</v>
      </c>
      <c r="F1302" s="4" t="s">
        <v>130</v>
      </c>
      <c r="G1302" s="2" t="s">
        <v>1166</v>
      </c>
      <c r="H1302" s="2" t="s">
        <v>2373</v>
      </c>
      <c r="I1302" s="2" t="s">
        <v>24</v>
      </c>
      <c r="J1302" s="2" t="s">
        <v>213</v>
      </c>
      <c r="K1302" s="4" t="s">
        <v>319</v>
      </c>
      <c r="L1302" s="4" t="s">
        <v>27</v>
      </c>
      <c r="M1302" s="4" t="s">
        <v>112</v>
      </c>
      <c r="N1302" s="5">
        <v>281782497</v>
      </c>
      <c r="O1302" s="2" t="s">
        <v>113</v>
      </c>
      <c r="P1302" s="2" t="s">
        <v>37</v>
      </c>
      <c r="Q1302" s="4" t="s">
        <v>1899</v>
      </c>
    </row>
    <row r="1303" spans="1:17" x14ac:dyDescent="0.2">
      <c r="A1303" s="2" t="s">
        <v>2382</v>
      </c>
      <c r="B1303" s="2" t="s">
        <v>33</v>
      </c>
      <c r="C1303" s="2" t="s">
        <v>68</v>
      </c>
      <c r="D1303" s="2" t="s">
        <v>20</v>
      </c>
      <c r="E1303" s="3">
        <v>98001</v>
      </c>
      <c r="F1303" s="4" t="s">
        <v>121</v>
      </c>
      <c r="G1303" s="2" t="s">
        <v>1166</v>
      </c>
      <c r="H1303" s="2" t="s">
        <v>2373</v>
      </c>
      <c r="I1303" s="2" t="s">
        <v>24</v>
      </c>
      <c r="J1303" s="2" t="s">
        <v>213</v>
      </c>
      <c r="K1303" s="4" t="s">
        <v>319</v>
      </c>
      <c r="L1303" s="4" t="s">
        <v>27</v>
      </c>
      <c r="M1303" s="4" t="s">
        <v>69</v>
      </c>
      <c r="N1303" s="5">
        <v>275698937</v>
      </c>
      <c r="O1303" s="2" t="s">
        <v>474</v>
      </c>
      <c r="P1303" s="2" t="s">
        <v>37</v>
      </c>
      <c r="Q1303" s="4" t="s">
        <v>758</v>
      </c>
    </row>
    <row r="1304" spans="1:17" x14ac:dyDescent="0.2">
      <c r="A1304" s="2" t="s">
        <v>2383</v>
      </c>
      <c r="B1304" s="2" t="s">
        <v>151</v>
      </c>
      <c r="C1304" s="2" t="s">
        <v>957</v>
      </c>
      <c r="D1304" s="2" t="s">
        <v>20</v>
      </c>
      <c r="E1304" s="3">
        <v>98589</v>
      </c>
      <c r="F1304" s="4" t="s">
        <v>121</v>
      </c>
      <c r="G1304" s="2" t="s">
        <v>1166</v>
      </c>
      <c r="H1304" s="2" t="s">
        <v>2373</v>
      </c>
      <c r="I1304" s="2" t="s">
        <v>24</v>
      </c>
      <c r="J1304" s="2" t="s">
        <v>213</v>
      </c>
      <c r="K1304" s="4" t="s">
        <v>319</v>
      </c>
      <c r="L1304" s="4" t="s">
        <v>27</v>
      </c>
      <c r="M1304" s="4" t="s">
        <v>79</v>
      </c>
      <c r="N1304" s="5">
        <v>268538987</v>
      </c>
      <c r="O1304" s="2" t="s">
        <v>959</v>
      </c>
      <c r="P1304" s="2" t="s">
        <v>30</v>
      </c>
      <c r="Q1304" s="4" t="s">
        <v>2384</v>
      </c>
    </row>
    <row r="1305" spans="1:17" x14ac:dyDescent="0.2">
      <c r="A1305" s="2" t="s">
        <v>2385</v>
      </c>
      <c r="B1305" s="2" t="s">
        <v>33</v>
      </c>
      <c r="C1305" s="2" t="s">
        <v>83</v>
      </c>
      <c r="D1305" s="2" t="s">
        <v>20</v>
      </c>
      <c r="E1305" s="3">
        <v>98101</v>
      </c>
      <c r="F1305" s="4" t="s">
        <v>130</v>
      </c>
      <c r="G1305" s="2" t="s">
        <v>1166</v>
      </c>
      <c r="H1305" s="2" t="s">
        <v>2373</v>
      </c>
      <c r="I1305" s="2" t="s">
        <v>24</v>
      </c>
      <c r="J1305" s="2" t="s">
        <v>213</v>
      </c>
      <c r="K1305" s="4" t="s">
        <v>319</v>
      </c>
      <c r="L1305" s="4" t="s">
        <v>27</v>
      </c>
      <c r="M1305" s="4" t="s">
        <v>436</v>
      </c>
      <c r="N1305" s="5">
        <v>282019776</v>
      </c>
      <c r="O1305" s="2" t="s">
        <v>1235</v>
      </c>
      <c r="P1305" s="2" t="s">
        <v>86</v>
      </c>
      <c r="Q1305" s="4" t="s">
        <v>2386</v>
      </c>
    </row>
    <row r="1306" spans="1:17" x14ac:dyDescent="0.2">
      <c r="A1306" s="2" t="s">
        <v>2387</v>
      </c>
      <c r="B1306" s="2" t="s">
        <v>151</v>
      </c>
      <c r="C1306" s="2" t="s">
        <v>356</v>
      </c>
      <c r="D1306" s="2" t="s">
        <v>20</v>
      </c>
      <c r="E1306" s="3">
        <v>98597</v>
      </c>
      <c r="F1306" s="4" t="s">
        <v>130</v>
      </c>
      <c r="G1306" s="2" t="s">
        <v>1166</v>
      </c>
      <c r="H1306" s="2" t="s">
        <v>2373</v>
      </c>
      <c r="I1306" s="2" t="s">
        <v>24</v>
      </c>
      <c r="J1306" s="2" t="s">
        <v>213</v>
      </c>
      <c r="K1306" s="4" t="s">
        <v>319</v>
      </c>
      <c r="L1306" s="4" t="s">
        <v>27</v>
      </c>
      <c r="M1306" s="4" t="s">
        <v>357</v>
      </c>
      <c r="N1306" s="5">
        <v>280119143</v>
      </c>
      <c r="O1306" s="2" t="s">
        <v>358</v>
      </c>
      <c r="P1306" s="2" t="s">
        <v>30</v>
      </c>
      <c r="Q1306" s="4" t="s">
        <v>359</v>
      </c>
    </row>
    <row r="1307" spans="1:17" x14ac:dyDescent="0.2">
      <c r="A1307" s="2" t="s">
        <v>2388</v>
      </c>
      <c r="B1307" s="2" t="s">
        <v>18</v>
      </c>
      <c r="C1307" s="2" t="s">
        <v>100</v>
      </c>
      <c r="D1307" s="2" t="s">
        <v>20</v>
      </c>
      <c r="E1307" s="3">
        <v>98367</v>
      </c>
      <c r="F1307" s="4" t="s">
        <v>130</v>
      </c>
      <c r="G1307" s="2" t="s">
        <v>1166</v>
      </c>
      <c r="H1307" s="2" t="s">
        <v>2373</v>
      </c>
      <c r="I1307" s="2" t="s">
        <v>24</v>
      </c>
      <c r="J1307" s="2" t="s">
        <v>213</v>
      </c>
      <c r="K1307" s="4" t="s">
        <v>319</v>
      </c>
      <c r="L1307" s="4" t="s">
        <v>27</v>
      </c>
      <c r="M1307" s="4" t="s">
        <v>101</v>
      </c>
      <c r="N1307" s="5">
        <v>277414056</v>
      </c>
      <c r="O1307" s="2" t="s">
        <v>259</v>
      </c>
      <c r="P1307" s="2" t="s">
        <v>30</v>
      </c>
      <c r="Q1307" s="4" t="s">
        <v>2389</v>
      </c>
    </row>
    <row r="1308" spans="1:17" x14ac:dyDescent="0.2">
      <c r="A1308" s="2" t="s">
        <v>2390</v>
      </c>
      <c r="B1308" s="2" t="s">
        <v>156</v>
      </c>
      <c r="C1308" s="2" t="s">
        <v>1514</v>
      </c>
      <c r="D1308" s="2" t="s">
        <v>20</v>
      </c>
      <c r="E1308" s="3">
        <v>98532</v>
      </c>
      <c r="F1308" s="4" t="s">
        <v>130</v>
      </c>
      <c r="G1308" s="2" t="s">
        <v>1166</v>
      </c>
      <c r="H1308" s="2" t="s">
        <v>2373</v>
      </c>
      <c r="I1308" s="2" t="s">
        <v>24</v>
      </c>
      <c r="J1308" s="2" t="s">
        <v>213</v>
      </c>
      <c r="K1308" s="4" t="s">
        <v>319</v>
      </c>
      <c r="L1308" s="4" t="s">
        <v>27</v>
      </c>
      <c r="M1308" s="4" t="s">
        <v>79</v>
      </c>
      <c r="N1308" s="5">
        <v>274139022</v>
      </c>
      <c r="O1308" s="2" t="s">
        <v>1515</v>
      </c>
      <c r="P1308" s="2" t="s">
        <v>37</v>
      </c>
      <c r="Q1308" s="4" t="s">
        <v>2391</v>
      </c>
    </row>
    <row r="1309" spans="1:17" x14ac:dyDescent="0.2">
      <c r="A1309" s="2" t="s">
        <v>2392</v>
      </c>
      <c r="B1309" s="2" t="s">
        <v>506</v>
      </c>
      <c r="C1309" s="2" t="s">
        <v>1665</v>
      </c>
      <c r="D1309" s="2" t="s">
        <v>20</v>
      </c>
      <c r="E1309" s="3">
        <v>98368</v>
      </c>
      <c r="F1309" s="4" t="s">
        <v>130</v>
      </c>
      <c r="G1309" s="2" t="s">
        <v>1166</v>
      </c>
      <c r="H1309" s="2" t="s">
        <v>2373</v>
      </c>
      <c r="I1309" s="2" t="s">
        <v>24</v>
      </c>
      <c r="J1309" s="2" t="s">
        <v>213</v>
      </c>
      <c r="K1309" s="4" t="s">
        <v>319</v>
      </c>
      <c r="L1309" s="4" t="s">
        <v>27</v>
      </c>
      <c r="M1309" s="4" t="s">
        <v>509</v>
      </c>
      <c r="N1309" s="5">
        <v>278126761</v>
      </c>
      <c r="O1309" s="2" t="s">
        <v>1666</v>
      </c>
      <c r="P1309" s="2" t="s">
        <v>511</v>
      </c>
      <c r="Q1309" s="4" t="s">
        <v>1667</v>
      </c>
    </row>
    <row r="1310" spans="1:17" x14ac:dyDescent="0.2">
      <c r="A1310" s="2" t="s">
        <v>2393</v>
      </c>
      <c r="B1310" s="2" t="s">
        <v>151</v>
      </c>
      <c r="C1310" s="2" t="s">
        <v>250</v>
      </c>
      <c r="D1310" s="2" t="s">
        <v>20</v>
      </c>
      <c r="E1310" s="3">
        <v>98501</v>
      </c>
      <c r="F1310" s="4" t="s">
        <v>130</v>
      </c>
      <c r="G1310" s="2" t="s">
        <v>1166</v>
      </c>
      <c r="H1310" s="2" t="s">
        <v>2394</v>
      </c>
      <c r="I1310" s="2" t="s">
        <v>24</v>
      </c>
      <c r="J1310" s="2" t="s">
        <v>213</v>
      </c>
      <c r="K1310" s="4" t="s">
        <v>187</v>
      </c>
      <c r="L1310" s="4" t="s">
        <v>27</v>
      </c>
      <c r="M1310" s="4" t="s">
        <v>255</v>
      </c>
      <c r="N1310" s="5">
        <v>274211332</v>
      </c>
      <c r="O1310" s="2" t="s">
        <v>153</v>
      </c>
      <c r="P1310" s="2" t="s">
        <v>30</v>
      </c>
      <c r="Q1310" s="4" t="s">
        <v>2395</v>
      </c>
    </row>
    <row r="1311" spans="1:17" x14ac:dyDescent="0.2">
      <c r="A1311" s="2" t="s">
        <v>2396</v>
      </c>
      <c r="B1311" s="2" t="s">
        <v>40</v>
      </c>
      <c r="C1311" s="2" t="s">
        <v>89</v>
      </c>
      <c r="D1311" s="2" t="s">
        <v>20</v>
      </c>
      <c r="E1311" s="3">
        <v>98012</v>
      </c>
      <c r="F1311" s="4" t="s">
        <v>57</v>
      </c>
      <c r="G1311" s="2" t="s">
        <v>1166</v>
      </c>
      <c r="H1311" s="2" t="s">
        <v>2394</v>
      </c>
      <c r="I1311" s="2" t="s">
        <v>24</v>
      </c>
      <c r="J1311" s="2" t="s">
        <v>213</v>
      </c>
      <c r="K1311" s="4" t="s">
        <v>74</v>
      </c>
      <c r="L1311" s="4" t="s">
        <v>27</v>
      </c>
      <c r="M1311" s="4" t="s">
        <v>170</v>
      </c>
      <c r="N1311" s="5">
        <v>212303472</v>
      </c>
      <c r="O1311" s="2" t="s">
        <v>91</v>
      </c>
      <c r="P1311" s="2" t="s">
        <v>30</v>
      </c>
      <c r="Q1311" s="4" t="s">
        <v>1185</v>
      </c>
    </row>
    <row r="1312" spans="1:17" x14ac:dyDescent="0.2">
      <c r="A1312" s="2" t="s">
        <v>2397</v>
      </c>
      <c r="B1312" s="2" t="s">
        <v>33</v>
      </c>
      <c r="C1312" s="2" t="s">
        <v>83</v>
      </c>
      <c r="D1312" s="2" t="s">
        <v>20</v>
      </c>
      <c r="E1312" s="3">
        <v>98117</v>
      </c>
      <c r="F1312" s="4" t="s">
        <v>21</v>
      </c>
      <c r="G1312" s="2" t="s">
        <v>1166</v>
      </c>
      <c r="H1312" s="2" t="s">
        <v>2394</v>
      </c>
      <c r="I1312" s="2" t="s">
        <v>24</v>
      </c>
      <c r="J1312" s="2" t="s">
        <v>213</v>
      </c>
      <c r="K1312" s="4" t="s">
        <v>74</v>
      </c>
      <c r="L1312" s="4" t="s">
        <v>27</v>
      </c>
      <c r="M1312" s="4" t="s">
        <v>84</v>
      </c>
      <c r="N1312" s="5">
        <v>228041404</v>
      </c>
      <c r="O1312" s="2" t="s">
        <v>622</v>
      </c>
      <c r="P1312" s="2" t="s">
        <v>86</v>
      </c>
      <c r="Q1312" s="4" t="s">
        <v>941</v>
      </c>
    </row>
    <row r="1313" spans="1:17" hidden="1" x14ac:dyDescent="0.2">
      <c r="A1313" s="2" t="s">
        <v>2398</v>
      </c>
      <c r="B1313" s="2" t="s">
        <v>33</v>
      </c>
      <c r="C1313" s="2" t="s">
        <v>169</v>
      </c>
      <c r="D1313" s="2" t="s">
        <v>20</v>
      </c>
      <c r="E1313" s="3">
        <v>98033</v>
      </c>
      <c r="F1313" s="4" t="s">
        <v>42</v>
      </c>
      <c r="G1313" s="2" t="s">
        <v>2399</v>
      </c>
      <c r="H1313" s="2" t="s">
        <v>2400</v>
      </c>
      <c r="I1313" s="2" t="s">
        <v>212</v>
      </c>
      <c r="J1313" s="2" t="s">
        <v>213</v>
      </c>
      <c r="K1313" s="4" t="s">
        <v>2401</v>
      </c>
      <c r="L1313" s="4" t="s">
        <v>27</v>
      </c>
      <c r="M1313" s="4" t="s">
        <v>198</v>
      </c>
      <c r="N1313" s="5">
        <v>257674336</v>
      </c>
      <c r="O1313" s="2" t="s">
        <v>204</v>
      </c>
      <c r="P1313" s="2" t="s">
        <v>37</v>
      </c>
      <c r="Q1313" s="4" t="s">
        <v>378</v>
      </c>
    </row>
    <row r="1314" spans="1:17" hidden="1" x14ac:dyDescent="0.2">
      <c r="A1314" s="2" t="s">
        <v>2402</v>
      </c>
      <c r="B1314" s="2" t="s">
        <v>48</v>
      </c>
      <c r="C1314" s="2" t="s">
        <v>48</v>
      </c>
      <c r="D1314" s="2" t="s">
        <v>20</v>
      </c>
      <c r="E1314" s="3">
        <v>98908</v>
      </c>
      <c r="F1314" s="4" t="s">
        <v>57</v>
      </c>
      <c r="G1314" s="2" t="s">
        <v>2399</v>
      </c>
      <c r="H1314" s="2" t="s">
        <v>2400</v>
      </c>
      <c r="I1314" s="2" t="s">
        <v>212</v>
      </c>
      <c r="J1314" s="2" t="s">
        <v>298</v>
      </c>
      <c r="K1314" s="4" t="s">
        <v>27</v>
      </c>
      <c r="L1314" s="4" t="s">
        <v>27</v>
      </c>
      <c r="M1314" s="4" t="s">
        <v>323</v>
      </c>
      <c r="N1314" s="5">
        <v>278406467</v>
      </c>
      <c r="O1314" s="2" t="s">
        <v>596</v>
      </c>
      <c r="P1314" s="2" t="s">
        <v>52</v>
      </c>
      <c r="Q1314" s="4" t="s">
        <v>2403</v>
      </c>
    </row>
    <row r="1315" spans="1:17" hidden="1" x14ac:dyDescent="0.2">
      <c r="A1315" s="2" t="s">
        <v>2404</v>
      </c>
      <c r="B1315" s="2" t="s">
        <v>33</v>
      </c>
      <c r="C1315" s="2" t="s">
        <v>83</v>
      </c>
      <c r="D1315" s="2" t="s">
        <v>20</v>
      </c>
      <c r="E1315" s="3">
        <v>98144</v>
      </c>
      <c r="F1315" s="4" t="s">
        <v>42</v>
      </c>
      <c r="G1315" s="2" t="s">
        <v>2399</v>
      </c>
      <c r="H1315" s="2" t="s">
        <v>2400</v>
      </c>
      <c r="I1315" s="2" t="s">
        <v>212</v>
      </c>
      <c r="J1315" s="2" t="s">
        <v>213</v>
      </c>
      <c r="K1315" s="4" t="s">
        <v>2401</v>
      </c>
      <c r="L1315" s="4" t="s">
        <v>27</v>
      </c>
      <c r="M1315" s="4" t="s">
        <v>284</v>
      </c>
      <c r="N1315" s="5">
        <v>270017401</v>
      </c>
      <c r="O1315" s="2" t="s">
        <v>867</v>
      </c>
      <c r="P1315" s="2" t="s">
        <v>86</v>
      </c>
      <c r="Q1315" s="4" t="s">
        <v>1450</v>
      </c>
    </row>
    <row r="1316" spans="1:17" hidden="1" x14ac:dyDescent="0.2">
      <c r="A1316" s="2" t="s">
        <v>2404</v>
      </c>
      <c r="B1316" s="2" t="s">
        <v>33</v>
      </c>
      <c r="C1316" s="2" t="s">
        <v>83</v>
      </c>
      <c r="D1316" s="2" t="s">
        <v>20</v>
      </c>
      <c r="E1316" s="3">
        <v>98117</v>
      </c>
      <c r="F1316" s="4" t="s">
        <v>42</v>
      </c>
      <c r="G1316" s="2" t="s">
        <v>2399</v>
      </c>
      <c r="H1316" s="2" t="s">
        <v>2400</v>
      </c>
      <c r="I1316" s="2" t="s">
        <v>212</v>
      </c>
      <c r="J1316" s="2" t="s">
        <v>213</v>
      </c>
      <c r="K1316" s="4" t="s">
        <v>2401</v>
      </c>
      <c r="L1316" s="4" t="s">
        <v>27</v>
      </c>
      <c r="M1316" s="4" t="s">
        <v>84</v>
      </c>
      <c r="N1316" s="5">
        <v>180570736</v>
      </c>
      <c r="O1316" s="2" t="s">
        <v>622</v>
      </c>
      <c r="P1316" s="2" t="s">
        <v>86</v>
      </c>
      <c r="Q1316" s="4" t="s">
        <v>623</v>
      </c>
    </row>
    <row r="1317" spans="1:17" hidden="1" x14ac:dyDescent="0.2">
      <c r="A1317" s="2" t="s">
        <v>2405</v>
      </c>
      <c r="B1317" s="2" t="s">
        <v>33</v>
      </c>
      <c r="C1317" s="2" t="s">
        <v>146</v>
      </c>
      <c r="D1317" s="2" t="s">
        <v>20</v>
      </c>
      <c r="E1317" s="3">
        <v>98004</v>
      </c>
      <c r="F1317" s="4" t="s">
        <v>57</v>
      </c>
      <c r="G1317" s="2" t="s">
        <v>2399</v>
      </c>
      <c r="H1317" s="2" t="s">
        <v>2400</v>
      </c>
      <c r="I1317" s="2" t="s">
        <v>212</v>
      </c>
      <c r="J1317" s="2" t="s">
        <v>298</v>
      </c>
      <c r="K1317" s="4" t="s">
        <v>27</v>
      </c>
      <c r="L1317" s="4" t="s">
        <v>27</v>
      </c>
      <c r="M1317" s="4" t="s">
        <v>147</v>
      </c>
      <c r="N1317" s="5">
        <v>200574062</v>
      </c>
      <c r="O1317" s="2" t="s">
        <v>148</v>
      </c>
      <c r="P1317" s="2" t="s">
        <v>37</v>
      </c>
      <c r="Q1317" s="4" t="s">
        <v>149</v>
      </c>
    </row>
    <row r="1318" spans="1:17" hidden="1" x14ac:dyDescent="0.2">
      <c r="A1318" s="2" t="s">
        <v>2406</v>
      </c>
      <c r="B1318" s="2" t="s">
        <v>33</v>
      </c>
      <c r="C1318" s="2" t="s">
        <v>34</v>
      </c>
      <c r="D1318" s="2" t="s">
        <v>20</v>
      </c>
      <c r="E1318" s="3">
        <v>98029</v>
      </c>
      <c r="F1318" s="4" t="s">
        <v>42</v>
      </c>
      <c r="G1318" s="2" t="s">
        <v>2399</v>
      </c>
      <c r="H1318" s="2" t="s">
        <v>2400</v>
      </c>
      <c r="I1318" s="2" t="s">
        <v>212</v>
      </c>
      <c r="J1318" s="2" t="s">
        <v>213</v>
      </c>
      <c r="K1318" s="4" t="s">
        <v>2401</v>
      </c>
      <c r="L1318" s="4" t="s">
        <v>27</v>
      </c>
      <c r="M1318" s="4" t="s">
        <v>35</v>
      </c>
      <c r="N1318" s="5">
        <v>281300001</v>
      </c>
      <c r="O1318" s="2" t="s">
        <v>795</v>
      </c>
      <c r="P1318" s="2" t="s">
        <v>37</v>
      </c>
      <c r="Q1318" s="4" t="s">
        <v>1100</v>
      </c>
    </row>
    <row r="1319" spans="1:17" x14ac:dyDescent="0.2">
      <c r="A1319" s="2" t="s">
        <v>2407</v>
      </c>
      <c r="B1319" s="2" t="s">
        <v>33</v>
      </c>
      <c r="C1319" s="2" t="s">
        <v>83</v>
      </c>
      <c r="D1319" s="2" t="s">
        <v>20</v>
      </c>
      <c r="E1319" s="3">
        <v>98103</v>
      </c>
      <c r="F1319" s="4" t="s">
        <v>371</v>
      </c>
      <c r="G1319" s="2" t="s">
        <v>1738</v>
      </c>
      <c r="H1319" s="2" t="s">
        <v>2408</v>
      </c>
      <c r="I1319" s="2" t="s">
        <v>24</v>
      </c>
      <c r="J1319" s="2" t="s">
        <v>25</v>
      </c>
      <c r="K1319" s="4" t="s">
        <v>64</v>
      </c>
      <c r="L1319" s="4" t="s">
        <v>2409</v>
      </c>
      <c r="M1319" s="4" t="s">
        <v>436</v>
      </c>
      <c r="N1319" s="5">
        <v>212123964</v>
      </c>
      <c r="O1319" s="2" t="s">
        <v>627</v>
      </c>
      <c r="P1319" s="2" t="s">
        <v>86</v>
      </c>
      <c r="Q1319" s="4" t="s">
        <v>2176</v>
      </c>
    </row>
    <row r="1320" spans="1:17" x14ac:dyDescent="0.2">
      <c r="A1320" s="2" t="s">
        <v>2410</v>
      </c>
      <c r="B1320" s="2" t="s">
        <v>33</v>
      </c>
      <c r="C1320" s="2" t="s">
        <v>83</v>
      </c>
      <c r="D1320" s="2" t="s">
        <v>20</v>
      </c>
      <c r="E1320" s="3">
        <v>98105</v>
      </c>
      <c r="F1320" s="4" t="s">
        <v>130</v>
      </c>
      <c r="G1320" s="2" t="s">
        <v>2411</v>
      </c>
      <c r="H1320" s="2" t="s">
        <v>2412</v>
      </c>
      <c r="I1320" s="2" t="s">
        <v>24</v>
      </c>
      <c r="J1320" s="2" t="s">
        <v>213</v>
      </c>
      <c r="K1320" s="4" t="s">
        <v>2413</v>
      </c>
      <c r="L1320" s="4" t="s">
        <v>27</v>
      </c>
      <c r="M1320" s="4" t="s">
        <v>278</v>
      </c>
      <c r="N1320" s="5">
        <v>274470640</v>
      </c>
      <c r="O1320" s="2" t="s">
        <v>455</v>
      </c>
      <c r="P1320" s="2" t="s">
        <v>86</v>
      </c>
      <c r="Q1320" s="4" t="s">
        <v>821</v>
      </c>
    </row>
    <row r="1321" spans="1:17" hidden="1" x14ac:dyDescent="0.2">
      <c r="A1321" s="2" t="s">
        <v>2414</v>
      </c>
      <c r="B1321" s="2" t="s">
        <v>94</v>
      </c>
      <c r="C1321" s="2" t="s">
        <v>125</v>
      </c>
      <c r="D1321" s="2" t="s">
        <v>20</v>
      </c>
      <c r="E1321" s="3">
        <v>98277</v>
      </c>
      <c r="F1321" s="4" t="s">
        <v>21</v>
      </c>
      <c r="G1321" s="2" t="s">
        <v>2415</v>
      </c>
      <c r="H1321" s="2" t="s">
        <v>2416</v>
      </c>
      <c r="I1321" s="2" t="s">
        <v>212</v>
      </c>
      <c r="J1321" s="2" t="s">
        <v>298</v>
      </c>
      <c r="K1321" s="4" t="s">
        <v>27</v>
      </c>
      <c r="L1321" s="4" t="s">
        <v>27</v>
      </c>
      <c r="M1321" s="4" t="s">
        <v>96</v>
      </c>
      <c r="N1321" s="5">
        <v>262580377</v>
      </c>
      <c r="O1321" s="2" t="s">
        <v>126</v>
      </c>
      <c r="P1321" s="2" t="s">
        <v>30</v>
      </c>
      <c r="Q1321" s="4" t="s">
        <v>2417</v>
      </c>
    </row>
    <row r="1322" spans="1:17" x14ac:dyDescent="0.2">
      <c r="A1322" s="2" t="s">
        <v>2418</v>
      </c>
      <c r="B1322" s="2" t="s">
        <v>33</v>
      </c>
      <c r="C1322" s="2" t="s">
        <v>1391</v>
      </c>
      <c r="D1322" s="2" t="s">
        <v>20</v>
      </c>
      <c r="E1322" s="3">
        <v>98039</v>
      </c>
      <c r="F1322" s="4" t="s">
        <v>401</v>
      </c>
      <c r="G1322" s="2" t="s">
        <v>1078</v>
      </c>
      <c r="H1322" s="2" t="s">
        <v>2419</v>
      </c>
      <c r="I1322" s="2" t="s">
        <v>24</v>
      </c>
      <c r="J1322" s="2" t="s">
        <v>25</v>
      </c>
      <c r="K1322" s="4" t="s">
        <v>90</v>
      </c>
      <c r="L1322" s="4" t="s">
        <v>27</v>
      </c>
      <c r="M1322" s="4" t="s">
        <v>147</v>
      </c>
      <c r="N1322" s="5">
        <v>282764422</v>
      </c>
      <c r="O1322" s="2" t="s">
        <v>1392</v>
      </c>
      <c r="P1322" s="2" t="s">
        <v>37</v>
      </c>
      <c r="Q1322" s="4" t="s">
        <v>1393</v>
      </c>
    </row>
    <row r="1323" spans="1:17" hidden="1" x14ac:dyDescent="0.2">
      <c r="A1323" s="2" t="s">
        <v>2420</v>
      </c>
      <c r="B1323" s="2" t="s">
        <v>33</v>
      </c>
      <c r="C1323" s="2" t="s">
        <v>83</v>
      </c>
      <c r="D1323" s="2" t="s">
        <v>20</v>
      </c>
      <c r="E1323" s="3">
        <v>98199</v>
      </c>
      <c r="F1323" s="4" t="s">
        <v>21</v>
      </c>
      <c r="G1323" s="2" t="s">
        <v>1078</v>
      </c>
      <c r="H1323" s="2" t="s">
        <v>2421</v>
      </c>
      <c r="I1323" s="2" t="s">
        <v>212</v>
      </c>
      <c r="J1323" s="2" t="s">
        <v>298</v>
      </c>
      <c r="K1323" s="4" t="s">
        <v>27</v>
      </c>
      <c r="L1323" s="4" t="s">
        <v>27</v>
      </c>
      <c r="M1323" s="4" t="s">
        <v>84</v>
      </c>
      <c r="N1323" s="5">
        <v>261807703</v>
      </c>
      <c r="O1323" s="2" t="s">
        <v>380</v>
      </c>
      <c r="P1323" s="2" t="s">
        <v>86</v>
      </c>
      <c r="Q1323" s="4" t="s">
        <v>413</v>
      </c>
    </row>
    <row r="1324" spans="1:17" x14ac:dyDescent="0.2">
      <c r="A1324" s="2" t="s">
        <v>2422</v>
      </c>
      <c r="B1324" s="2" t="s">
        <v>110</v>
      </c>
      <c r="C1324" s="2" t="s">
        <v>307</v>
      </c>
      <c r="D1324" s="2" t="s">
        <v>20</v>
      </c>
      <c r="E1324" s="3">
        <v>98406</v>
      </c>
      <c r="F1324" s="4" t="s">
        <v>130</v>
      </c>
      <c r="G1324" s="2" t="s">
        <v>1078</v>
      </c>
      <c r="H1324" s="2" t="s">
        <v>2419</v>
      </c>
      <c r="I1324" s="2" t="s">
        <v>24</v>
      </c>
      <c r="J1324" s="2" t="s">
        <v>213</v>
      </c>
      <c r="K1324" s="4" t="s">
        <v>2423</v>
      </c>
      <c r="L1324" s="4" t="s">
        <v>27</v>
      </c>
      <c r="M1324" s="4" t="s">
        <v>308</v>
      </c>
      <c r="N1324" s="5">
        <v>277614501</v>
      </c>
      <c r="O1324" s="2" t="s">
        <v>988</v>
      </c>
      <c r="P1324" s="2" t="s">
        <v>310</v>
      </c>
      <c r="Q1324" s="4" t="s">
        <v>1644</v>
      </c>
    </row>
    <row r="1325" spans="1:17" x14ac:dyDescent="0.2">
      <c r="A1325" s="2" t="s">
        <v>2424</v>
      </c>
      <c r="B1325" s="2" t="s">
        <v>33</v>
      </c>
      <c r="C1325" s="2" t="s">
        <v>83</v>
      </c>
      <c r="D1325" s="2" t="s">
        <v>20</v>
      </c>
      <c r="E1325" s="3">
        <v>98122</v>
      </c>
      <c r="F1325" s="4" t="s">
        <v>130</v>
      </c>
      <c r="G1325" s="2" t="s">
        <v>1078</v>
      </c>
      <c r="H1325" s="2" t="s">
        <v>2419</v>
      </c>
      <c r="I1325" s="2" t="s">
        <v>24</v>
      </c>
      <c r="J1325" s="2" t="s">
        <v>25</v>
      </c>
      <c r="K1325" s="4" t="s">
        <v>170</v>
      </c>
      <c r="L1325" s="4" t="s">
        <v>27</v>
      </c>
      <c r="M1325" s="4" t="s">
        <v>284</v>
      </c>
      <c r="N1325" s="5">
        <v>274080355</v>
      </c>
      <c r="O1325" s="2" t="s">
        <v>558</v>
      </c>
      <c r="P1325" s="2" t="s">
        <v>86</v>
      </c>
      <c r="Q1325" s="4" t="s">
        <v>1252</v>
      </c>
    </row>
    <row r="1326" spans="1:17" hidden="1" x14ac:dyDescent="0.2">
      <c r="A1326" s="2" t="s">
        <v>2425</v>
      </c>
      <c r="B1326" s="2" t="s">
        <v>33</v>
      </c>
      <c r="C1326" s="2" t="s">
        <v>169</v>
      </c>
      <c r="D1326" s="2" t="s">
        <v>20</v>
      </c>
      <c r="E1326" s="3">
        <v>98034</v>
      </c>
      <c r="F1326" s="4" t="s">
        <v>130</v>
      </c>
      <c r="G1326" s="2" t="s">
        <v>2426</v>
      </c>
      <c r="H1326" s="2" t="s">
        <v>2427</v>
      </c>
      <c r="I1326" s="2" t="s">
        <v>212</v>
      </c>
      <c r="J1326" s="2" t="s">
        <v>298</v>
      </c>
      <c r="K1326" s="4" t="s">
        <v>27</v>
      </c>
      <c r="L1326" s="4" t="s">
        <v>27</v>
      </c>
      <c r="M1326" s="4" t="s">
        <v>170</v>
      </c>
      <c r="N1326" s="5">
        <v>284839089</v>
      </c>
      <c r="O1326" s="2" t="s">
        <v>171</v>
      </c>
      <c r="P1326" s="2" t="s">
        <v>37</v>
      </c>
      <c r="Q1326" s="4" t="s">
        <v>172</v>
      </c>
    </row>
    <row r="1327" spans="1:17" hidden="1" x14ac:dyDescent="0.2">
      <c r="A1327" s="2" t="s">
        <v>2428</v>
      </c>
      <c r="B1327" s="2" t="s">
        <v>33</v>
      </c>
      <c r="C1327" s="2" t="s">
        <v>83</v>
      </c>
      <c r="D1327" s="2" t="s">
        <v>20</v>
      </c>
      <c r="E1327" s="3">
        <v>98122</v>
      </c>
      <c r="F1327" s="4" t="s">
        <v>130</v>
      </c>
      <c r="G1327" s="2" t="s">
        <v>2426</v>
      </c>
      <c r="H1327" s="2" t="s">
        <v>2427</v>
      </c>
      <c r="I1327" s="2" t="s">
        <v>212</v>
      </c>
      <c r="J1327" s="2" t="s">
        <v>298</v>
      </c>
      <c r="K1327" s="4" t="s">
        <v>27</v>
      </c>
      <c r="L1327" s="4" t="s">
        <v>27</v>
      </c>
      <c r="M1327" s="4" t="s">
        <v>284</v>
      </c>
      <c r="N1327" s="5">
        <v>280276797</v>
      </c>
      <c r="O1327" s="2" t="s">
        <v>558</v>
      </c>
      <c r="P1327" s="2" t="s">
        <v>86</v>
      </c>
      <c r="Q1327" s="4" t="s">
        <v>1252</v>
      </c>
    </row>
    <row r="1328" spans="1:17" hidden="1" x14ac:dyDescent="0.2">
      <c r="A1328" s="2" t="s">
        <v>2429</v>
      </c>
      <c r="B1328" s="2" t="s">
        <v>33</v>
      </c>
      <c r="C1328" s="2" t="s">
        <v>83</v>
      </c>
      <c r="D1328" s="2" t="s">
        <v>20</v>
      </c>
      <c r="E1328" s="3">
        <v>98144</v>
      </c>
      <c r="F1328" s="4" t="s">
        <v>121</v>
      </c>
      <c r="G1328" s="2" t="s">
        <v>2426</v>
      </c>
      <c r="H1328" s="2" t="s">
        <v>2430</v>
      </c>
      <c r="I1328" s="2" t="s">
        <v>212</v>
      </c>
      <c r="J1328" s="2" t="s">
        <v>298</v>
      </c>
      <c r="K1328" s="4" t="s">
        <v>27</v>
      </c>
      <c r="L1328" s="4" t="s">
        <v>27</v>
      </c>
      <c r="M1328" s="4" t="s">
        <v>284</v>
      </c>
      <c r="N1328" s="5">
        <v>271080274</v>
      </c>
      <c r="O1328" s="2" t="s">
        <v>867</v>
      </c>
      <c r="P1328" s="2" t="s">
        <v>86</v>
      </c>
      <c r="Q1328" s="4" t="s">
        <v>1450</v>
      </c>
    </row>
    <row r="1329" spans="1:17" hidden="1" x14ac:dyDescent="0.2">
      <c r="A1329" s="2" t="s">
        <v>2431</v>
      </c>
      <c r="B1329" s="2" t="s">
        <v>33</v>
      </c>
      <c r="C1329" s="2" t="s">
        <v>169</v>
      </c>
      <c r="D1329" s="2" t="s">
        <v>20</v>
      </c>
      <c r="E1329" s="3">
        <v>98033</v>
      </c>
      <c r="F1329" s="4" t="s">
        <v>121</v>
      </c>
      <c r="G1329" s="2" t="s">
        <v>2426</v>
      </c>
      <c r="H1329" s="2" t="s">
        <v>2432</v>
      </c>
      <c r="I1329" s="2" t="s">
        <v>212</v>
      </c>
      <c r="J1329" s="2" t="s">
        <v>298</v>
      </c>
      <c r="K1329" s="4" t="s">
        <v>27</v>
      </c>
      <c r="L1329" s="4" t="s">
        <v>27</v>
      </c>
      <c r="M1329" s="4" t="s">
        <v>147</v>
      </c>
      <c r="N1329" s="5">
        <v>262657139</v>
      </c>
      <c r="O1329" s="2" t="s">
        <v>204</v>
      </c>
      <c r="P1329" s="2" t="s">
        <v>37</v>
      </c>
      <c r="Q1329" s="4" t="s">
        <v>894</v>
      </c>
    </row>
    <row r="1330" spans="1:17" hidden="1" x14ac:dyDescent="0.2">
      <c r="A1330" s="2" t="s">
        <v>2433</v>
      </c>
      <c r="B1330" s="2" t="s">
        <v>40</v>
      </c>
      <c r="C1330" s="2" t="s">
        <v>1385</v>
      </c>
      <c r="D1330" s="2" t="s">
        <v>20</v>
      </c>
      <c r="E1330" s="3">
        <v>98272</v>
      </c>
      <c r="F1330" s="4" t="s">
        <v>42</v>
      </c>
      <c r="G1330" s="2" t="s">
        <v>2426</v>
      </c>
      <c r="H1330" s="2" t="s">
        <v>2434</v>
      </c>
      <c r="I1330" s="2" t="s">
        <v>212</v>
      </c>
      <c r="J1330" s="2" t="s">
        <v>213</v>
      </c>
      <c r="K1330" s="4" t="s">
        <v>2435</v>
      </c>
      <c r="L1330" s="4" t="s">
        <v>27</v>
      </c>
      <c r="M1330" s="4" t="s">
        <v>44</v>
      </c>
      <c r="N1330" s="5">
        <v>148329016</v>
      </c>
      <c r="O1330" s="2" t="s">
        <v>1386</v>
      </c>
      <c r="P1330" s="2" t="s">
        <v>30</v>
      </c>
      <c r="Q1330" s="4" t="s">
        <v>1387</v>
      </c>
    </row>
    <row r="1331" spans="1:17" hidden="1" x14ac:dyDescent="0.2">
      <c r="A1331" s="2" t="s">
        <v>2436</v>
      </c>
      <c r="B1331" s="2" t="s">
        <v>33</v>
      </c>
      <c r="C1331" s="2" t="s">
        <v>83</v>
      </c>
      <c r="D1331" s="2" t="s">
        <v>20</v>
      </c>
      <c r="E1331" s="3">
        <v>98126</v>
      </c>
      <c r="F1331" s="4" t="s">
        <v>42</v>
      </c>
      <c r="G1331" s="2" t="s">
        <v>2426</v>
      </c>
      <c r="H1331" s="2" t="s">
        <v>2434</v>
      </c>
      <c r="I1331" s="2" t="s">
        <v>212</v>
      </c>
      <c r="J1331" s="2" t="s">
        <v>213</v>
      </c>
      <c r="K1331" s="4" t="s">
        <v>2435</v>
      </c>
      <c r="L1331" s="4" t="s">
        <v>27</v>
      </c>
      <c r="M1331" s="4" t="s">
        <v>319</v>
      </c>
      <c r="N1331" s="5">
        <v>161549244</v>
      </c>
      <c r="O1331" s="2" t="s">
        <v>440</v>
      </c>
      <c r="P1331" s="2" t="s">
        <v>86</v>
      </c>
      <c r="Q1331" s="4" t="s">
        <v>1035</v>
      </c>
    </row>
    <row r="1332" spans="1:17" hidden="1" x14ac:dyDescent="0.2">
      <c r="A1332" s="2" t="s">
        <v>2437</v>
      </c>
      <c r="B1332" s="2" t="s">
        <v>18</v>
      </c>
      <c r="C1332" s="2" t="s">
        <v>100</v>
      </c>
      <c r="D1332" s="2" t="s">
        <v>20</v>
      </c>
      <c r="E1332" s="3">
        <v>98367</v>
      </c>
      <c r="F1332" s="4" t="s">
        <v>42</v>
      </c>
      <c r="G1332" s="2" t="s">
        <v>2426</v>
      </c>
      <c r="H1332" s="2" t="s">
        <v>2434</v>
      </c>
      <c r="I1332" s="2" t="s">
        <v>212</v>
      </c>
      <c r="J1332" s="2" t="s">
        <v>213</v>
      </c>
      <c r="K1332" s="4" t="s">
        <v>2435</v>
      </c>
      <c r="L1332" s="4" t="s">
        <v>27</v>
      </c>
      <c r="M1332" s="4" t="s">
        <v>255</v>
      </c>
      <c r="N1332" s="5">
        <v>156660507</v>
      </c>
      <c r="O1332" s="2" t="s">
        <v>259</v>
      </c>
      <c r="P1332" s="2" t="s">
        <v>30</v>
      </c>
      <c r="Q1332" s="4" t="s">
        <v>1452</v>
      </c>
    </row>
    <row r="1333" spans="1:17" x14ac:dyDescent="0.2">
      <c r="A1333" s="2" t="s">
        <v>2438</v>
      </c>
      <c r="B1333" s="2" t="s">
        <v>33</v>
      </c>
      <c r="C1333" s="2" t="s">
        <v>83</v>
      </c>
      <c r="D1333" s="2" t="s">
        <v>20</v>
      </c>
      <c r="E1333" s="3">
        <v>98105</v>
      </c>
      <c r="F1333" s="4" t="s">
        <v>401</v>
      </c>
      <c r="G1333" s="2" t="s">
        <v>2426</v>
      </c>
      <c r="H1333" s="2" t="s">
        <v>2439</v>
      </c>
      <c r="I1333" s="2" t="s">
        <v>24</v>
      </c>
      <c r="J1333" s="2" t="s">
        <v>25</v>
      </c>
      <c r="K1333" s="4" t="s">
        <v>79</v>
      </c>
      <c r="L1333" s="4" t="s">
        <v>27</v>
      </c>
      <c r="M1333" s="4" t="s">
        <v>278</v>
      </c>
      <c r="N1333" s="5">
        <v>103619449</v>
      </c>
      <c r="O1333" s="2" t="s">
        <v>455</v>
      </c>
      <c r="P1333" s="2" t="s">
        <v>86</v>
      </c>
      <c r="Q1333" s="4" t="s">
        <v>821</v>
      </c>
    </row>
    <row r="1334" spans="1:17" x14ac:dyDescent="0.2">
      <c r="A1334" s="2" t="s">
        <v>2440</v>
      </c>
      <c r="B1334" s="2" t="s">
        <v>18</v>
      </c>
      <c r="C1334" s="2" t="s">
        <v>234</v>
      </c>
      <c r="D1334" s="2" t="s">
        <v>20</v>
      </c>
      <c r="E1334" s="3">
        <v>98110</v>
      </c>
      <c r="F1334" s="4" t="s">
        <v>42</v>
      </c>
      <c r="G1334" s="2" t="s">
        <v>2426</v>
      </c>
      <c r="H1334" s="2" t="s">
        <v>2439</v>
      </c>
      <c r="I1334" s="2" t="s">
        <v>24</v>
      </c>
      <c r="J1334" s="2" t="s">
        <v>25</v>
      </c>
      <c r="K1334" s="4" t="s">
        <v>58</v>
      </c>
      <c r="L1334" s="4" t="s">
        <v>27</v>
      </c>
      <c r="M1334" s="4" t="s">
        <v>28</v>
      </c>
      <c r="N1334" s="5">
        <v>278909347</v>
      </c>
      <c r="O1334" s="2" t="s">
        <v>235</v>
      </c>
      <c r="P1334" s="2" t="s">
        <v>30</v>
      </c>
      <c r="Q1334" s="4" t="s">
        <v>788</v>
      </c>
    </row>
    <row r="1335" spans="1:17" x14ac:dyDescent="0.2">
      <c r="A1335" s="2" t="s">
        <v>2441</v>
      </c>
      <c r="B1335" s="2" t="s">
        <v>48</v>
      </c>
      <c r="C1335" s="2" t="s">
        <v>1140</v>
      </c>
      <c r="D1335" s="2" t="s">
        <v>20</v>
      </c>
      <c r="E1335" s="3">
        <v>98942</v>
      </c>
      <c r="F1335" s="4" t="s">
        <v>121</v>
      </c>
      <c r="G1335" s="2" t="s">
        <v>2426</v>
      </c>
      <c r="H1335" s="2" t="s">
        <v>2439</v>
      </c>
      <c r="I1335" s="2" t="s">
        <v>24</v>
      </c>
      <c r="J1335" s="2" t="s">
        <v>25</v>
      </c>
      <c r="K1335" s="4" t="s">
        <v>28</v>
      </c>
      <c r="L1335" s="4" t="s">
        <v>27</v>
      </c>
      <c r="M1335" s="4" t="s">
        <v>50</v>
      </c>
      <c r="N1335" s="5">
        <v>270927884</v>
      </c>
      <c r="O1335" s="2" t="s">
        <v>1141</v>
      </c>
      <c r="P1335" s="2" t="s">
        <v>52</v>
      </c>
      <c r="Q1335" s="4" t="s">
        <v>1142</v>
      </c>
    </row>
    <row r="1336" spans="1:17" x14ac:dyDescent="0.2">
      <c r="A1336" s="2" t="s">
        <v>2442</v>
      </c>
      <c r="B1336" s="2" t="s">
        <v>151</v>
      </c>
      <c r="C1336" s="2" t="s">
        <v>152</v>
      </c>
      <c r="D1336" s="2" t="s">
        <v>20</v>
      </c>
      <c r="E1336" s="3">
        <v>98512</v>
      </c>
      <c r="F1336" s="4" t="s">
        <v>121</v>
      </c>
      <c r="G1336" s="2" t="s">
        <v>2426</v>
      </c>
      <c r="H1336" s="2" t="s">
        <v>2439</v>
      </c>
      <c r="I1336" s="2" t="s">
        <v>24</v>
      </c>
      <c r="J1336" s="2" t="s">
        <v>25</v>
      </c>
      <c r="K1336" s="4" t="s">
        <v>28</v>
      </c>
      <c r="L1336" s="4" t="s">
        <v>27</v>
      </c>
      <c r="M1336" s="4" t="s">
        <v>90</v>
      </c>
      <c r="N1336" s="5">
        <v>263239938</v>
      </c>
      <c r="O1336" s="2" t="s">
        <v>256</v>
      </c>
      <c r="P1336" s="2" t="s">
        <v>30</v>
      </c>
      <c r="Q1336" s="4" t="s">
        <v>424</v>
      </c>
    </row>
    <row r="1337" spans="1:17" x14ac:dyDescent="0.2">
      <c r="A1337" s="2" t="s">
        <v>2443</v>
      </c>
      <c r="B1337" s="2" t="s">
        <v>40</v>
      </c>
      <c r="C1337" s="2" t="s">
        <v>2444</v>
      </c>
      <c r="D1337" s="2" t="s">
        <v>20</v>
      </c>
      <c r="E1337" s="3">
        <v>98271</v>
      </c>
      <c r="F1337" s="4" t="s">
        <v>21</v>
      </c>
      <c r="G1337" s="2" t="s">
        <v>2426</v>
      </c>
      <c r="H1337" s="2" t="s">
        <v>2439</v>
      </c>
      <c r="I1337" s="2" t="s">
        <v>24</v>
      </c>
      <c r="J1337" s="2" t="s">
        <v>25</v>
      </c>
      <c r="K1337" s="4" t="s">
        <v>28</v>
      </c>
      <c r="L1337" s="4" t="s">
        <v>27</v>
      </c>
      <c r="M1337" s="4" t="s">
        <v>274</v>
      </c>
      <c r="N1337" s="5">
        <v>232919305</v>
      </c>
      <c r="O1337" s="2" t="s">
        <v>1506</v>
      </c>
      <c r="P1337" s="2" t="s">
        <v>30</v>
      </c>
      <c r="Q1337" s="4" t="s">
        <v>2445</v>
      </c>
    </row>
    <row r="1338" spans="1:17" x14ac:dyDescent="0.2">
      <c r="A1338" s="2" t="s">
        <v>2446</v>
      </c>
      <c r="B1338" s="2" t="s">
        <v>48</v>
      </c>
      <c r="C1338" s="2" t="s">
        <v>1140</v>
      </c>
      <c r="D1338" s="2" t="s">
        <v>20</v>
      </c>
      <c r="E1338" s="3">
        <v>98942</v>
      </c>
      <c r="F1338" s="4" t="s">
        <v>121</v>
      </c>
      <c r="G1338" s="2" t="s">
        <v>2426</v>
      </c>
      <c r="H1338" s="2" t="s">
        <v>2439</v>
      </c>
      <c r="I1338" s="2" t="s">
        <v>24</v>
      </c>
      <c r="J1338" s="2" t="s">
        <v>25</v>
      </c>
      <c r="K1338" s="4" t="s">
        <v>28</v>
      </c>
      <c r="L1338" s="4" t="s">
        <v>27</v>
      </c>
      <c r="M1338" s="4" t="s">
        <v>50</v>
      </c>
      <c r="N1338" s="5">
        <v>268102138</v>
      </c>
      <c r="O1338" s="2" t="s">
        <v>1141</v>
      </c>
      <c r="P1338" s="2" t="s">
        <v>52</v>
      </c>
      <c r="Q1338" s="4" t="s">
        <v>1755</v>
      </c>
    </row>
    <row r="1339" spans="1:17" x14ac:dyDescent="0.2">
      <c r="A1339" s="2" t="s">
        <v>2447</v>
      </c>
      <c r="B1339" s="2" t="s">
        <v>18</v>
      </c>
      <c r="C1339" s="2" t="s">
        <v>234</v>
      </c>
      <c r="D1339" s="2" t="s">
        <v>20</v>
      </c>
      <c r="E1339" s="3">
        <v>98110</v>
      </c>
      <c r="F1339" s="4" t="s">
        <v>130</v>
      </c>
      <c r="G1339" s="2" t="s">
        <v>2426</v>
      </c>
      <c r="H1339" s="2" t="s">
        <v>2439</v>
      </c>
      <c r="I1339" s="2" t="s">
        <v>24</v>
      </c>
      <c r="J1339" s="2" t="s">
        <v>25</v>
      </c>
      <c r="K1339" s="4" t="s">
        <v>478</v>
      </c>
      <c r="L1339" s="4" t="s">
        <v>27</v>
      </c>
      <c r="M1339" s="4" t="s">
        <v>28</v>
      </c>
      <c r="N1339" s="5">
        <v>276812707</v>
      </c>
      <c r="O1339" s="2" t="s">
        <v>235</v>
      </c>
      <c r="P1339" s="2" t="s">
        <v>30</v>
      </c>
      <c r="Q1339" s="4" t="s">
        <v>631</v>
      </c>
    </row>
    <row r="1340" spans="1:17" x14ac:dyDescent="0.2">
      <c r="A1340" s="2" t="s">
        <v>2447</v>
      </c>
      <c r="B1340" s="2" t="s">
        <v>40</v>
      </c>
      <c r="C1340" s="2" t="s">
        <v>383</v>
      </c>
      <c r="D1340" s="2" t="s">
        <v>20</v>
      </c>
      <c r="E1340" s="3">
        <v>98201</v>
      </c>
      <c r="F1340" s="4" t="s">
        <v>130</v>
      </c>
      <c r="G1340" s="2" t="s">
        <v>2426</v>
      </c>
      <c r="H1340" s="2" t="s">
        <v>2439</v>
      </c>
      <c r="I1340" s="2" t="s">
        <v>24</v>
      </c>
      <c r="J1340" s="2" t="s">
        <v>25</v>
      </c>
      <c r="K1340" s="4" t="s">
        <v>478</v>
      </c>
      <c r="L1340" s="4" t="s">
        <v>27</v>
      </c>
      <c r="M1340" s="4" t="s">
        <v>274</v>
      </c>
      <c r="N1340" s="5">
        <v>275132539</v>
      </c>
      <c r="O1340" s="2" t="s">
        <v>1161</v>
      </c>
      <c r="P1340" s="2" t="s">
        <v>30</v>
      </c>
      <c r="Q1340" s="4" t="s">
        <v>1349</v>
      </c>
    </row>
    <row r="1341" spans="1:17" x14ac:dyDescent="0.2">
      <c r="A1341" s="2" t="s">
        <v>2448</v>
      </c>
      <c r="B1341" s="2" t="s">
        <v>18</v>
      </c>
      <c r="C1341" s="2" t="s">
        <v>561</v>
      </c>
      <c r="D1341" s="2" t="s">
        <v>20</v>
      </c>
      <c r="E1341" s="3">
        <v>98383</v>
      </c>
      <c r="F1341" s="4" t="s">
        <v>42</v>
      </c>
      <c r="G1341" s="2" t="s">
        <v>2426</v>
      </c>
      <c r="H1341" s="2" t="s">
        <v>2439</v>
      </c>
      <c r="I1341" s="2" t="s">
        <v>24</v>
      </c>
      <c r="J1341" s="2" t="s">
        <v>25</v>
      </c>
      <c r="K1341" s="4" t="s">
        <v>58</v>
      </c>
      <c r="L1341" s="4" t="s">
        <v>27</v>
      </c>
      <c r="M1341" s="4" t="s">
        <v>28</v>
      </c>
      <c r="N1341" s="5">
        <v>135145664</v>
      </c>
      <c r="O1341" s="2" t="s">
        <v>562</v>
      </c>
      <c r="P1341" s="2" t="s">
        <v>30</v>
      </c>
      <c r="Q1341" s="4" t="s">
        <v>2071</v>
      </c>
    </row>
    <row r="1342" spans="1:17" x14ac:dyDescent="0.2">
      <c r="A1342" s="2" t="s">
        <v>2449</v>
      </c>
      <c r="B1342" s="2" t="s">
        <v>33</v>
      </c>
      <c r="C1342" s="2" t="s">
        <v>1391</v>
      </c>
      <c r="D1342" s="2" t="s">
        <v>20</v>
      </c>
      <c r="E1342" s="3">
        <v>98039</v>
      </c>
      <c r="F1342" s="4" t="s">
        <v>121</v>
      </c>
      <c r="G1342" s="2" t="s">
        <v>2426</v>
      </c>
      <c r="H1342" s="2" t="s">
        <v>2439</v>
      </c>
      <c r="I1342" s="2" t="s">
        <v>24</v>
      </c>
      <c r="J1342" s="2" t="s">
        <v>25</v>
      </c>
      <c r="K1342" s="4" t="s">
        <v>28</v>
      </c>
      <c r="L1342" s="4" t="s">
        <v>27</v>
      </c>
      <c r="M1342" s="4" t="s">
        <v>147</v>
      </c>
      <c r="N1342" s="5">
        <v>269794465</v>
      </c>
      <c r="O1342" s="2" t="s">
        <v>1392</v>
      </c>
      <c r="P1342" s="2" t="s">
        <v>37</v>
      </c>
      <c r="Q1342" s="4" t="s">
        <v>1393</v>
      </c>
    </row>
    <row r="1343" spans="1:17" x14ac:dyDescent="0.2">
      <c r="A1343" s="2" t="s">
        <v>2450</v>
      </c>
      <c r="B1343" s="2" t="s">
        <v>40</v>
      </c>
      <c r="C1343" s="2" t="s">
        <v>1385</v>
      </c>
      <c r="D1343" s="2" t="s">
        <v>20</v>
      </c>
      <c r="E1343" s="3">
        <v>98272</v>
      </c>
      <c r="F1343" s="4" t="s">
        <v>57</v>
      </c>
      <c r="G1343" s="2" t="s">
        <v>2426</v>
      </c>
      <c r="H1343" s="2" t="s">
        <v>2451</v>
      </c>
      <c r="I1343" s="2" t="s">
        <v>24</v>
      </c>
      <c r="J1343" s="2" t="s">
        <v>25</v>
      </c>
      <c r="K1343" s="4" t="s">
        <v>28</v>
      </c>
      <c r="L1343" s="4" t="s">
        <v>27</v>
      </c>
      <c r="M1343" s="4" t="s">
        <v>44</v>
      </c>
      <c r="N1343" s="5">
        <v>180279900</v>
      </c>
      <c r="O1343" s="2" t="s">
        <v>1386</v>
      </c>
      <c r="P1343" s="2" t="s">
        <v>30</v>
      </c>
      <c r="Q1343" s="4" t="s">
        <v>2452</v>
      </c>
    </row>
    <row r="1344" spans="1:17" x14ac:dyDescent="0.2">
      <c r="A1344" s="2" t="s">
        <v>2453</v>
      </c>
      <c r="B1344" s="2" t="s">
        <v>151</v>
      </c>
      <c r="C1344" s="2" t="s">
        <v>152</v>
      </c>
      <c r="D1344" s="2" t="s">
        <v>20</v>
      </c>
      <c r="E1344" s="3">
        <v>98501</v>
      </c>
      <c r="F1344" s="4" t="s">
        <v>42</v>
      </c>
      <c r="G1344" s="2" t="s">
        <v>2426</v>
      </c>
      <c r="H1344" s="2" t="s">
        <v>2439</v>
      </c>
      <c r="I1344" s="2" t="s">
        <v>24</v>
      </c>
      <c r="J1344" s="2" t="s">
        <v>25</v>
      </c>
      <c r="K1344" s="4" t="s">
        <v>58</v>
      </c>
      <c r="L1344" s="4" t="s">
        <v>27</v>
      </c>
      <c r="M1344" s="4" t="s">
        <v>90</v>
      </c>
      <c r="N1344" s="5">
        <v>172874775</v>
      </c>
      <c r="O1344" s="2" t="s">
        <v>153</v>
      </c>
      <c r="P1344" s="2" t="s">
        <v>30</v>
      </c>
      <c r="Q1344" s="4" t="s">
        <v>717</v>
      </c>
    </row>
    <row r="1345" spans="1:17" hidden="1" x14ac:dyDescent="0.2">
      <c r="A1345" s="2" t="s">
        <v>2454</v>
      </c>
      <c r="B1345" s="2" t="s">
        <v>18</v>
      </c>
      <c r="C1345" s="2" t="s">
        <v>19</v>
      </c>
      <c r="D1345" s="2" t="s">
        <v>20</v>
      </c>
      <c r="E1345" s="3">
        <v>98370</v>
      </c>
      <c r="F1345" s="4" t="s">
        <v>121</v>
      </c>
      <c r="G1345" s="2" t="s">
        <v>2426</v>
      </c>
      <c r="H1345" s="2" t="s">
        <v>2430</v>
      </c>
      <c r="I1345" s="2" t="s">
        <v>212</v>
      </c>
      <c r="J1345" s="2" t="s">
        <v>298</v>
      </c>
      <c r="K1345" s="4" t="s">
        <v>27</v>
      </c>
      <c r="L1345" s="4" t="s">
        <v>27</v>
      </c>
      <c r="M1345" s="4" t="s">
        <v>28</v>
      </c>
      <c r="N1345" s="5">
        <v>267836509</v>
      </c>
      <c r="O1345" s="2" t="s">
        <v>29</v>
      </c>
      <c r="P1345" s="2" t="s">
        <v>30</v>
      </c>
      <c r="Q1345" s="4" t="s">
        <v>2455</v>
      </c>
    </row>
    <row r="1346" spans="1:17" hidden="1" x14ac:dyDescent="0.2">
      <c r="A1346" s="2" t="s">
        <v>2456</v>
      </c>
      <c r="B1346" s="2" t="s">
        <v>33</v>
      </c>
      <c r="C1346" s="2" t="s">
        <v>83</v>
      </c>
      <c r="D1346" s="2" t="s">
        <v>20</v>
      </c>
      <c r="E1346" s="3">
        <v>98146</v>
      </c>
      <c r="F1346" s="4" t="s">
        <v>408</v>
      </c>
      <c r="G1346" s="2" t="s">
        <v>2426</v>
      </c>
      <c r="H1346" s="2" t="s">
        <v>2434</v>
      </c>
      <c r="I1346" s="2" t="s">
        <v>212</v>
      </c>
      <c r="J1346" s="2" t="s">
        <v>213</v>
      </c>
      <c r="K1346" s="4" t="s">
        <v>2457</v>
      </c>
      <c r="L1346" s="4" t="s">
        <v>27</v>
      </c>
      <c r="M1346" s="4" t="s">
        <v>319</v>
      </c>
      <c r="N1346" s="5">
        <v>186733116</v>
      </c>
      <c r="O1346" s="2" t="s">
        <v>543</v>
      </c>
      <c r="P1346" s="2" t="s">
        <v>86</v>
      </c>
      <c r="Q1346" s="4" t="s">
        <v>2146</v>
      </c>
    </row>
    <row r="1347" spans="1:17" hidden="1" x14ac:dyDescent="0.2">
      <c r="A1347" s="2" t="s">
        <v>2458</v>
      </c>
      <c r="B1347" s="2" t="s">
        <v>48</v>
      </c>
      <c r="C1347" s="2" t="s">
        <v>48</v>
      </c>
      <c r="D1347" s="2" t="s">
        <v>20</v>
      </c>
      <c r="E1347" s="3">
        <v>98901</v>
      </c>
      <c r="F1347" s="4" t="s">
        <v>57</v>
      </c>
      <c r="G1347" s="2" t="s">
        <v>2426</v>
      </c>
      <c r="H1347" s="2" t="s">
        <v>2434</v>
      </c>
      <c r="I1347" s="2" t="s">
        <v>212</v>
      </c>
      <c r="J1347" s="2" t="s">
        <v>298</v>
      </c>
      <c r="K1347" s="4" t="s">
        <v>27</v>
      </c>
      <c r="L1347" s="4" t="s">
        <v>27</v>
      </c>
      <c r="M1347" s="4" t="s">
        <v>50</v>
      </c>
      <c r="N1347" s="5">
        <v>183111071</v>
      </c>
      <c r="O1347" s="2" t="s">
        <v>1258</v>
      </c>
      <c r="P1347" s="2" t="s">
        <v>52</v>
      </c>
      <c r="Q1347" s="4" t="s">
        <v>1259</v>
      </c>
    </row>
    <row r="1348" spans="1:17" hidden="1" x14ac:dyDescent="0.2">
      <c r="A1348" s="2" t="s">
        <v>2459</v>
      </c>
      <c r="B1348" s="2" t="s">
        <v>151</v>
      </c>
      <c r="C1348" s="2" t="s">
        <v>957</v>
      </c>
      <c r="D1348" s="2" t="s">
        <v>20</v>
      </c>
      <c r="E1348" s="3">
        <v>98589</v>
      </c>
      <c r="F1348" s="4" t="s">
        <v>408</v>
      </c>
      <c r="G1348" s="2" t="s">
        <v>2426</v>
      </c>
      <c r="H1348" s="2" t="s">
        <v>2434</v>
      </c>
      <c r="I1348" s="2" t="s">
        <v>212</v>
      </c>
      <c r="J1348" s="2" t="s">
        <v>213</v>
      </c>
      <c r="K1348" s="4" t="s">
        <v>2457</v>
      </c>
      <c r="L1348" s="4" t="s">
        <v>27</v>
      </c>
      <c r="M1348" s="4" t="s">
        <v>79</v>
      </c>
      <c r="N1348" s="5">
        <v>255297647</v>
      </c>
      <c r="O1348" s="2" t="s">
        <v>959</v>
      </c>
      <c r="P1348" s="2" t="s">
        <v>30</v>
      </c>
      <c r="Q1348" s="4" t="s">
        <v>960</v>
      </c>
    </row>
    <row r="1349" spans="1:17" hidden="1" x14ac:dyDescent="0.2">
      <c r="A1349" s="2" t="s">
        <v>2460</v>
      </c>
      <c r="B1349" s="2" t="s">
        <v>33</v>
      </c>
      <c r="C1349" s="2" t="s">
        <v>620</v>
      </c>
      <c r="D1349" s="2" t="s">
        <v>20</v>
      </c>
      <c r="E1349" s="3">
        <v>98059</v>
      </c>
      <c r="F1349" s="4" t="s">
        <v>121</v>
      </c>
      <c r="G1349" s="2" t="s">
        <v>2426</v>
      </c>
      <c r="H1349" s="2" t="s">
        <v>2430</v>
      </c>
      <c r="I1349" s="2" t="s">
        <v>212</v>
      </c>
      <c r="J1349" s="2" t="s">
        <v>298</v>
      </c>
      <c r="K1349" s="4" t="s">
        <v>27</v>
      </c>
      <c r="L1349" s="4" t="s">
        <v>27</v>
      </c>
      <c r="M1349" s="4" t="s">
        <v>403</v>
      </c>
      <c r="N1349" s="5">
        <v>276452130</v>
      </c>
      <c r="O1349" s="2" t="s">
        <v>587</v>
      </c>
      <c r="P1349" s="2" t="s">
        <v>37</v>
      </c>
      <c r="Q1349" s="4" t="s">
        <v>621</v>
      </c>
    </row>
    <row r="1350" spans="1:17" hidden="1" x14ac:dyDescent="0.2">
      <c r="A1350" s="2" t="s">
        <v>2461</v>
      </c>
      <c r="B1350" s="2" t="s">
        <v>33</v>
      </c>
      <c r="C1350" s="2" t="s">
        <v>89</v>
      </c>
      <c r="D1350" s="2" t="s">
        <v>20</v>
      </c>
      <c r="E1350" s="3">
        <v>98011</v>
      </c>
      <c r="F1350" s="4" t="s">
        <v>408</v>
      </c>
      <c r="G1350" s="2" t="s">
        <v>2426</v>
      </c>
      <c r="H1350" s="2" t="s">
        <v>2434</v>
      </c>
      <c r="I1350" s="2" t="s">
        <v>212</v>
      </c>
      <c r="J1350" s="2" t="s">
        <v>213</v>
      </c>
      <c r="K1350" s="4" t="s">
        <v>2457</v>
      </c>
      <c r="L1350" s="4" t="s">
        <v>27</v>
      </c>
      <c r="M1350" s="4" t="s">
        <v>170</v>
      </c>
      <c r="N1350" s="5">
        <v>261190968</v>
      </c>
      <c r="O1350" s="2" t="s">
        <v>503</v>
      </c>
      <c r="P1350" s="2" t="s">
        <v>37</v>
      </c>
      <c r="Q1350" s="4" t="s">
        <v>2462</v>
      </c>
    </row>
    <row r="1351" spans="1:17" hidden="1" x14ac:dyDescent="0.2">
      <c r="A1351" s="2" t="s">
        <v>2463</v>
      </c>
      <c r="B1351" s="2" t="s">
        <v>33</v>
      </c>
      <c r="C1351" s="2" t="s">
        <v>1056</v>
      </c>
      <c r="D1351" s="2" t="s">
        <v>20</v>
      </c>
      <c r="E1351" s="3">
        <v>98031</v>
      </c>
      <c r="F1351" s="4" t="s">
        <v>408</v>
      </c>
      <c r="G1351" s="2" t="s">
        <v>2426</v>
      </c>
      <c r="H1351" s="2" t="s">
        <v>2434</v>
      </c>
      <c r="I1351" s="2" t="s">
        <v>212</v>
      </c>
      <c r="J1351" s="2" t="s">
        <v>213</v>
      </c>
      <c r="K1351" s="4" t="s">
        <v>2457</v>
      </c>
      <c r="L1351" s="4" t="s">
        <v>27</v>
      </c>
      <c r="M1351" s="4" t="s">
        <v>140</v>
      </c>
      <c r="N1351" s="5">
        <v>259426821</v>
      </c>
      <c r="O1351" s="2" t="s">
        <v>1057</v>
      </c>
      <c r="P1351" s="2" t="s">
        <v>37</v>
      </c>
      <c r="Q1351" s="4" t="s">
        <v>2007</v>
      </c>
    </row>
    <row r="1352" spans="1:17" hidden="1" x14ac:dyDescent="0.2">
      <c r="A1352" s="2" t="s">
        <v>2464</v>
      </c>
      <c r="B1352" s="2" t="s">
        <v>40</v>
      </c>
      <c r="C1352" s="2" t="s">
        <v>268</v>
      </c>
      <c r="D1352" s="2" t="s">
        <v>20</v>
      </c>
      <c r="E1352" s="3">
        <v>98020</v>
      </c>
      <c r="F1352" s="4" t="s">
        <v>408</v>
      </c>
      <c r="G1352" s="2" t="s">
        <v>2426</v>
      </c>
      <c r="H1352" s="2" t="s">
        <v>2434</v>
      </c>
      <c r="I1352" s="2" t="s">
        <v>212</v>
      </c>
      <c r="J1352" s="2" t="s">
        <v>213</v>
      </c>
      <c r="K1352" s="4" t="s">
        <v>2457</v>
      </c>
      <c r="L1352" s="4" t="s">
        <v>27</v>
      </c>
      <c r="M1352" s="4" t="s">
        <v>26</v>
      </c>
      <c r="N1352" s="5">
        <v>142089972</v>
      </c>
      <c r="O1352" s="2" t="s">
        <v>269</v>
      </c>
      <c r="P1352" s="2" t="s">
        <v>30</v>
      </c>
      <c r="Q1352" s="4" t="s">
        <v>531</v>
      </c>
    </row>
    <row r="1353" spans="1:17" hidden="1" x14ac:dyDescent="0.2">
      <c r="A1353" s="2" t="s">
        <v>2465</v>
      </c>
      <c r="B1353" s="2" t="s">
        <v>33</v>
      </c>
      <c r="C1353" s="2" t="s">
        <v>169</v>
      </c>
      <c r="D1353" s="2" t="s">
        <v>20</v>
      </c>
      <c r="E1353" s="3">
        <v>98033</v>
      </c>
      <c r="F1353" s="4" t="s">
        <v>408</v>
      </c>
      <c r="G1353" s="2" t="s">
        <v>2426</v>
      </c>
      <c r="H1353" s="2" t="s">
        <v>2434</v>
      </c>
      <c r="I1353" s="2" t="s">
        <v>212</v>
      </c>
      <c r="J1353" s="2" t="s">
        <v>213</v>
      </c>
      <c r="K1353" s="4" t="s">
        <v>2457</v>
      </c>
      <c r="L1353" s="4" t="s">
        <v>27</v>
      </c>
      <c r="M1353" s="4" t="s">
        <v>147</v>
      </c>
      <c r="N1353" s="5">
        <v>100707519</v>
      </c>
      <c r="O1353" s="2" t="s">
        <v>204</v>
      </c>
      <c r="P1353" s="2" t="s">
        <v>37</v>
      </c>
      <c r="Q1353" s="4" t="s">
        <v>1201</v>
      </c>
    </row>
    <row r="1354" spans="1:17" hidden="1" x14ac:dyDescent="0.2">
      <c r="A1354" s="2" t="s">
        <v>2466</v>
      </c>
      <c r="B1354" s="2" t="s">
        <v>18</v>
      </c>
      <c r="C1354" s="2" t="s">
        <v>234</v>
      </c>
      <c r="D1354" s="2" t="s">
        <v>20</v>
      </c>
      <c r="E1354" s="3">
        <v>98110</v>
      </c>
      <c r="F1354" s="4" t="s">
        <v>408</v>
      </c>
      <c r="G1354" s="2" t="s">
        <v>2426</v>
      </c>
      <c r="H1354" s="2" t="s">
        <v>2434</v>
      </c>
      <c r="I1354" s="2" t="s">
        <v>212</v>
      </c>
      <c r="J1354" s="2" t="s">
        <v>213</v>
      </c>
      <c r="K1354" s="4" t="s">
        <v>2457</v>
      </c>
      <c r="L1354" s="4" t="s">
        <v>27</v>
      </c>
      <c r="M1354" s="4" t="s">
        <v>28</v>
      </c>
      <c r="N1354" s="5">
        <v>4697920</v>
      </c>
      <c r="O1354" s="2" t="s">
        <v>235</v>
      </c>
      <c r="P1354" s="2" t="s">
        <v>30</v>
      </c>
      <c r="Q1354" s="4" t="s">
        <v>473</v>
      </c>
    </row>
    <row r="1355" spans="1:17" hidden="1" x14ac:dyDescent="0.2">
      <c r="A1355" s="2" t="s">
        <v>2467</v>
      </c>
      <c r="B1355" s="2" t="s">
        <v>33</v>
      </c>
      <c r="C1355" s="2" t="s">
        <v>146</v>
      </c>
      <c r="D1355" s="2" t="s">
        <v>20</v>
      </c>
      <c r="E1355" s="3">
        <v>98005</v>
      </c>
      <c r="F1355" s="4" t="s">
        <v>57</v>
      </c>
      <c r="G1355" s="2" t="s">
        <v>2426</v>
      </c>
      <c r="H1355" s="2" t="s">
        <v>2468</v>
      </c>
      <c r="I1355" s="2" t="s">
        <v>212</v>
      </c>
      <c r="J1355" s="2" t="s">
        <v>298</v>
      </c>
      <c r="K1355" s="4" t="s">
        <v>27</v>
      </c>
      <c r="L1355" s="4" t="s">
        <v>27</v>
      </c>
      <c r="M1355" s="4" t="s">
        <v>147</v>
      </c>
      <c r="N1355" s="5">
        <v>183341350</v>
      </c>
      <c r="O1355" s="2" t="s">
        <v>448</v>
      </c>
      <c r="P1355" s="2" t="s">
        <v>37</v>
      </c>
      <c r="Q1355" s="4" t="s">
        <v>195</v>
      </c>
    </row>
    <row r="1356" spans="1:17" hidden="1" x14ac:dyDescent="0.2">
      <c r="A1356" s="2" t="s">
        <v>2469</v>
      </c>
      <c r="B1356" s="2" t="s">
        <v>33</v>
      </c>
      <c r="C1356" s="2" t="s">
        <v>83</v>
      </c>
      <c r="D1356" s="2" t="s">
        <v>20</v>
      </c>
      <c r="E1356" s="3">
        <v>98102</v>
      </c>
      <c r="F1356" s="4" t="s">
        <v>21</v>
      </c>
      <c r="G1356" s="2" t="s">
        <v>2426</v>
      </c>
      <c r="H1356" s="2" t="s">
        <v>2468</v>
      </c>
      <c r="I1356" s="2" t="s">
        <v>212</v>
      </c>
      <c r="J1356" s="2" t="s">
        <v>298</v>
      </c>
      <c r="K1356" s="4" t="s">
        <v>27</v>
      </c>
      <c r="L1356" s="4" t="s">
        <v>27</v>
      </c>
      <c r="M1356" s="4" t="s">
        <v>436</v>
      </c>
      <c r="N1356" s="5">
        <v>245857195</v>
      </c>
      <c r="O1356" s="2" t="s">
        <v>1552</v>
      </c>
      <c r="P1356" s="2" t="s">
        <v>86</v>
      </c>
      <c r="Q1356" s="4" t="s">
        <v>737</v>
      </c>
    </row>
    <row r="1357" spans="1:17" hidden="1" x14ac:dyDescent="0.2">
      <c r="A1357" s="2" t="s">
        <v>2470</v>
      </c>
      <c r="B1357" s="2" t="s">
        <v>33</v>
      </c>
      <c r="C1357" s="2" t="s">
        <v>169</v>
      </c>
      <c r="D1357" s="2" t="s">
        <v>20</v>
      </c>
      <c r="E1357" s="3">
        <v>98033</v>
      </c>
      <c r="F1357" s="4" t="s">
        <v>57</v>
      </c>
      <c r="G1357" s="2" t="s">
        <v>2426</v>
      </c>
      <c r="H1357" s="2" t="s">
        <v>2471</v>
      </c>
      <c r="I1357" s="2" t="s">
        <v>212</v>
      </c>
      <c r="J1357" s="2" t="s">
        <v>298</v>
      </c>
      <c r="K1357" s="4" t="s">
        <v>27</v>
      </c>
      <c r="L1357" s="4" t="s">
        <v>27</v>
      </c>
      <c r="M1357" s="4" t="s">
        <v>147</v>
      </c>
      <c r="N1357" s="5">
        <v>209187961</v>
      </c>
      <c r="O1357" s="2" t="s">
        <v>204</v>
      </c>
      <c r="P1357" s="2" t="s">
        <v>37</v>
      </c>
      <c r="Q1357" s="4" t="s">
        <v>1201</v>
      </c>
    </row>
    <row r="1358" spans="1:17" hidden="1" x14ac:dyDescent="0.2">
      <c r="A1358" s="2" t="s">
        <v>2472</v>
      </c>
      <c r="B1358" s="2" t="s">
        <v>443</v>
      </c>
      <c r="C1358" s="2" t="s">
        <v>469</v>
      </c>
      <c r="D1358" s="2" t="s">
        <v>20</v>
      </c>
      <c r="E1358" s="3">
        <v>98250</v>
      </c>
      <c r="F1358" s="4" t="s">
        <v>57</v>
      </c>
      <c r="G1358" s="2" t="s">
        <v>2426</v>
      </c>
      <c r="H1358" s="2" t="s">
        <v>2471</v>
      </c>
      <c r="I1358" s="2" t="s">
        <v>212</v>
      </c>
      <c r="J1358" s="2" t="s">
        <v>298</v>
      </c>
      <c r="K1358" s="4" t="s">
        <v>27</v>
      </c>
      <c r="L1358" s="4" t="s">
        <v>27</v>
      </c>
      <c r="M1358" s="4" t="s">
        <v>409</v>
      </c>
      <c r="N1358" s="5">
        <v>169469016</v>
      </c>
      <c r="O1358" s="2" t="s">
        <v>470</v>
      </c>
      <c r="P1358" s="2" t="s">
        <v>446</v>
      </c>
      <c r="Q1358" s="4" t="s">
        <v>1562</v>
      </c>
    </row>
    <row r="1359" spans="1:17" x14ac:dyDescent="0.2">
      <c r="A1359" s="2" t="s">
        <v>2473</v>
      </c>
      <c r="B1359" s="2" t="s">
        <v>33</v>
      </c>
      <c r="C1359" s="2" t="s">
        <v>83</v>
      </c>
      <c r="D1359" s="2" t="s">
        <v>20</v>
      </c>
      <c r="E1359" s="3">
        <v>98144</v>
      </c>
      <c r="F1359" s="4" t="s">
        <v>273</v>
      </c>
      <c r="G1359" s="2" t="s">
        <v>2426</v>
      </c>
      <c r="H1359" s="2" t="s">
        <v>2474</v>
      </c>
      <c r="I1359" s="2" t="s">
        <v>24</v>
      </c>
      <c r="J1359" s="2" t="s">
        <v>25</v>
      </c>
      <c r="K1359" s="4" t="s">
        <v>314</v>
      </c>
      <c r="L1359" s="4" t="s">
        <v>27</v>
      </c>
      <c r="M1359" s="4" t="s">
        <v>140</v>
      </c>
      <c r="N1359" s="5">
        <v>270834623</v>
      </c>
      <c r="O1359" s="2" t="s">
        <v>867</v>
      </c>
      <c r="P1359" s="2" t="s">
        <v>86</v>
      </c>
      <c r="Q1359" s="4" t="s">
        <v>1105</v>
      </c>
    </row>
    <row r="1360" spans="1:17" x14ac:dyDescent="0.2">
      <c r="A1360" s="2" t="s">
        <v>2475</v>
      </c>
      <c r="B1360" s="2" t="s">
        <v>33</v>
      </c>
      <c r="C1360" s="2" t="s">
        <v>83</v>
      </c>
      <c r="D1360" s="2" t="s">
        <v>20</v>
      </c>
      <c r="E1360" s="3">
        <v>98178</v>
      </c>
      <c r="F1360" s="4" t="s">
        <v>209</v>
      </c>
      <c r="G1360" s="2" t="s">
        <v>2426</v>
      </c>
      <c r="H1360" s="2" t="s">
        <v>2474</v>
      </c>
      <c r="I1360" s="2" t="s">
        <v>24</v>
      </c>
      <c r="J1360" s="2" t="s">
        <v>25</v>
      </c>
      <c r="K1360" s="4" t="s">
        <v>314</v>
      </c>
      <c r="L1360" s="4" t="s">
        <v>27</v>
      </c>
      <c r="M1360" s="4" t="s">
        <v>284</v>
      </c>
      <c r="N1360" s="5">
        <v>131779336</v>
      </c>
      <c r="O1360" s="2" t="s">
        <v>1301</v>
      </c>
      <c r="P1360" s="2" t="s">
        <v>86</v>
      </c>
      <c r="Q1360" s="4" t="s">
        <v>1302</v>
      </c>
    </row>
    <row r="1361" spans="1:17" x14ac:dyDescent="0.2">
      <c r="A1361" s="2" t="s">
        <v>2476</v>
      </c>
      <c r="B1361" s="2" t="s">
        <v>33</v>
      </c>
      <c r="C1361" s="2" t="s">
        <v>318</v>
      </c>
      <c r="D1361" s="2" t="s">
        <v>20</v>
      </c>
      <c r="E1361" s="3">
        <v>98146</v>
      </c>
      <c r="F1361" s="4" t="s">
        <v>371</v>
      </c>
      <c r="G1361" s="2" t="s">
        <v>2426</v>
      </c>
      <c r="H1361" s="2" t="s">
        <v>2474</v>
      </c>
      <c r="I1361" s="2" t="s">
        <v>24</v>
      </c>
      <c r="J1361" s="2" t="s">
        <v>25</v>
      </c>
      <c r="K1361" s="4" t="s">
        <v>314</v>
      </c>
      <c r="L1361" s="4" t="s">
        <v>27</v>
      </c>
      <c r="M1361" s="4" t="s">
        <v>319</v>
      </c>
      <c r="N1361" s="5">
        <v>202976644</v>
      </c>
      <c r="O1361" s="2" t="s">
        <v>543</v>
      </c>
      <c r="P1361" s="2" t="s">
        <v>86</v>
      </c>
      <c r="Q1361" s="4" t="s">
        <v>544</v>
      </c>
    </row>
    <row r="1362" spans="1:17" x14ac:dyDescent="0.2">
      <c r="A1362" s="2" t="s">
        <v>2477</v>
      </c>
      <c r="B1362" s="2" t="s">
        <v>331</v>
      </c>
      <c r="C1362" s="2" t="s">
        <v>331</v>
      </c>
      <c r="D1362" s="2" t="s">
        <v>20</v>
      </c>
      <c r="E1362" s="3">
        <v>99223</v>
      </c>
      <c r="F1362" s="4" t="s">
        <v>209</v>
      </c>
      <c r="G1362" s="2" t="s">
        <v>2426</v>
      </c>
      <c r="H1362" s="2" t="s">
        <v>2474</v>
      </c>
      <c r="I1362" s="2" t="s">
        <v>24</v>
      </c>
      <c r="J1362" s="2" t="s">
        <v>25</v>
      </c>
      <c r="K1362" s="4" t="s">
        <v>314</v>
      </c>
      <c r="L1362" s="4" t="s">
        <v>27</v>
      </c>
      <c r="M1362" s="4" t="s">
        <v>332</v>
      </c>
      <c r="N1362" s="5">
        <v>136378833</v>
      </c>
      <c r="O1362" s="2" t="s">
        <v>773</v>
      </c>
      <c r="P1362" s="2" t="s">
        <v>334</v>
      </c>
      <c r="Q1362" s="4" t="s">
        <v>2478</v>
      </c>
    </row>
    <row r="1363" spans="1:17" x14ac:dyDescent="0.2">
      <c r="A1363" s="2" t="s">
        <v>2479</v>
      </c>
      <c r="B1363" s="2" t="s">
        <v>33</v>
      </c>
      <c r="C1363" s="2" t="s">
        <v>68</v>
      </c>
      <c r="D1363" s="2" t="s">
        <v>20</v>
      </c>
      <c r="E1363" s="3">
        <v>98092</v>
      </c>
      <c r="F1363" s="4" t="s">
        <v>371</v>
      </c>
      <c r="G1363" s="2" t="s">
        <v>2426</v>
      </c>
      <c r="H1363" s="2" t="s">
        <v>2474</v>
      </c>
      <c r="I1363" s="2" t="s">
        <v>24</v>
      </c>
      <c r="J1363" s="2" t="s">
        <v>25</v>
      </c>
      <c r="K1363" s="4" t="s">
        <v>314</v>
      </c>
      <c r="L1363" s="4" t="s">
        <v>27</v>
      </c>
      <c r="M1363" s="4" t="s">
        <v>69</v>
      </c>
      <c r="N1363" s="5">
        <v>330993645</v>
      </c>
      <c r="O1363" s="2" t="s">
        <v>540</v>
      </c>
      <c r="P1363" s="2" t="s">
        <v>37</v>
      </c>
      <c r="Q1363" s="4" t="s">
        <v>1336</v>
      </c>
    </row>
    <row r="1364" spans="1:17" x14ac:dyDescent="0.2">
      <c r="A1364" s="2" t="s">
        <v>2480</v>
      </c>
      <c r="B1364" s="2" t="s">
        <v>33</v>
      </c>
      <c r="C1364" s="2" t="s">
        <v>430</v>
      </c>
      <c r="D1364" s="2" t="s">
        <v>20</v>
      </c>
      <c r="E1364" s="3">
        <v>98070</v>
      </c>
      <c r="F1364" s="4" t="s">
        <v>209</v>
      </c>
      <c r="G1364" s="2" t="s">
        <v>2426</v>
      </c>
      <c r="H1364" s="2" t="s">
        <v>2474</v>
      </c>
      <c r="I1364" s="2" t="s">
        <v>24</v>
      </c>
      <c r="J1364" s="2" t="s">
        <v>25</v>
      </c>
      <c r="K1364" s="4" t="s">
        <v>314</v>
      </c>
      <c r="L1364" s="4" t="s">
        <v>27</v>
      </c>
      <c r="M1364" s="4" t="s">
        <v>319</v>
      </c>
      <c r="N1364" s="5">
        <v>160102148</v>
      </c>
      <c r="O1364" s="2" t="s">
        <v>431</v>
      </c>
      <c r="P1364" s="2" t="s">
        <v>37</v>
      </c>
      <c r="Q1364" s="4" t="s">
        <v>432</v>
      </c>
    </row>
    <row r="1365" spans="1:17" x14ac:dyDescent="0.2">
      <c r="A1365" s="2" t="s">
        <v>2481</v>
      </c>
      <c r="B1365" s="2" t="s">
        <v>48</v>
      </c>
      <c r="C1365" s="2" t="s">
        <v>1737</v>
      </c>
      <c r="D1365" s="2" t="s">
        <v>20</v>
      </c>
      <c r="E1365" s="3">
        <v>98951</v>
      </c>
      <c r="F1365" s="4" t="s">
        <v>371</v>
      </c>
      <c r="G1365" s="2" t="s">
        <v>2426</v>
      </c>
      <c r="H1365" s="2" t="s">
        <v>2474</v>
      </c>
      <c r="I1365" s="2" t="s">
        <v>24</v>
      </c>
      <c r="J1365" s="2" t="s">
        <v>25</v>
      </c>
      <c r="K1365" s="4" t="s">
        <v>314</v>
      </c>
      <c r="L1365" s="4" t="s">
        <v>27</v>
      </c>
      <c r="M1365" s="4" t="s">
        <v>50</v>
      </c>
      <c r="N1365" s="5">
        <v>318160860</v>
      </c>
      <c r="O1365" s="2" t="s">
        <v>1740</v>
      </c>
      <c r="P1365" s="2" t="s">
        <v>52</v>
      </c>
      <c r="Q1365" s="4" t="s">
        <v>2482</v>
      </c>
    </row>
    <row r="1366" spans="1:17" x14ac:dyDescent="0.2">
      <c r="A1366" s="2" t="s">
        <v>2483</v>
      </c>
      <c r="B1366" s="2" t="s">
        <v>33</v>
      </c>
      <c r="C1366" s="2" t="s">
        <v>83</v>
      </c>
      <c r="D1366" s="2" t="s">
        <v>20</v>
      </c>
      <c r="E1366" s="3">
        <v>98109</v>
      </c>
      <c r="F1366" s="4" t="s">
        <v>209</v>
      </c>
      <c r="G1366" s="2" t="s">
        <v>2426</v>
      </c>
      <c r="H1366" s="2" t="s">
        <v>2474</v>
      </c>
      <c r="I1366" s="2" t="s">
        <v>24</v>
      </c>
      <c r="J1366" s="2" t="s">
        <v>25</v>
      </c>
      <c r="K1366" s="4" t="s">
        <v>314</v>
      </c>
      <c r="L1366" s="4" t="s">
        <v>27</v>
      </c>
      <c r="M1366" s="4" t="s">
        <v>84</v>
      </c>
      <c r="N1366" s="5">
        <v>264427369</v>
      </c>
      <c r="O1366" s="2" t="s">
        <v>437</v>
      </c>
      <c r="P1366" s="2" t="s">
        <v>86</v>
      </c>
      <c r="Q1366" s="4" t="s">
        <v>629</v>
      </c>
    </row>
    <row r="1367" spans="1:17" hidden="1" x14ac:dyDescent="0.2">
      <c r="A1367" s="2" t="s">
        <v>2484</v>
      </c>
      <c r="B1367" s="2" t="s">
        <v>33</v>
      </c>
      <c r="C1367" s="2" t="s">
        <v>146</v>
      </c>
      <c r="D1367" s="2" t="s">
        <v>20</v>
      </c>
      <c r="E1367" s="3">
        <v>98005</v>
      </c>
      <c r="F1367" s="4" t="s">
        <v>57</v>
      </c>
      <c r="G1367" s="2" t="s">
        <v>1066</v>
      </c>
      <c r="H1367" s="2" t="s">
        <v>2485</v>
      </c>
      <c r="I1367" s="2" t="s">
        <v>212</v>
      </c>
      <c r="J1367" s="2" t="s">
        <v>298</v>
      </c>
      <c r="K1367" s="4" t="s">
        <v>27</v>
      </c>
      <c r="L1367" s="4" t="s">
        <v>27</v>
      </c>
      <c r="M1367" s="4" t="s">
        <v>147</v>
      </c>
      <c r="N1367" s="5">
        <v>213530992</v>
      </c>
      <c r="O1367" s="2" t="s">
        <v>448</v>
      </c>
      <c r="P1367" s="2" t="s">
        <v>37</v>
      </c>
      <c r="Q1367" s="4" t="s">
        <v>195</v>
      </c>
    </row>
    <row r="1368" spans="1:17" hidden="1" x14ac:dyDescent="0.2">
      <c r="A1368" s="2" t="s">
        <v>2486</v>
      </c>
      <c r="B1368" s="2" t="s">
        <v>33</v>
      </c>
      <c r="C1368" s="2" t="s">
        <v>451</v>
      </c>
      <c r="D1368" s="2" t="s">
        <v>20</v>
      </c>
      <c r="E1368" s="3">
        <v>98075</v>
      </c>
      <c r="F1368" s="4" t="s">
        <v>121</v>
      </c>
      <c r="G1368" s="2" t="s">
        <v>1066</v>
      </c>
      <c r="H1368" s="2" t="s">
        <v>2485</v>
      </c>
      <c r="I1368" s="2" t="s">
        <v>212</v>
      </c>
      <c r="J1368" s="2" t="s">
        <v>298</v>
      </c>
      <c r="K1368" s="4" t="s">
        <v>27</v>
      </c>
      <c r="L1368" s="4" t="s">
        <v>27</v>
      </c>
      <c r="M1368" s="4" t="s">
        <v>403</v>
      </c>
      <c r="N1368" s="5">
        <v>260192859</v>
      </c>
      <c r="O1368" s="2" t="s">
        <v>452</v>
      </c>
      <c r="P1368" s="2" t="s">
        <v>37</v>
      </c>
      <c r="Q1368" s="4" t="s">
        <v>2487</v>
      </c>
    </row>
    <row r="1369" spans="1:17" hidden="1" x14ac:dyDescent="0.2">
      <c r="A1369" s="2" t="s">
        <v>2488</v>
      </c>
      <c r="B1369" s="2" t="s">
        <v>40</v>
      </c>
      <c r="C1369" s="2" t="s">
        <v>40</v>
      </c>
      <c r="D1369" s="2" t="s">
        <v>20</v>
      </c>
      <c r="E1369" s="3">
        <v>98296</v>
      </c>
      <c r="F1369" s="4" t="s">
        <v>130</v>
      </c>
      <c r="G1369" s="2" t="s">
        <v>1066</v>
      </c>
      <c r="H1369" s="2" t="s">
        <v>2485</v>
      </c>
      <c r="I1369" s="2" t="s">
        <v>212</v>
      </c>
      <c r="J1369" s="2" t="s">
        <v>298</v>
      </c>
      <c r="K1369" s="4" t="s">
        <v>27</v>
      </c>
      <c r="L1369" s="4" t="s">
        <v>27</v>
      </c>
      <c r="M1369" s="4" t="s">
        <v>170</v>
      </c>
      <c r="N1369" s="5">
        <v>276705845</v>
      </c>
      <c r="O1369" s="2" t="s">
        <v>294</v>
      </c>
      <c r="P1369" s="2" t="s">
        <v>30</v>
      </c>
      <c r="Q1369" s="4" t="s">
        <v>2489</v>
      </c>
    </row>
    <row r="1370" spans="1:17" hidden="1" x14ac:dyDescent="0.2">
      <c r="A1370" s="2" t="s">
        <v>2490</v>
      </c>
      <c r="B1370" s="2" t="s">
        <v>33</v>
      </c>
      <c r="C1370" s="2" t="s">
        <v>83</v>
      </c>
      <c r="D1370" s="2" t="s">
        <v>20</v>
      </c>
      <c r="E1370" s="3">
        <v>98112</v>
      </c>
      <c r="F1370" s="4" t="s">
        <v>130</v>
      </c>
      <c r="G1370" s="2" t="s">
        <v>1066</v>
      </c>
      <c r="H1370" s="2" t="s">
        <v>2485</v>
      </c>
      <c r="I1370" s="2" t="s">
        <v>212</v>
      </c>
      <c r="J1370" s="2" t="s">
        <v>298</v>
      </c>
      <c r="K1370" s="4" t="s">
        <v>27</v>
      </c>
      <c r="L1370" s="4" t="s">
        <v>27</v>
      </c>
      <c r="M1370" s="4" t="s">
        <v>436</v>
      </c>
      <c r="N1370" s="5">
        <v>279183642</v>
      </c>
      <c r="O1370" s="2" t="s">
        <v>736</v>
      </c>
      <c r="P1370" s="2" t="s">
        <v>86</v>
      </c>
      <c r="Q1370" s="4" t="s">
        <v>2491</v>
      </c>
    </row>
    <row r="1371" spans="1:17" hidden="1" x14ac:dyDescent="0.2">
      <c r="A1371" s="2" t="s">
        <v>2492</v>
      </c>
      <c r="B1371" s="2" t="s">
        <v>55</v>
      </c>
      <c r="C1371" s="2" t="s">
        <v>63</v>
      </c>
      <c r="D1371" s="2" t="s">
        <v>20</v>
      </c>
      <c r="E1371" s="3">
        <v>98682</v>
      </c>
      <c r="F1371" s="4" t="s">
        <v>121</v>
      </c>
      <c r="G1371" s="2" t="s">
        <v>1066</v>
      </c>
      <c r="H1371" s="2" t="s">
        <v>2485</v>
      </c>
      <c r="I1371" s="2" t="s">
        <v>212</v>
      </c>
      <c r="J1371" s="2" t="s">
        <v>298</v>
      </c>
      <c r="K1371" s="4" t="s">
        <v>27</v>
      </c>
      <c r="L1371" s="4" t="s">
        <v>27</v>
      </c>
      <c r="M1371" s="4" t="s">
        <v>58</v>
      </c>
      <c r="N1371" s="5">
        <v>251774015</v>
      </c>
      <c r="O1371" s="2" t="s">
        <v>65</v>
      </c>
      <c r="P1371" s="2" t="s">
        <v>60</v>
      </c>
      <c r="Q1371" s="4" t="s">
        <v>2493</v>
      </c>
    </row>
    <row r="1372" spans="1:17" hidden="1" x14ac:dyDescent="0.2">
      <c r="A1372" s="2" t="s">
        <v>2492</v>
      </c>
      <c r="B1372" s="2" t="s">
        <v>55</v>
      </c>
      <c r="C1372" s="2" t="s">
        <v>63</v>
      </c>
      <c r="D1372" s="2" t="s">
        <v>20</v>
      </c>
      <c r="E1372" s="3">
        <v>98686</v>
      </c>
      <c r="F1372" s="4" t="s">
        <v>121</v>
      </c>
      <c r="G1372" s="2" t="s">
        <v>1066</v>
      </c>
      <c r="H1372" s="2" t="s">
        <v>2485</v>
      </c>
      <c r="I1372" s="2" t="s">
        <v>212</v>
      </c>
      <c r="J1372" s="2" t="s">
        <v>298</v>
      </c>
      <c r="K1372" s="4" t="s">
        <v>27</v>
      </c>
      <c r="L1372" s="4" t="s">
        <v>27</v>
      </c>
      <c r="M1372" s="4" t="s">
        <v>191</v>
      </c>
      <c r="N1372" s="5">
        <v>266009418</v>
      </c>
      <c r="O1372" s="2" t="s">
        <v>1145</v>
      </c>
      <c r="P1372" s="2" t="s">
        <v>60</v>
      </c>
      <c r="Q1372" s="4" t="s">
        <v>2494</v>
      </c>
    </row>
    <row r="1373" spans="1:17" hidden="1" x14ac:dyDescent="0.2">
      <c r="A1373" s="2" t="s">
        <v>2495</v>
      </c>
      <c r="B1373" s="2" t="s">
        <v>33</v>
      </c>
      <c r="C1373" s="2" t="s">
        <v>169</v>
      </c>
      <c r="D1373" s="2" t="s">
        <v>20</v>
      </c>
      <c r="E1373" s="3">
        <v>98033</v>
      </c>
      <c r="F1373" s="4" t="s">
        <v>57</v>
      </c>
      <c r="G1373" s="2" t="s">
        <v>1066</v>
      </c>
      <c r="H1373" s="2" t="s">
        <v>2485</v>
      </c>
      <c r="I1373" s="2" t="s">
        <v>212</v>
      </c>
      <c r="J1373" s="2" t="s">
        <v>298</v>
      </c>
      <c r="K1373" s="4" t="s">
        <v>27</v>
      </c>
      <c r="L1373" s="4" t="s">
        <v>27</v>
      </c>
      <c r="M1373" s="4" t="s">
        <v>147</v>
      </c>
      <c r="N1373" s="5">
        <v>211167351</v>
      </c>
      <c r="O1373" s="2" t="s">
        <v>204</v>
      </c>
      <c r="P1373" s="2" t="s">
        <v>37</v>
      </c>
      <c r="Q1373" s="4" t="s">
        <v>1682</v>
      </c>
    </row>
    <row r="1374" spans="1:17" hidden="1" x14ac:dyDescent="0.2">
      <c r="A1374" s="2" t="s">
        <v>2496</v>
      </c>
      <c r="B1374" s="2" t="s">
        <v>33</v>
      </c>
      <c r="C1374" s="2" t="s">
        <v>34</v>
      </c>
      <c r="D1374" s="2" t="s">
        <v>20</v>
      </c>
      <c r="E1374" s="3">
        <v>98029</v>
      </c>
      <c r="F1374" s="4" t="s">
        <v>121</v>
      </c>
      <c r="G1374" s="2" t="s">
        <v>1066</v>
      </c>
      <c r="H1374" s="2" t="s">
        <v>2485</v>
      </c>
      <c r="I1374" s="2" t="s">
        <v>212</v>
      </c>
      <c r="J1374" s="2" t="s">
        <v>298</v>
      </c>
      <c r="K1374" s="4" t="s">
        <v>27</v>
      </c>
      <c r="L1374" s="4" t="s">
        <v>27</v>
      </c>
      <c r="M1374" s="4" t="s">
        <v>35</v>
      </c>
      <c r="N1374" s="5">
        <v>254437781</v>
      </c>
      <c r="O1374" s="2" t="s">
        <v>795</v>
      </c>
      <c r="P1374" s="2" t="s">
        <v>37</v>
      </c>
      <c r="Q1374" s="4" t="s">
        <v>1100</v>
      </c>
    </row>
    <row r="1375" spans="1:17" hidden="1" x14ac:dyDescent="0.2">
      <c r="A1375" s="2" t="s">
        <v>2496</v>
      </c>
      <c r="B1375" s="2" t="s">
        <v>33</v>
      </c>
      <c r="C1375" s="2" t="s">
        <v>669</v>
      </c>
      <c r="D1375" s="2" t="s">
        <v>20</v>
      </c>
      <c r="E1375" s="3">
        <v>98053</v>
      </c>
      <c r="F1375" s="4" t="s">
        <v>121</v>
      </c>
      <c r="G1375" s="2" t="s">
        <v>1066</v>
      </c>
      <c r="H1375" s="2" t="s">
        <v>2485</v>
      </c>
      <c r="I1375" s="2" t="s">
        <v>212</v>
      </c>
      <c r="J1375" s="2" t="s">
        <v>298</v>
      </c>
      <c r="K1375" s="4" t="s">
        <v>27</v>
      </c>
      <c r="L1375" s="4" t="s">
        <v>27</v>
      </c>
      <c r="M1375" s="4" t="s">
        <v>198</v>
      </c>
      <c r="N1375" s="5">
        <v>249783950</v>
      </c>
      <c r="O1375" s="2" t="s">
        <v>1002</v>
      </c>
      <c r="P1375" s="2" t="s">
        <v>37</v>
      </c>
      <c r="Q1375" s="4" t="s">
        <v>1003</v>
      </c>
    </row>
    <row r="1376" spans="1:17" hidden="1" x14ac:dyDescent="0.2">
      <c r="A1376" s="2" t="s">
        <v>2497</v>
      </c>
      <c r="B1376" s="2" t="s">
        <v>18</v>
      </c>
      <c r="C1376" s="2" t="s">
        <v>19</v>
      </c>
      <c r="D1376" s="2" t="s">
        <v>20</v>
      </c>
      <c r="E1376" s="3">
        <v>98370</v>
      </c>
      <c r="F1376" s="4" t="s">
        <v>21</v>
      </c>
      <c r="G1376" s="2" t="s">
        <v>1066</v>
      </c>
      <c r="H1376" s="2" t="s">
        <v>2485</v>
      </c>
      <c r="I1376" s="2" t="s">
        <v>212</v>
      </c>
      <c r="J1376" s="2" t="s">
        <v>298</v>
      </c>
      <c r="K1376" s="4" t="s">
        <v>27</v>
      </c>
      <c r="L1376" s="4" t="s">
        <v>27</v>
      </c>
      <c r="M1376" s="4" t="s">
        <v>28</v>
      </c>
      <c r="N1376" s="5">
        <v>230154263</v>
      </c>
      <c r="O1376" s="2" t="s">
        <v>29</v>
      </c>
      <c r="P1376" s="2" t="s">
        <v>30</v>
      </c>
      <c r="Q1376" s="4" t="s">
        <v>729</v>
      </c>
    </row>
    <row r="1377" spans="1:17" hidden="1" x14ac:dyDescent="0.2">
      <c r="A1377" s="2" t="s">
        <v>2498</v>
      </c>
      <c r="B1377" s="2" t="s">
        <v>55</v>
      </c>
      <c r="C1377" s="2" t="s">
        <v>63</v>
      </c>
      <c r="D1377" s="2" t="s">
        <v>20</v>
      </c>
      <c r="E1377" s="3">
        <v>98686</v>
      </c>
      <c r="F1377" s="4" t="s">
        <v>121</v>
      </c>
      <c r="G1377" s="2" t="s">
        <v>1066</v>
      </c>
      <c r="H1377" s="2" t="s">
        <v>2485</v>
      </c>
      <c r="I1377" s="2" t="s">
        <v>212</v>
      </c>
      <c r="J1377" s="2" t="s">
        <v>298</v>
      </c>
      <c r="K1377" s="4" t="s">
        <v>27</v>
      </c>
      <c r="L1377" s="4" t="s">
        <v>27</v>
      </c>
      <c r="M1377" s="4" t="s">
        <v>191</v>
      </c>
      <c r="N1377" s="5">
        <v>271406621</v>
      </c>
      <c r="O1377" s="2" t="s">
        <v>1145</v>
      </c>
      <c r="P1377" s="2" t="s">
        <v>60</v>
      </c>
      <c r="Q1377" s="4" t="s">
        <v>2494</v>
      </c>
    </row>
    <row r="1378" spans="1:17" x14ac:dyDescent="0.2">
      <c r="A1378" s="2" t="s">
        <v>2499</v>
      </c>
      <c r="B1378" s="2" t="s">
        <v>33</v>
      </c>
      <c r="C1378" s="2" t="s">
        <v>89</v>
      </c>
      <c r="D1378" s="2" t="s">
        <v>20</v>
      </c>
      <c r="E1378" s="3">
        <v>98011</v>
      </c>
      <c r="F1378" s="4" t="s">
        <v>57</v>
      </c>
      <c r="G1378" s="2" t="s">
        <v>1066</v>
      </c>
      <c r="H1378" s="2" t="s">
        <v>2500</v>
      </c>
      <c r="I1378" s="2" t="s">
        <v>24</v>
      </c>
      <c r="J1378" s="2" t="s">
        <v>25</v>
      </c>
      <c r="K1378" s="4" t="s">
        <v>26</v>
      </c>
      <c r="L1378" s="4" t="s">
        <v>27</v>
      </c>
      <c r="M1378" s="4" t="s">
        <v>170</v>
      </c>
      <c r="N1378" s="5">
        <v>282709801</v>
      </c>
      <c r="O1378" s="2" t="s">
        <v>503</v>
      </c>
      <c r="P1378" s="2" t="s">
        <v>37</v>
      </c>
      <c r="Q1378" s="4" t="s">
        <v>700</v>
      </c>
    </row>
    <row r="1379" spans="1:17" x14ac:dyDescent="0.2">
      <c r="A1379" s="2" t="s">
        <v>2501</v>
      </c>
      <c r="B1379" s="2" t="s">
        <v>33</v>
      </c>
      <c r="C1379" s="2" t="s">
        <v>34</v>
      </c>
      <c r="D1379" s="2" t="s">
        <v>20</v>
      </c>
      <c r="E1379" s="3">
        <v>98027</v>
      </c>
      <c r="F1379" s="4" t="s">
        <v>42</v>
      </c>
      <c r="G1379" s="2" t="s">
        <v>1066</v>
      </c>
      <c r="H1379" s="2" t="s">
        <v>1067</v>
      </c>
      <c r="I1379" s="2" t="s">
        <v>24</v>
      </c>
      <c r="J1379" s="2" t="s">
        <v>25</v>
      </c>
      <c r="K1379" s="4" t="s">
        <v>90</v>
      </c>
      <c r="L1379" s="4" t="s">
        <v>27</v>
      </c>
      <c r="M1379" s="4" t="s">
        <v>35</v>
      </c>
      <c r="N1379" s="5">
        <v>272743586</v>
      </c>
      <c r="O1379" s="2" t="s">
        <v>36</v>
      </c>
      <c r="P1379" s="2" t="s">
        <v>37</v>
      </c>
      <c r="Q1379" s="4" t="s">
        <v>38</v>
      </c>
    </row>
    <row r="1380" spans="1:17" x14ac:dyDescent="0.2">
      <c r="A1380" s="2" t="s">
        <v>2502</v>
      </c>
      <c r="B1380" s="2" t="s">
        <v>33</v>
      </c>
      <c r="C1380" s="2" t="s">
        <v>146</v>
      </c>
      <c r="D1380" s="2" t="s">
        <v>20</v>
      </c>
      <c r="E1380" s="3">
        <v>98008</v>
      </c>
      <c r="F1380" s="4" t="s">
        <v>42</v>
      </c>
      <c r="G1380" s="2" t="s">
        <v>1066</v>
      </c>
      <c r="H1380" s="2" t="s">
        <v>1067</v>
      </c>
      <c r="I1380" s="2" t="s">
        <v>24</v>
      </c>
      <c r="J1380" s="2" t="s">
        <v>25</v>
      </c>
      <c r="K1380" s="4" t="s">
        <v>79</v>
      </c>
      <c r="L1380" s="4" t="s">
        <v>27</v>
      </c>
      <c r="M1380" s="4" t="s">
        <v>147</v>
      </c>
      <c r="N1380" s="5">
        <v>167430679</v>
      </c>
      <c r="O1380" s="2" t="s">
        <v>537</v>
      </c>
      <c r="P1380" s="2" t="s">
        <v>37</v>
      </c>
      <c r="Q1380" s="4" t="s">
        <v>2503</v>
      </c>
    </row>
    <row r="1381" spans="1:17" x14ac:dyDescent="0.2">
      <c r="A1381" s="2" t="s">
        <v>2504</v>
      </c>
      <c r="B1381" s="2" t="s">
        <v>48</v>
      </c>
      <c r="C1381" s="2" t="s">
        <v>1140</v>
      </c>
      <c r="D1381" s="2" t="s">
        <v>20</v>
      </c>
      <c r="E1381" s="3">
        <v>98942</v>
      </c>
      <c r="F1381" s="4" t="s">
        <v>371</v>
      </c>
      <c r="G1381" s="2" t="s">
        <v>1066</v>
      </c>
      <c r="H1381" s="2" t="s">
        <v>2505</v>
      </c>
      <c r="I1381" s="2" t="s">
        <v>24</v>
      </c>
      <c r="J1381" s="2" t="s">
        <v>25</v>
      </c>
      <c r="K1381" s="4" t="s">
        <v>323</v>
      </c>
      <c r="L1381" s="4" t="s">
        <v>2506</v>
      </c>
      <c r="M1381" s="4" t="s">
        <v>50</v>
      </c>
      <c r="N1381" s="5">
        <v>179548379</v>
      </c>
      <c r="O1381" s="2" t="s">
        <v>1141</v>
      </c>
      <c r="P1381" s="2" t="s">
        <v>52</v>
      </c>
      <c r="Q1381" s="4" t="s">
        <v>2148</v>
      </c>
    </row>
    <row r="1382" spans="1:17" hidden="1" x14ac:dyDescent="0.2">
      <c r="A1382" s="2" t="s">
        <v>2507</v>
      </c>
      <c r="B1382" s="2" t="s">
        <v>804</v>
      </c>
      <c r="C1382" s="2" t="s">
        <v>805</v>
      </c>
      <c r="D1382" s="2" t="s">
        <v>20</v>
      </c>
      <c r="E1382" s="3">
        <v>99352</v>
      </c>
      <c r="F1382" s="4" t="s">
        <v>130</v>
      </c>
      <c r="G1382" s="2" t="s">
        <v>1066</v>
      </c>
      <c r="H1382" s="2" t="s">
        <v>2508</v>
      </c>
      <c r="I1382" s="2" t="s">
        <v>212</v>
      </c>
      <c r="J1382" s="2" t="s">
        <v>298</v>
      </c>
      <c r="K1382" s="4" t="s">
        <v>27</v>
      </c>
      <c r="L1382" s="4" t="s">
        <v>27</v>
      </c>
      <c r="M1382" s="4" t="s">
        <v>806</v>
      </c>
      <c r="N1382" s="5">
        <v>274337416</v>
      </c>
      <c r="O1382" s="2" t="s">
        <v>860</v>
      </c>
      <c r="P1382" s="2" t="s">
        <v>808</v>
      </c>
      <c r="Q1382" s="4" t="s">
        <v>861</v>
      </c>
    </row>
    <row r="1383" spans="1:17" hidden="1" x14ac:dyDescent="0.2">
      <c r="A1383" s="2" t="s">
        <v>2509</v>
      </c>
      <c r="B1383" s="2" t="s">
        <v>331</v>
      </c>
      <c r="C1383" s="2" t="s">
        <v>331</v>
      </c>
      <c r="D1383" s="2" t="s">
        <v>20</v>
      </c>
      <c r="E1383" s="3">
        <v>99224</v>
      </c>
      <c r="F1383" s="4" t="s">
        <v>230</v>
      </c>
      <c r="G1383" s="2" t="s">
        <v>1066</v>
      </c>
      <c r="H1383" s="2" t="s">
        <v>2510</v>
      </c>
      <c r="I1383" s="2" t="s">
        <v>212</v>
      </c>
      <c r="J1383" s="2" t="s">
        <v>213</v>
      </c>
      <c r="K1383" s="4" t="s">
        <v>2511</v>
      </c>
      <c r="L1383" s="4" t="s">
        <v>27</v>
      </c>
      <c r="M1383" s="4" t="s">
        <v>332</v>
      </c>
      <c r="N1383" s="5">
        <v>272902738</v>
      </c>
      <c r="O1383" s="2" t="s">
        <v>1629</v>
      </c>
      <c r="P1383" s="2" t="s">
        <v>393</v>
      </c>
      <c r="Q1383" s="4" t="s">
        <v>1630</v>
      </c>
    </row>
    <row r="1384" spans="1:17" hidden="1" x14ac:dyDescent="0.2">
      <c r="A1384" s="2" t="s">
        <v>2512</v>
      </c>
      <c r="B1384" s="2" t="s">
        <v>33</v>
      </c>
      <c r="C1384" s="2" t="s">
        <v>83</v>
      </c>
      <c r="D1384" s="2" t="s">
        <v>20</v>
      </c>
      <c r="E1384" s="3">
        <v>98199</v>
      </c>
      <c r="F1384" s="4" t="s">
        <v>219</v>
      </c>
      <c r="G1384" s="2" t="s">
        <v>1066</v>
      </c>
      <c r="H1384" s="2" t="s">
        <v>2510</v>
      </c>
      <c r="I1384" s="2" t="s">
        <v>212</v>
      </c>
      <c r="J1384" s="2" t="s">
        <v>213</v>
      </c>
      <c r="K1384" s="4" t="s">
        <v>2511</v>
      </c>
      <c r="L1384" s="4" t="s">
        <v>27</v>
      </c>
      <c r="M1384" s="4" t="s">
        <v>84</v>
      </c>
      <c r="N1384" s="5">
        <v>348678221</v>
      </c>
      <c r="O1384" s="2" t="s">
        <v>380</v>
      </c>
      <c r="P1384" s="2" t="s">
        <v>86</v>
      </c>
      <c r="Q1384" s="4" t="s">
        <v>381</v>
      </c>
    </row>
    <row r="1385" spans="1:17" hidden="1" x14ac:dyDescent="0.2">
      <c r="A1385" s="2" t="s">
        <v>2513</v>
      </c>
      <c r="B1385" s="2" t="s">
        <v>18</v>
      </c>
      <c r="C1385" s="2" t="s">
        <v>19</v>
      </c>
      <c r="D1385" s="2" t="s">
        <v>20</v>
      </c>
      <c r="E1385" s="3">
        <v>98370</v>
      </c>
      <c r="F1385" s="4" t="s">
        <v>219</v>
      </c>
      <c r="G1385" s="2" t="s">
        <v>1066</v>
      </c>
      <c r="H1385" s="2" t="s">
        <v>2510</v>
      </c>
      <c r="I1385" s="2" t="s">
        <v>212</v>
      </c>
      <c r="J1385" s="2" t="s">
        <v>213</v>
      </c>
      <c r="K1385" s="4" t="s">
        <v>2511</v>
      </c>
      <c r="L1385" s="4" t="s">
        <v>27</v>
      </c>
      <c r="M1385" s="4" t="s">
        <v>28</v>
      </c>
      <c r="N1385" s="5">
        <v>163895798</v>
      </c>
      <c r="O1385" s="2" t="s">
        <v>29</v>
      </c>
      <c r="P1385" s="2" t="s">
        <v>30</v>
      </c>
      <c r="Q1385" s="4" t="s">
        <v>31</v>
      </c>
    </row>
    <row r="1386" spans="1:17" hidden="1" x14ac:dyDescent="0.2">
      <c r="A1386" s="2" t="s">
        <v>2514</v>
      </c>
      <c r="B1386" s="2" t="s">
        <v>33</v>
      </c>
      <c r="C1386" s="2" t="s">
        <v>83</v>
      </c>
      <c r="D1386" s="2" t="s">
        <v>20</v>
      </c>
      <c r="E1386" s="3">
        <v>98144</v>
      </c>
      <c r="F1386" s="4" t="s">
        <v>209</v>
      </c>
      <c r="G1386" s="2" t="s">
        <v>1066</v>
      </c>
      <c r="H1386" s="2" t="s">
        <v>2510</v>
      </c>
      <c r="I1386" s="2" t="s">
        <v>212</v>
      </c>
      <c r="J1386" s="2" t="s">
        <v>213</v>
      </c>
      <c r="K1386" s="4" t="s">
        <v>2511</v>
      </c>
      <c r="L1386" s="4" t="s">
        <v>27</v>
      </c>
      <c r="M1386" s="4" t="s">
        <v>284</v>
      </c>
      <c r="N1386" s="5">
        <v>130618904</v>
      </c>
      <c r="O1386" s="2" t="s">
        <v>867</v>
      </c>
      <c r="P1386" s="2" t="s">
        <v>86</v>
      </c>
      <c r="Q1386" s="4" t="s">
        <v>1361</v>
      </c>
    </row>
    <row r="1387" spans="1:17" x14ac:dyDescent="0.2">
      <c r="A1387" s="2" t="s">
        <v>2515</v>
      </c>
      <c r="B1387" s="2" t="s">
        <v>33</v>
      </c>
      <c r="C1387" s="2" t="s">
        <v>83</v>
      </c>
      <c r="D1387" s="2" t="s">
        <v>20</v>
      </c>
      <c r="E1387" s="3">
        <v>98107</v>
      </c>
      <c r="F1387" s="4" t="s">
        <v>219</v>
      </c>
      <c r="G1387" s="2" t="s">
        <v>1066</v>
      </c>
      <c r="H1387" s="2" t="s">
        <v>2510</v>
      </c>
      <c r="I1387" s="2" t="s">
        <v>24</v>
      </c>
      <c r="J1387" s="2" t="s">
        <v>213</v>
      </c>
      <c r="K1387" s="4" t="s">
        <v>2516</v>
      </c>
      <c r="L1387" s="4" t="s">
        <v>27</v>
      </c>
      <c r="M1387" s="4" t="s">
        <v>84</v>
      </c>
      <c r="N1387" s="5">
        <v>214448048</v>
      </c>
      <c r="O1387" s="2" t="s">
        <v>869</v>
      </c>
      <c r="P1387" s="2" t="s">
        <v>86</v>
      </c>
      <c r="Q1387" s="4" t="s">
        <v>623</v>
      </c>
    </row>
    <row r="1388" spans="1:17" x14ac:dyDescent="0.2">
      <c r="A1388" s="2" t="s">
        <v>2517</v>
      </c>
      <c r="B1388" s="2" t="s">
        <v>362</v>
      </c>
      <c r="C1388" s="2" t="s">
        <v>2518</v>
      </c>
      <c r="D1388" s="2" t="s">
        <v>20</v>
      </c>
      <c r="E1388" s="3">
        <v>98548</v>
      </c>
      <c r="F1388" s="4" t="s">
        <v>230</v>
      </c>
      <c r="G1388" s="2" t="s">
        <v>1066</v>
      </c>
      <c r="H1388" s="2" t="s">
        <v>2510</v>
      </c>
      <c r="I1388" s="2" t="s">
        <v>24</v>
      </c>
      <c r="J1388" s="2" t="s">
        <v>213</v>
      </c>
      <c r="K1388" s="4" t="s">
        <v>2516</v>
      </c>
      <c r="L1388" s="4" t="s">
        <v>27</v>
      </c>
      <c r="M1388" s="4" t="s">
        <v>255</v>
      </c>
      <c r="N1388" s="5">
        <v>251970904</v>
      </c>
      <c r="O1388" s="2" t="s">
        <v>2519</v>
      </c>
      <c r="P1388" s="2" t="s">
        <v>365</v>
      </c>
      <c r="Q1388" s="4" t="s">
        <v>2520</v>
      </c>
    </row>
    <row r="1389" spans="1:17" x14ac:dyDescent="0.2">
      <c r="A1389" s="2" t="s">
        <v>2521</v>
      </c>
      <c r="B1389" s="2" t="s">
        <v>18</v>
      </c>
      <c r="C1389" s="2" t="s">
        <v>665</v>
      </c>
      <c r="D1389" s="2" t="s">
        <v>20</v>
      </c>
      <c r="E1389" s="3">
        <v>98380</v>
      </c>
      <c r="F1389" s="4" t="s">
        <v>230</v>
      </c>
      <c r="G1389" s="2" t="s">
        <v>1066</v>
      </c>
      <c r="H1389" s="2" t="s">
        <v>2510</v>
      </c>
      <c r="I1389" s="2" t="s">
        <v>24</v>
      </c>
      <c r="J1389" s="2" t="s">
        <v>213</v>
      </c>
      <c r="K1389" s="4" t="s">
        <v>2516</v>
      </c>
      <c r="L1389" s="4" t="s">
        <v>27</v>
      </c>
      <c r="M1389" s="4" t="s">
        <v>255</v>
      </c>
      <c r="N1389" s="5">
        <v>3572089</v>
      </c>
      <c r="O1389" s="2" t="s">
        <v>666</v>
      </c>
      <c r="P1389" s="2" t="s">
        <v>30</v>
      </c>
      <c r="Q1389" s="4" t="s">
        <v>1018</v>
      </c>
    </row>
    <row r="1390" spans="1:17" x14ac:dyDescent="0.2">
      <c r="A1390" s="2" t="s">
        <v>2522</v>
      </c>
      <c r="B1390" s="2" t="s">
        <v>18</v>
      </c>
      <c r="C1390" s="2" t="s">
        <v>218</v>
      </c>
      <c r="D1390" s="2" t="s">
        <v>20</v>
      </c>
      <c r="E1390" s="3">
        <v>98312</v>
      </c>
      <c r="F1390" s="4" t="s">
        <v>230</v>
      </c>
      <c r="G1390" s="2" t="s">
        <v>1066</v>
      </c>
      <c r="H1390" s="2" t="s">
        <v>2510</v>
      </c>
      <c r="I1390" s="2" t="s">
        <v>24</v>
      </c>
      <c r="J1390" s="2" t="s">
        <v>213</v>
      </c>
      <c r="K1390" s="4" t="s">
        <v>2516</v>
      </c>
      <c r="L1390" s="4" t="s">
        <v>27</v>
      </c>
      <c r="M1390" s="4" t="s">
        <v>101</v>
      </c>
      <c r="N1390" s="5">
        <v>152353421</v>
      </c>
      <c r="O1390" s="2" t="s">
        <v>1180</v>
      </c>
      <c r="P1390" s="2" t="s">
        <v>30</v>
      </c>
      <c r="Q1390" s="4" t="s">
        <v>1444</v>
      </c>
    </row>
    <row r="1391" spans="1:17" x14ac:dyDescent="0.2">
      <c r="A1391" s="2" t="s">
        <v>2523</v>
      </c>
      <c r="B1391" s="2" t="s">
        <v>18</v>
      </c>
      <c r="C1391" s="2" t="s">
        <v>19</v>
      </c>
      <c r="D1391" s="2" t="s">
        <v>20</v>
      </c>
      <c r="E1391" s="3">
        <v>98370</v>
      </c>
      <c r="F1391" s="4" t="s">
        <v>209</v>
      </c>
      <c r="G1391" s="2" t="s">
        <v>1066</v>
      </c>
      <c r="H1391" s="2" t="s">
        <v>2510</v>
      </c>
      <c r="I1391" s="2" t="s">
        <v>24</v>
      </c>
      <c r="J1391" s="2" t="s">
        <v>213</v>
      </c>
      <c r="K1391" s="4" t="s">
        <v>2516</v>
      </c>
      <c r="L1391" s="4" t="s">
        <v>27</v>
      </c>
      <c r="M1391" s="4" t="s">
        <v>28</v>
      </c>
      <c r="N1391" s="5">
        <v>208580123</v>
      </c>
      <c r="O1391" s="2" t="s">
        <v>29</v>
      </c>
      <c r="P1391" s="2" t="s">
        <v>30</v>
      </c>
      <c r="Q1391" s="4" t="s">
        <v>343</v>
      </c>
    </row>
    <row r="1392" spans="1:17" hidden="1" x14ac:dyDescent="0.2">
      <c r="A1392" s="2" t="s">
        <v>2524</v>
      </c>
      <c r="B1392" s="2" t="s">
        <v>33</v>
      </c>
      <c r="C1392" s="2" t="s">
        <v>83</v>
      </c>
      <c r="D1392" s="2" t="s">
        <v>20</v>
      </c>
      <c r="E1392" s="3">
        <v>98105</v>
      </c>
      <c r="F1392" s="4" t="s">
        <v>273</v>
      </c>
      <c r="G1392" s="2" t="s">
        <v>1066</v>
      </c>
      <c r="H1392" s="2" t="s">
        <v>2510</v>
      </c>
      <c r="I1392" s="2" t="s">
        <v>212</v>
      </c>
      <c r="J1392" s="2" t="s">
        <v>213</v>
      </c>
      <c r="K1392" s="4" t="s">
        <v>2511</v>
      </c>
      <c r="L1392" s="4" t="s">
        <v>27</v>
      </c>
      <c r="M1392" s="4" t="s">
        <v>278</v>
      </c>
      <c r="N1392" s="5">
        <v>348980306</v>
      </c>
      <c r="O1392" s="2" t="s">
        <v>455</v>
      </c>
      <c r="P1392" s="2" t="s">
        <v>86</v>
      </c>
      <c r="Q1392" s="4" t="s">
        <v>1800</v>
      </c>
    </row>
    <row r="1393" spans="1:17" hidden="1" x14ac:dyDescent="0.2">
      <c r="A1393" s="2" t="s">
        <v>2525</v>
      </c>
      <c r="B1393" s="2" t="s">
        <v>33</v>
      </c>
      <c r="C1393" s="2" t="s">
        <v>83</v>
      </c>
      <c r="D1393" s="2" t="s">
        <v>20</v>
      </c>
      <c r="E1393" s="3">
        <v>98112</v>
      </c>
      <c r="F1393" s="4" t="s">
        <v>273</v>
      </c>
      <c r="G1393" s="2" t="s">
        <v>1066</v>
      </c>
      <c r="H1393" s="2" t="s">
        <v>2510</v>
      </c>
      <c r="I1393" s="2" t="s">
        <v>212</v>
      </c>
      <c r="J1393" s="2" t="s">
        <v>213</v>
      </c>
      <c r="K1393" s="4" t="s">
        <v>2511</v>
      </c>
      <c r="L1393" s="4" t="s">
        <v>27</v>
      </c>
      <c r="M1393" s="4" t="s">
        <v>284</v>
      </c>
      <c r="N1393" s="5">
        <v>278759890</v>
      </c>
      <c r="O1393" s="2" t="s">
        <v>736</v>
      </c>
      <c r="P1393" s="2" t="s">
        <v>86</v>
      </c>
      <c r="Q1393" s="4" t="s">
        <v>559</v>
      </c>
    </row>
    <row r="1394" spans="1:17" x14ac:dyDescent="0.2">
      <c r="A1394" s="2" t="s">
        <v>2526</v>
      </c>
      <c r="B1394" s="2" t="s">
        <v>18</v>
      </c>
      <c r="C1394" s="2" t="s">
        <v>234</v>
      </c>
      <c r="D1394" s="2" t="s">
        <v>20</v>
      </c>
      <c r="E1394" s="3">
        <v>98110</v>
      </c>
      <c r="F1394" s="4" t="s">
        <v>273</v>
      </c>
      <c r="G1394" s="2" t="s">
        <v>1066</v>
      </c>
      <c r="H1394" s="2" t="s">
        <v>2510</v>
      </c>
      <c r="I1394" s="2" t="s">
        <v>24</v>
      </c>
      <c r="J1394" s="2" t="s">
        <v>213</v>
      </c>
      <c r="K1394" s="4" t="s">
        <v>2527</v>
      </c>
      <c r="L1394" s="4" t="s">
        <v>27</v>
      </c>
      <c r="M1394" s="4" t="s">
        <v>28</v>
      </c>
      <c r="N1394" s="5">
        <v>210279919</v>
      </c>
      <c r="O1394" s="2" t="s">
        <v>235</v>
      </c>
      <c r="P1394" s="2" t="s">
        <v>30</v>
      </c>
      <c r="Q1394" s="4" t="s">
        <v>1032</v>
      </c>
    </row>
    <row r="1395" spans="1:17" x14ac:dyDescent="0.2">
      <c r="A1395" s="2" t="s">
        <v>2528</v>
      </c>
      <c r="B1395" s="2" t="s">
        <v>18</v>
      </c>
      <c r="C1395" s="2" t="s">
        <v>100</v>
      </c>
      <c r="D1395" s="2" t="s">
        <v>20</v>
      </c>
      <c r="E1395" s="3">
        <v>98367</v>
      </c>
      <c r="F1395" s="4" t="s">
        <v>273</v>
      </c>
      <c r="G1395" s="2" t="s">
        <v>1066</v>
      </c>
      <c r="H1395" s="2" t="s">
        <v>2510</v>
      </c>
      <c r="I1395" s="2" t="s">
        <v>24</v>
      </c>
      <c r="J1395" s="2" t="s">
        <v>213</v>
      </c>
      <c r="K1395" s="4" t="s">
        <v>2527</v>
      </c>
      <c r="L1395" s="4" t="s">
        <v>27</v>
      </c>
      <c r="M1395" s="4" t="s">
        <v>101</v>
      </c>
      <c r="N1395" s="5">
        <v>172695190</v>
      </c>
      <c r="O1395" s="2" t="s">
        <v>259</v>
      </c>
      <c r="P1395" s="2" t="s">
        <v>30</v>
      </c>
      <c r="Q1395" s="4" t="s">
        <v>638</v>
      </c>
    </row>
    <row r="1396" spans="1:17" x14ac:dyDescent="0.2">
      <c r="A1396" s="2" t="s">
        <v>2529</v>
      </c>
      <c r="B1396" s="2" t="s">
        <v>33</v>
      </c>
      <c r="C1396" s="2" t="s">
        <v>146</v>
      </c>
      <c r="D1396" s="2" t="s">
        <v>20</v>
      </c>
      <c r="E1396" s="3">
        <v>98004</v>
      </c>
      <c r="F1396" s="4" t="s">
        <v>273</v>
      </c>
      <c r="G1396" s="2" t="s">
        <v>1066</v>
      </c>
      <c r="H1396" s="2" t="s">
        <v>2510</v>
      </c>
      <c r="I1396" s="2" t="s">
        <v>24</v>
      </c>
      <c r="J1396" s="2" t="s">
        <v>213</v>
      </c>
      <c r="K1396" s="4" t="s">
        <v>2527</v>
      </c>
      <c r="L1396" s="4" t="s">
        <v>27</v>
      </c>
      <c r="M1396" s="4" t="s">
        <v>403</v>
      </c>
      <c r="N1396" s="5">
        <v>137420006</v>
      </c>
      <c r="O1396" s="2" t="s">
        <v>148</v>
      </c>
      <c r="P1396" s="2" t="s">
        <v>37</v>
      </c>
      <c r="Q1396" s="4" t="s">
        <v>1250</v>
      </c>
    </row>
    <row r="1397" spans="1:17" x14ac:dyDescent="0.2">
      <c r="A1397" s="2" t="s">
        <v>2530</v>
      </c>
      <c r="B1397" s="2" t="s">
        <v>33</v>
      </c>
      <c r="C1397" s="2" t="s">
        <v>1056</v>
      </c>
      <c r="D1397" s="2" t="s">
        <v>20</v>
      </c>
      <c r="E1397" s="3">
        <v>98031</v>
      </c>
      <c r="F1397" s="4" t="s">
        <v>273</v>
      </c>
      <c r="G1397" s="2" t="s">
        <v>1066</v>
      </c>
      <c r="H1397" s="2" t="s">
        <v>2510</v>
      </c>
      <c r="I1397" s="2" t="s">
        <v>24</v>
      </c>
      <c r="J1397" s="2" t="s">
        <v>213</v>
      </c>
      <c r="K1397" s="4" t="s">
        <v>2527</v>
      </c>
      <c r="L1397" s="4" t="s">
        <v>27</v>
      </c>
      <c r="M1397" s="4" t="s">
        <v>69</v>
      </c>
      <c r="N1397" s="5">
        <v>191085121</v>
      </c>
      <c r="O1397" s="2" t="s">
        <v>1057</v>
      </c>
      <c r="P1397" s="2" t="s">
        <v>37</v>
      </c>
      <c r="Q1397" s="4" t="s">
        <v>1612</v>
      </c>
    </row>
    <row r="1398" spans="1:17" x14ac:dyDescent="0.2">
      <c r="A1398" s="2" t="s">
        <v>2531</v>
      </c>
      <c r="B1398" s="2" t="s">
        <v>33</v>
      </c>
      <c r="C1398" s="2" t="s">
        <v>83</v>
      </c>
      <c r="D1398" s="2" t="s">
        <v>20</v>
      </c>
      <c r="E1398" s="3">
        <v>98101</v>
      </c>
      <c r="F1398" s="4" t="s">
        <v>219</v>
      </c>
      <c r="G1398" s="2" t="s">
        <v>1066</v>
      </c>
      <c r="H1398" s="2" t="s">
        <v>2532</v>
      </c>
      <c r="I1398" s="2" t="s">
        <v>24</v>
      </c>
      <c r="J1398" s="2" t="s">
        <v>25</v>
      </c>
      <c r="K1398" s="4" t="s">
        <v>323</v>
      </c>
      <c r="L1398" s="4" t="s">
        <v>27</v>
      </c>
      <c r="M1398" s="4" t="s">
        <v>436</v>
      </c>
      <c r="N1398" s="5">
        <v>103055032</v>
      </c>
      <c r="O1398" s="2" t="s">
        <v>1235</v>
      </c>
      <c r="P1398" s="2" t="s">
        <v>86</v>
      </c>
      <c r="Q1398" s="4" t="s">
        <v>2533</v>
      </c>
    </row>
    <row r="1399" spans="1:17" hidden="1" x14ac:dyDescent="0.2">
      <c r="A1399" s="2" t="s">
        <v>2534</v>
      </c>
      <c r="B1399" s="2" t="s">
        <v>33</v>
      </c>
      <c r="C1399" s="2" t="s">
        <v>146</v>
      </c>
      <c r="D1399" s="2" t="s">
        <v>20</v>
      </c>
      <c r="E1399" s="3">
        <v>98004</v>
      </c>
      <c r="F1399" s="4" t="s">
        <v>121</v>
      </c>
      <c r="G1399" s="2" t="s">
        <v>1066</v>
      </c>
      <c r="H1399" s="2" t="s">
        <v>2535</v>
      </c>
      <c r="I1399" s="2" t="s">
        <v>212</v>
      </c>
      <c r="J1399" s="2" t="s">
        <v>298</v>
      </c>
      <c r="K1399" s="4" t="s">
        <v>27</v>
      </c>
      <c r="L1399" s="4" t="s">
        <v>27</v>
      </c>
      <c r="M1399" s="4" t="s">
        <v>147</v>
      </c>
      <c r="N1399" s="5">
        <v>272429685</v>
      </c>
      <c r="O1399" s="2" t="s">
        <v>148</v>
      </c>
      <c r="P1399" s="2" t="s">
        <v>37</v>
      </c>
      <c r="Q1399" s="4" t="s">
        <v>1193</v>
      </c>
    </row>
    <row r="1400" spans="1:17" hidden="1" x14ac:dyDescent="0.2">
      <c r="A1400" s="2" t="s">
        <v>2536</v>
      </c>
      <c r="B1400" s="2" t="s">
        <v>33</v>
      </c>
      <c r="C1400" s="2" t="s">
        <v>83</v>
      </c>
      <c r="D1400" s="2" t="s">
        <v>20</v>
      </c>
      <c r="E1400" s="3">
        <v>98116</v>
      </c>
      <c r="F1400" s="4" t="s">
        <v>21</v>
      </c>
      <c r="G1400" s="2" t="s">
        <v>1066</v>
      </c>
      <c r="H1400" s="2" t="s">
        <v>2535</v>
      </c>
      <c r="I1400" s="2" t="s">
        <v>212</v>
      </c>
      <c r="J1400" s="2" t="s">
        <v>298</v>
      </c>
      <c r="K1400" s="4" t="s">
        <v>27</v>
      </c>
      <c r="L1400" s="4" t="s">
        <v>27</v>
      </c>
      <c r="M1400" s="4" t="s">
        <v>319</v>
      </c>
      <c r="N1400" s="5">
        <v>234948192</v>
      </c>
      <c r="O1400" s="2" t="s">
        <v>1034</v>
      </c>
      <c r="P1400" s="2" t="s">
        <v>86</v>
      </c>
      <c r="Q1400" s="4" t="s">
        <v>1622</v>
      </c>
    </row>
    <row r="1401" spans="1:17" hidden="1" x14ac:dyDescent="0.2">
      <c r="A1401" s="2" t="s">
        <v>2537</v>
      </c>
      <c r="B1401" s="2" t="s">
        <v>33</v>
      </c>
      <c r="C1401" s="2" t="s">
        <v>146</v>
      </c>
      <c r="D1401" s="2" t="s">
        <v>20</v>
      </c>
      <c r="E1401" s="3">
        <v>98005</v>
      </c>
      <c r="F1401" s="4" t="s">
        <v>130</v>
      </c>
      <c r="G1401" s="2" t="s">
        <v>1066</v>
      </c>
      <c r="H1401" s="2" t="s">
        <v>2535</v>
      </c>
      <c r="I1401" s="2" t="s">
        <v>212</v>
      </c>
      <c r="J1401" s="2" t="s">
        <v>298</v>
      </c>
      <c r="K1401" s="4" t="s">
        <v>27</v>
      </c>
      <c r="L1401" s="4" t="s">
        <v>27</v>
      </c>
      <c r="M1401" s="4" t="s">
        <v>147</v>
      </c>
      <c r="N1401" s="5">
        <v>279173569</v>
      </c>
      <c r="O1401" s="2" t="s">
        <v>448</v>
      </c>
      <c r="P1401" s="2" t="s">
        <v>37</v>
      </c>
      <c r="Q1401" s="4" t="s">
        <v>1064</v>
      </c>
    </row>
    <row r="1402" spans="1:17" hidden="1" x14ac:dyDescent="0.2">
      <c r="A1402" s="2" t="s">
        <v>2538</v>
      </c>
      <c r="B1402" s="2" t="s">
        <v>33</v>
      </c>
      <c r="C1402" s="2" t="s">
        <v>169</v>
      </c>
      <c r="D1402" s="2" t="s">
        <v>20</v>
      </c>
      <c r="E1402" s="3">
        <v>98033</v>
      </c>
      <c r="F1402" s="4" t="s">
        <v>121</v>
      </c>
      <c r="G1402" s="2" t="s">
        <v>1066</v>
      </c>
      <c r="H1402" s="2" t="s">
        <v>2535</v>
      </c>
      <c r="I1402" s="2" t="s">
        <v>212</v>
      </c>
      <c r="J1402" s="2" t="s">
        <v>298</v>
      </c>
      <c r="K1402" s="4" t="s">
        <v>27</v>
      </c>
      <c r="L1402" s="4" t="s">
        <v>27</v>
      </c>
      <c r="M1402" s="4" t="s">
        <v>147</v>
      </c>
      <c r="N1402" s="5">
        <v>274157173</v>
      </c>
      <c r="O1402" s="2" t="s">
        <v>204</v>
      </c>
      <c r="P1402" s="2" t="s">
        <v>37</v>
      </c>
      <c r="Q1402" s="4" t="s">
        <v>1682</v>
      </c>
    </row>
    <row r="1403" spans="1:17" hidden="1" x14ac:dyDescent="0.2">
      <c r="A1403" s="2" t="s">
        <v>2539</v>
      </c>
      <c r="B1403" s="2" t="s">
        <v>33</v>
      </c>
      <c r="C1403" s="2" t="s">
        <v>83</v>
      </c>
      <c r="D1403" s="2" t="s">
        <v>20</v>
      </c>
      <c r="E1403" s="3">
        <v>98199</v>
      </c>
      <c r="F1403" s="4" t="s">
        <v>371</v>
      </c>
      <c r="G1403" s="2" t="s">
        <v>1066</v>
      </c>
      <c r="H1403" s="2" t="s">
        <v>2510</v>
      </c>
      <c r="I1403" s="2" t="s">
        <v>212</v>
      </c>
      <c r="J1403" s="2" t="s">
        <v>213</v>
      </c>
      <c r="K1403" s="4" t="s">
        <v>2540</v>
      </c>
      <c r="L1403" s="4" t="s">
        <v>27</v>
      </c>
      <c r="M1403" s="4" t="s">
        <v>84</v>
      </c>
      <c r="N1403" s="5">
        <v>118108749</v>
      </c>
      <c r="O1403" s="2" t="s">
        <v>380</v>
      </c>
      <c r="P1403" s="2" t="s">
        <v>86</v>
      </c>
      <c r="Q1403" s="4" t="s">
        <v>2541</v>
      </c>
    </row>
    <row r="1404" spans="1:17" hidden="1" x14ac:dyDescent="0.2">
      <c r="A1404" s="2" t="s">
        <v>2542</v>
      </c>
      <c r="B1404" s="2" t="s">
        <v>33</v>
      </c>
      <c r="C1404" s="2" t="s">
        <v>1056</v>
      </c>
      <c r="D1404" s="2" t="s">
        <v>20</v>
      </c>
      <c r="E1404" s="3">
        <v>98031</v>
      </c>
      <c r="F1404" s="4" t="s">
        <v>371</v>
      </c>
      <c r="G1404" s="2" t="s">
        <v>1066</v>
      </c>
      <c r="H1404" s="2" t="s">
        <v>2510</v>
      </c>
      <c r="I1404" s="2" t="s">
        <v>212</v>
      </c>
      <c r="J1404" s="2" t="s">
        <v>213</v>
      </c>
      <c r="K1404" s="4" t="s">
        <v>2540</v>
      </c>
      <c r="L1404" s="4" t="s">
        <v>27</v>
      </c>
      <c r="M1404" s="4" t="s">
        <v>140</v>
      </c>
      <c r="N1404" s="5">
        <v>167374784</v>
      </c>
      <c r="O1404" s="2" t="s">
        <v>1057</v>
      </c>
      <c r="P1404" s="2" t="s">
        <v>37</v>
      </c>
      <c r="Q1404" s="4" t="s">
        <v>2007</v>
      </c>
    </row>
    <row r="1405" spans="1:17" x14ac:dyDescent="0.2">
      <c r="A1405" s="2" t="s">
        <v>2543</v>
      </c>
      <c r="B1405" s="2" t="s">
        <v>33</v>
      </c>
      <c r="C1405" s="2" t="s">
        <v>978</v>
      </c>
      <c r="D1405" s="2" t="s">
        <v>20</v>
      </c>
      <c r="E1405" s="3">
        <v>98019</v>
      </c>
      <c r="F1405" s="4" t="s">
        <v>371</v>
      </c>
      <c r="G1405" s="2" t="s">
        <v>1066</v>
      </c>
      <c r="H1405" s="2" t="s">
        <v>2510</v>
      </c>
      <c r="I1405" s="2" t="s">
        <v>24</v>
      </c>
      <c r="J1405" s="2" t="s">
        <v>213</v>
      </c>
      <c r="K1405" s="4" t="s">
        <v>2527</v>
      </c>
      <c r="L1405" s="4" t="s">
        <v>27</v>
      </c>
      <c r="M1405" s="4" t="s">
        <v>35</v>
      </c>
      <c r="N1405" s="5">
        <v>284569659</v>
      </c>
      <c r="O1405" s="2" t="s">
        <v>979</v>
      </c>
      <c r="P1405" s="2" t="s">
        <v>37</v>
      </c>
      <c r="Q1405" s="4" t="s">
        <v>1267</v>
      </c>
    </row>
    <row r="1406" spans="1:17" hidden="1" x14ac:dyDescent="0.2">
      <c r="A1406" s="2" t="s">
        <v>2544</v>
      </c>
      <c r="B1406" s="2" t="s">
        <v>33</v>
      </c>
      <c r="C1406" s="2" t="s">
        <v>83</v>
      </c>
      <c r="D1406" s="2" t="s">
        <v>20</v>
      </c>
      <c r="E1406" s="3">
        <v>98112</v>
      </c>
      <c r="F1406" s="4" t="s">
        <v>371</v>
      </c>
      <c r="G1406" s="2" t="s">
        <v>1066</v>
      </c>
      <c r="H1406" s="2" t="s">
        <v>2510</v>
      </c>
      <c r="I1406" s="2" t="s">
        <v>212</v>
      </c>
      <c r="J1406" s="2" t="s">
        <v>213</v>
      </c>
      <c r="K1406" s="4" t="s">
        <v>2540</v>
      </c>
      <c r="L1406" s="4" t="s">
        <v>27</v>
      </c>
      <c r="M1406" s="4" t="s">
        <v>284</v>
      </c>
      <c r="N1406" s="5">
        <v>285122995</v>
      </c>
      <c r="O1406" s="2" t="s">
        <v>736</v>
      </c>
      <c r="P1406" s="2" t="s">
        <v>86</v>
      </c>
      <c r="Q1406" s="4" t="s">
        <v>559</v>
      </c>
    </row>
    <row r="1407" spans="1:17" x14ac:dyDescent="0.2">
      <c r="A1407" s="2" t="s">
        <v>2545</v>
      </c>
      <c r="B1407" s="2" t="s">
        <v>313</v>
      </c>
      <c r="C1407" s="2" t="s">
        <v>313</v>
      </c>
      <c r="D1407" s="2" t="s">
        <v>20</v>
      </c>
      <c r="E1407" s="3">
        <v>99362</v>
      </c>
      <c r="F1407" s="4" t="s">
        <v>371</v>
      </c>
      <c r="G1407" s="2" t="s">
        <v>1066</v>
      </c>
      <c r="H1407" s="2" t="s">
        <v>2510</v>
      </c>
      <c r="I1407" s="2" t="s">
        <v>24</v>
      </c>
      <c r="J1407" s="2" t="s">
        <v>213</v>
      </c>
      <c r="K1407" s="4" t="s">
        <v>2527</v>
      </c>
      <c r="L1407" s="4" t="s">
        <v>27</v>
      </c>
      <c r="M1407" s="4" t="s">
        <v>314</v>
      </c>
      <c r="N1407" s="5">
        <v>177927578</v>
      </c>
      <c r="O1407" s="2" t="s">
        <v>315</v>
      </c>
      <c r="P1407" s="2" t="s">
        <v>52</v>
      </c>
      <c r="Q1407" s="4" t="s">
        <v>2546</v>
      </c>
    </row>
    <row r="1408" spans="1:17" x14ac:dyDescent="0.2">
      <c r="A1408" s="2" t="s">
        <v>2547</v>
      </c>
      <c r="B1408" s="2" t="s">
        <v>18</v>
      </c>
      <c r="C1408" s="2" t="s">
        <v>218</v>
      </c>
      <c r="D1408" s="2" t="s">
        <v>20</v>
      </c>
      <c r="E1408" s="3">
        <v>98310</v>
      </c>
      <c r="F1408" s="4" t="s">
        <v>371</v>
      </c>
      <c r="G1408" s="2" t="s">
        <v>1066</v>
      </c>
      <c r="H1408" s="2" t="s">
        <v>2510</v>
      </c>
      <c r="I1408" s="2" t="s">
        <v>24</v>
      </c>
      <c r="J1408" s="2" t="s">
        <v>213</v>
      </c>
      <c r="K1408" s="4" t="s">
        <v>2527</v>
      </c>
      <c r="L1408" s="4" t="s">
        <v>27</v>
      </c>
      <c r="M1408" s="4" t="s">
        <v>28</v>
      </c>
      <c r="N1408" s="5">
        <v>474007551</v>
      </c>
      <c r="O1408" s="2" t="s">
        <v>743</v>
      </c>
      <c r="P1408" s="2" t="s">
        <v>30</v>
      </c>
      <c r="Q1408" s="4" t="s">
        <v>744</v>
      </c>
    </row>
    <row r="1409" spans="1:17" hidden="1" x14ac:dyDescent="0.2">
      <c r="A1409" s="2" t="s">
        <v>2548</v>
      </c>
      <c r="B1409" s="2" t="s">
        <v>151</v>
      </c>
      <c r="C1409" s="2" t="s">
        <v>152</v>
      </c>
      <c r="D1409" s="2" t="s">
        <v>20</v>
      </c>
      <c r="E1409" s="3">
        <v>98502</v>
      </c>
      <c r="F1409" s="4" t="s">
        <v>121</v>
      </c>
      <c r="G1409" s="2" t="s">
        <v>1066</v>
      </c>
      <c r="H1409" s="2" t="s">
        <v>2535</v>
      </c>
      <c r="I1409" s="2" t="s">
        <v>212</v>
      </c>
      <c r="J1409" s="2" t="s">
        <v>298</v>
      </c>
      <c r="K1409" s="4" t="s">
        <v>27</v>
      </c>
      <c r="L1409" s="4" t="s">
        <v>27</v>
      </c>
      <c r="M1409" s="4" t="s">
        <v>255</v>
      </c>
      <c r="N1409" s="5">
        <v>276359226</v>
      </c>
      <c r="O1409" s="2" t="s">
        <v>337</v>
      </c>
      <c r="P1409" s="2" t="s">
        <v>30</v>
      </c>
      <c r="Q1409" s="4" t="s">
        <v>570</v>
      </c>
    </row>
    <row r="1410" spans="1:17" hidden="1" x14ac:dyDescent="0.2">
      <c r="A1410" s="2" t="s">
        <v>2549</v>
      </c>
      <c r="B1410" s="2" t="s">
        <v>151</v>
      </c>
      <c r="C1410" s="2" t="s">
        <v>566</v>
      </c>
      <c r="D1410" s="2" t="s">
        <v>20</v>
      </c>
      <c r="E1410" s="3">
        <v>98503</v>
      </c>
      <c r="F1410" s="4" t="s">
        <v>121</v>
      </c>
      <c r="G1410" s="2" t="s">
        <v>1066</v>
      </c>
      <c r="H1410" s="2" t="s">
        <v>2535</v>
      </c>
      <c r="I1410" s="2" t="s">
        <v>212</v>
      </c>
      <c r="J1410" s="2" t="s">
        <v>298</v>
      </c>
      <c r="K1410" s="4" t="s">
        <v>27</v>
      </c>
      <c r="L1410" s="4" t="s">
        <v>27</v>
      </c>
      <c r="M1410" s="4" t="s">
        <v>90</v>
      </c>
      <c r="N1410" s="5">
        <v>258129413</v>
      </c>
      <c r="O1410" s="2" t="s">
        <v>567</v>
      </c>
      <c r="P1410" s="2" t="s">
        <v>30</v>
      </c>
      <c r="Q1410" s="4" t="s">
        <v>2351</v>
      </c>
    </row>
    <row r="1411" spans="1:17" hidden="1" x14ac:dyDescent="0.2">
      <c r="A1411" s="2" t="s">
        <v>2550</v>
      </c>
      <c r="B1411" s="2" t="s">
        <v>33</v>
      </c>
      <c r="C1411" s="2" t="s">
        <v>83</v>
      </c>
      <c r="D1411" s="2" t="s">
        <v>20</v>
      </c>
      <c r="E1411" s="3">
        <v>98117</v>
      </c>
      <c r="F1411" s="4" t="s">
        <v>408</v>
      </c>
      <c r="G1411" s="2" t="s">
        <v>1066</v>
      </c>
      <c r="H1411" s="2" t="s">
        <v>2510</v>
      </c>
      <c r="I1411" s="2" t="s">
        <v>212</v>
      </c>
      <c r="J1411" s="2" t="s">
        <v>213</v>
      </c>
      <c r="K1411" s="4" t="s">
        <v>2551</v>
      </c>
      <c r="L1411" s="4" t="s">
        <v>27</v>
      </c>
      <c r="M1411" s="4" t="s">
        <v>84</v>
      </c>
      <c r="N1411" s="5">
        <v>195483557</v>
      </c>
      <c r="O1411" s="2" t="s">
        <v>622</v>
      </c>
      <c r="P1411" s="2" t="s">
        <v>86</v>
      </c>
      <c r="Q1411" s="4" t="s">
        <v>1209</v>
      </c>
    </row>
    <row r="1412" spans="1:17" x14ac:dyDescent="0.2">
      <c r="A1412" s="2" t="s">
        <v>2552</v>
      </c>
      <c r="B1412" s="2" t="s">
        <v>33</v>
      </c>
      <c r="C1412" s="2" t="s">
        <v>83</v>
      </c>
      <c r="D1412" s="2" t="s">
        <v>20</v>
      </c>
      <c r="E1412" s="3">
        <v>98125</v>
      </c>
      <c r="F1412" s="4" t="s">
        <v>408</v>
      </c>
      <c r="G1412" s="2" t="s">
        <v>1066</v>
      </c>
      <c r="H1412" s="2" t="s">
        <v>2510</v>
      </c>
      <c r="I1412" s="2" t="s">
        <v>24</v>
      </c>
      <c r="J1412" s="2" t="s">
        <v>213</v>
      </c>
      <c r="K1412" s="4" t="s">
        <v>2553</v>
      </c>
      <c r="L1412" s="4" t="s">
        <v>27</v>
      </c>
      <c r="M1412" s="4" t="s">
        <v>278</v>
      </c>
      <c r="N1412" s="5">
        <v>172447362</v>
      </c>
      <c r="O1412" s="2" t="s">
        <v>279</v>
      </c>
      <c r="P1412" s="2" t="s">
        <v>86</v>
      </c>
      <c r="Q1412" s="4" t="s">
        <v>613</v>
      </c>
    </row>
    <row r="1413" spans="1:17" x14ac:dyDescent="0.2">
      <c r="A1413" s="2" t="s">
        <v>2554</v>
      </c>
      <c r="B1413" s="2" t="s">
        <v>688</v>
      </c>
      <c r="C1413" s="2" t="s">
        <v>2555</v>
      </c>
      <c r="D1413" s="2" t="s">
        <v>20</v>
      </c>
      <c r="E1413" s="3">
        <v>98248</v>
      </c>
      <c r="F1413" s="4" t="s">
        <v>273</v>
      </c>
      <c r="G1413" s="2" t="s">
        <v>1078</v>
      </c>
      <c r="H1413" s="2" t="s">
        <v>2556</v>
      </c>
      <c r="I1413" s="2" t="s">
        <v>24</v>
      </c>
      <c r="J1413" s="2" t="s">
        <v>25</v>
      </c>
      <c r="K1413" s="4" t="s">
        <v>177</v>
      </c>
      <c r="L1413" s="4" t="s">
        <v>27</v>
      </c>
      <c r="M1413" s="4" t="s">
        <v>690</v>
      </c>
      <c r="N1413" s="5">
        <v>109066233</v>
      </c>
      <c r="O1413" s="2" t="s">
        <v>2557</v>
      </c>
      <c r="P1413" s="2" t="s">
        <v>692</v>
      </c>
      <c r="Q1413" s="4" t="s">
        <v>2558</v>
      </c>
    </row>
    <row r="1414" spans="1:17" hidden="1" x14ac:dyDescent="0.2">
      <c r="A1414" s="2" t="s">
        <v>2559</v>
      </c>
      <c r="B1414" s="2" t="s">
        <v>40</v>
      </c>
      <c r="C1414" s="2" t="s">
        <v>1908</v>
      </c>
      <c r="D1414" s="2" t="s">
        <v>20</v>
      </c>
      <c r="E1414" s="3">
        <v>98020</v>
      </c>
      <c r="F1414" s="4" t="s">
        <v>209</v>
      </c>
      <c r="G1414" s="2" t="s">
        <v>1078</v>
      </c>
      <c r="H1414" s="2" t="s">
        <v>2560</v>
      </c>
      <c r="I1414" s="2" t="s">
        <v>212</v>
      </c>
      <c r="J1414" s="2" t="s">
        <v>213</v>
      </c>
      <c r="K1414" s="4" t="s">
        <v>934</v>
      </c>
      <c r="L1414" s="4" t="s">
        <v>27</v>
      </c>
      <c r="M1414" s="4" t="s">
        <v>74</v>
      </c>
      <c r="N1414" s="5">
        <v>146731322</v>
      </c>
      <c r="O1414" s="2" t="s">
        <v>269</v>
      </c>
      <c r="P1414" s="2" t="s">
        <v>30</v>
      </c>
      <c r="Q1414" s="4" t="s">
        <v>1909</v>
      </c>
    </row>
    <row r="1415" spans="1:17" hidden="1" x14ac:dyDescent="0.2">
      <c r="A1415" s="2" t="s">
        <v>2561</v>
      </c>
      <c r="B1415" s="2" t="s">
        <v>151</v>
      </c>
      <c r="C1415" s="2" t="s">
        <v>152</v>
      </c>
      <c r="D1415" s="2" t="s">
        <v>20</v>
      </c>
      <c r="E1415" s="3">
        <v>98512</v>
      </c>
      <c r="F1415" s="4" t="s">
        <v>219</v>
      </c>
      <c r="G1415" s="2" t="s">
        <v>1078</v>
      </c>
      <c r="H1415" s="2" t="s">
        <v>2560</v>
      </c>
      <c r="I1415" s="2" t="s">
        <v>212</v>
      </c>
      <c r="J1415" s="2" t="s">
        <v>213</v>
      </c>
      <c r="K1415" s="4" t="s">
        <v>934</v>
      </c>
      <c r="L1415" s="4" t="s">
        <v>27</v>
      </c>
      <c r="M1415" s="4" t="s">
        <v>255</v>
      </c>
      <c r="N1415" s="5">
        <v>100195742</v>
      </c>
      <c r="O1415" s="2" t="s">
        <v>256</v>
      </c>
      <c r="P1415" s="2" t="s">
        <v>30</v>
      </c>
      <c r="Q1415" s="4" t="s">
        <v>2562</v>
      </c>
    </row>
    <row r="1416" spans="1:17" hidden="1" x14ac:dyDescent="0.2">
      <c r="A1416" s="2" t="s">
        <v>2563</v>
      </c>
      <c r="B1416" s="2" t="s">
        <v>40</v>
      </c>
      <c r="C1416" s="2" t="s">
        <v>1385</v>
      </c>
      <c r="D1416" s="2" t="s">
        <v>20</v>
      </c>
      <c r="E1416" s="3">
        <v>98272</v>
      </c>
      <c r="F1416" s="4" t="s">
        <v>209</v>
      </c>
      <c r="G1416" s="2" t="s">
        <v>2564</v>
      </c>
      <c r="H1416" s="2" t="s">
        <v>2565</v>
      </c>
      <c r="I1416" s="2" t="s">
        <v>212</v>
      </c>
      <c r="J1416" s="2" t="s">
        <v>213</v>
      </c>
      <c r="K1416" s="4" t="s">
        <v>2566</v>
      </c>
      <c r="L1416" s="4" t="s">
        <v>27</v>
      </c>
      <c r="M1416" s="4" t="s">
        <v>44</v>
      </c>
      <c r="N1416" s="5">
        <v>329175486</v>
      </c>
      <c r="O1416" s="2" t="s">
        <v>1386</v>
      </c>
      <c r="P1416" s="2" t="s">
        <v>30</v>
      </c>
      <c r="Q1416" s="4" t="s">
        <v>2452</v>
      </c>
    </row>
    <row r="1417" spans="1:17" hidden="1" x14ac:dyDescent="0.2">
      <c r="A1417" s="2" t="s">
        <v>2567</v>
      </c>
      <c r="B1417" s="2" t="s">
        <v>18</v>
      </c>
      <c r="C1417" s="2" t="s">
        <v>218</v>
      </c>
      <c r="D1417" s="2" t="s">
        <v>20</v>
      </c>
      <c r="E1417" s="3">
        <v>98311</v>
      </c>
      <c r="F1417" s="4" t="s">
        <v>209</v>
      </c>
      <c r="G1417" s="2" t="s">
        <v>2564</v>
      </c>
      <c r="H1417" s="2" t="s">
        <v>2565</v>
      </c>
      <c r="I1417" s="2" t="s">
        <v>212</v>
      </c>
      <c r="J1417" s="2" t="s">
        <v>213</v>
      </c>
      <c r="K1417" s="4" t="s">
        <v>2566</v>
      </c>
      <c r="L1417" s="4" t="s">
        <v>27</v>
      </c>
      <c r="M1417" s="4" t="s">
        <v>28</v>
      </c>
      <c r="N1417" s="5">
        <v>6051475</v>
      </c>
      <c r="O1417" s="2" t="s">
        <v>222</v>
      </c>
      <c r="P1417" s="2" t="s">
        <v>30</v>
      </c>
      <c r="Q1417" s="4" t="s">
        <v>2568</v>
      </c>
    </row>
    <row r="1418" spans="1:17" hidden="1" x14ac:dyDescent="0.2">
      <c r="A1418" s="2" t="s">
        <v>2569</v>
      </c>
      <c r="B1418" s="2" t="s">
        <v>33</v>
      </c>
      <c r="C1418" s="2" t="s">
        <v>169</v>
      </c>
      <c r="D1418" s="2" t="s">
        <v>20</v>
      </c>
      <c r="E1418" s="3">
        <v>98034</v>
      </c>
      <c r="F1418" s="4" t="s">
        <v>273</v>
      </c>
      <c r="G1418" s="2" t="s">
        <v>2564</v>
      </c>
      <c r="H1418" s="2" t="s">
        <v>2565</v>
      </c>
      <c r="I1418" s="2" t="s">
        <v>212</v>
      </c>
      <c r="J1418" s="2" t="s">
        <v>213</v>
      </c>
      <c r="K1418" s="4" t="s">
        <v>2413</v>
      </c>
      <c r="L1418" s="4" t="s">
        <v>27</v>
      </c>
      <c r="M1418" s="4" t="s">
        <v>198</v>
      </c>
      <c r="N1418" s="5">
        <v>133639404</v>
      </c>
      <c r="O1418" s="2" t="s">
        <v>171</v>
      </c>
      <c r="P1418" s="2" t="s">
        <v>37</v>
      </c>
      <c r="Q1418" s="4" t="s">
        <v>733</v>
      </c>
    </row>
    <row r="1419" spans="1:17" hidden="1" x14ac:dyDescent="0.2">
      <c r="A1419" s="2" t="s">
        <v>2570</v>
      </c>
      <c r="B1419" s="2" t="s">
        <v>151</v>
      </c>
      <c r="C1419" s="2" t="s">
        <v>566</v>
      </c>
      <c r="D1419" s="2" t="s">
        <v>20</v>
      </c>
      <c r="E1419" s="3">
        <v>98503</v>
      </c>
      <c r="F1419" s="4" t="s">
        <v>371</v>
      </c>
      <c r="G1419" s="2" t="s">
        <v>2564</v>
      </c>
      <c r="H1419" s="2" t="s">
        <v>2571</v>
      </c>
      <c r="I1419" s="2" t="s">
        <v>212</v>
      </c>
      <c r="J1419" s="2" t="s">
        <v>213</v>
      </c>
      <c r="K1419" s="4" t="s">
        <v>2413</v>
      </c>
      <c r="L1419" s="4" t="s">
        <v>27</v>
      </c>
      <c r="M1419" s="4" t="s">
        <v>90</v>
      </c>
      <c r="N1419" s="5">
        <v>248881202</v>
      </c>
      <c r="O1419" s="2" t="s">
        <v>567</v>
      </c>
      <c r="P1419" s="2" t="s">
        <v>30</v>
      </c>
      <c r="Q1419" s="4" t="s">
        <v>225</v>
      </c>
    </row>
    <row r="1420" spans="1:17" hidden="1" x14ac:dyDescent="0.2">
      <c r="A1420" s="2" t="s">
        <v>2572</v>
      </c>
      <c r="B1420" s="2" t="s">
        <v>55</v>
      </c>
      <c r="C1420" s="2" t="s">
        <v>63</v>
      </c>
      <c r="D1420" s="2" t="s">
        <v>20</v>
      </c>
      <c r="E1420" s="3">
        <v>98686</v>
      </c>
      <c r="F1420" s="4" t="s">
        <v>21</v>
      </c>
      <c r="G1420" s="2" t="s">
        <v>2573</v>
      </c>
      <c r="H1420" s="2" t="s">
        <v>2574</v>
      </c>
      <c r="I1420" s="2" t="s">
        <v>212</v>
      </c>
      <c r="J1420" s="2" t="s">
        <v>298</v>
      </c>
      <c r="K1420" s="4" t="s">
        <v>27</v>
      </c>
      <c r="L1420" s="4" t="s">
        <v>27</v>
      </c>
      <c r="M1420" s="4" t="s">
        <v>191</v>
      </c>
      <c r="N1420" s="5">
        <v>228707230</v>
      </c>
      <c r="O1420" s="2" t="s">
        <v>1145</v>
      </c>
      <c r="P1420" s="2" t="s">
        <v>60</v>
      </c>
      <c r="Q1420" s="4" t="s">
        <v>2494</v>
      </c>
    </row>
    <row r="1421" spans="1:17" hidden="1" x14ac:dyDescent="0.2">
      <c r="A1421" s="2" t="s">
        <v>2575</v>
      </c>
      <c r="B1421" s="2" t="s">
        <v>207</v>
      </c>
      <c r="C1421" s="2" t="s">
        <v>499</v>
      </c>
      <c r="D1421" s="2" t="s">
        <v>20</v>
      </c>
      <c r="E1421" s="3">
        <v>98221</v>
      </c>
      <c r="F1421" s="4" t="s">
        <v>57</v>
      </c>
      <c r="G1421" s="2" t="s">
        <v>2573</v>
      </c>
      <c r="H1421" s="2" t="s">
        <v>2574</v>
      </c>
      <c r="I1421" s="2" t="s">
        <v>212</v>
      </c>
      <c r="J1421" s="2" t="s">
        <v>298</v>
      </c>
      <c r="K1421" s="4" t="s">
        <v>27</v>
      </c>
      <c r="L1421" s="4" t="s">
        <v>27</v>
      </c>
      <c r="M1421" s="4" t="s">
        <v>409</v>
      </c>
      <c r="N1421" s="5">
        <v>227423367</v>
      </c>
      <c r="O1421" s="2" t="s">
        <v>500</v>
      </c>
      <c r="P1421" s="2" t="s">
        <v>30</v>
      </c>
      <c r="Q1421" s="4" t="s">
        <v>2576</v>
      </c>
    </row>
    <row r="1422" spans="1:17" hidden="1" x14ac:dyDescent="0.2">
      <c r="A1422" s="2" t="s">
        <v>2577</v>
      </c>
      <c r="B1422" s="2" t="s">
        <v>40</v>
      </c>
      <c r="C1422" s="2" t="s">
        <v>268</v>
      </c>
      <c r="D1422" s="2" t="s">
        <v>20</v>
      </c>
      <c r="E1422" s="3">
        <v>98020</v>
      </c>
      <c r="F1422" s="4" t="s">
        <v>57</v>
      </c>
      <c r="G1422" s="2" t="s">
        <v>2573</v>
      </c>
      <c r="H1422" s="2" t="s">
        <v>2574</v>
      </c>
      <c r="I1422" s="2" t="s">
        <v>212</v>
      </c>
      <c r="J1422" s="2" t="s">
        <v>298</v>
      </c>
      <c r="K1422" s="4" t="s">
        <v>27</v>
      </c>
      <c r="L1422" s="4" t="s">
        <v>27</v>
      </c>
      <c r="M1422" s="4" t="s">
        <v>26</v>
      </c>
      <c r="N1422" s="5">
        <v>170921376</v>
      </c>
      <c r="O1422" s="2" t="s">
        <v>269</v>
      </c>
      <c r="P1422" s="2" t="s">
        <v>30</v>
      </c>
      <c r="Q1422" s="4" t="s">
        <v>2578</v>
      </c>
    </row>
    <row r="1423" spans="1:17" hidden="1" x14ac:dyDescent="0.2">
      <c r="A1423" s="2" t="s">
        <v>2579</v>
      </c>
      <c r="B1423" s="2" t="s">
        <v>40</v>
      </c>
      <c r="C1423" s="2" t="s">
        <v>383</v>
      </c>
      <c r="D1423" s="2" t="s">
        <v>20</v>
      </c>
      <c r="E1423" s="3">
        <v>98201</v>
      </c>
      <c r="F1423" s="4" t="s">
        <v>21</v>
      </c>
      <c r="G1423" s="2" t="s">
        <v>2573</v>
      </c>
      <c r="H1423" s="2" t="s">
        <v>2574</v>
      </c>
      <c r="I1423" s="2" t="s">
        <v>212</v>
      </c>
      <c r="J1423" s="2" t="s">
        <v>298</v>
      </c>
      <c r="K1423" s="4" t="s">
        <v>27</v>
      </c>
      <c r="L1423" s="4" t="s">
        <v>27</v>
      </c>
      <c r="M1423" s="4" t="s">
        <v>274</v>
      </c>
      <c r="N1423" s="5">
        <v>220413119</v>
      </c>
      <c r="O1423" s="2" t="s">
        <v>1161</v>
      </c>
      <c r="P1423" s="2" t="s">
        <v>30</v>
      </c>
      <c r="Q1423" s="4" t="s">
        <v>1349</v>
      </c>
    </row>
    <row r="1424" spans="1:17" hidden="1" x14ac:dyDescent="0.2">
      <c r="A1424" s="2" t="s">
        <v>2580</v>
      </c>
      <c r="B1424" s="2" t="s">
        <v>33</v>
      </c>
      <c r="C1424" s="2" t="s">
        <v>83</v>
      </c>
      <c r="D1424" s="2" t="s">
        <v>20</v>
      </c>
      <c r="E1424" s="3">
        <v>98177</v>
      </c>
      <c r="F1424" s="4" t="s">
        <v>57</v>
      </c>
      <c r="G1424" s="2" t="s">
        <v>2573</v>
      </c>
      <c r="H1424" s="2" t="s">
        <v>2574</v>
      </c>
      <c r="I1424" s="2" t="s">
        <v>212</v>
      </c>
      <c r="J1424" s="2" t="s">
        <v>298</v>
      </c>
      <c r="K1424" s="4" t="s">
        <v>27</v>
      </c>
      <c r="L1424" s="4" t="s">
        <v>27</v>
      </c>
      <c r="M1424" s="4" t="s">
        <v>74</v>
      </c>
      <c r="N1424" s="5">
        <v>212057296</v>
      </c>
      <c r="O1424" s="2" t="s">
        <v>85</v>
      </c>
      <c r="P1424" s="2" t="s">
        <v>86</v>
      </c>
      <c r="Q1424" s="4" t="s">
        <v>1276</v>
      </c>
    </row>
    <row r="1425" spans="1:17" hidden="1" x14ac:dyDescent="0.2">
      <c r="A1425" s="2" t="s">
        <v>2581</v>
      </c>
      <c r="B1425" s="2" t="s">
        <v>33</v>
      </c>
      <c r="C1425" s="2" t="s">
        <v>318</v>
      </c>
      <c r="D1425" s="2" t="s">
        <v>20</v>
      </c>
      <c r="E1425" s="3">
        <v>98146</v>
      </c>
      <c r="F1425" s="4" t="s">
        <v>42</v>
      </c>
      <c r="G1425" s="2" t="s">
        <v>2573</v>
      </c>
      <c r="H1425" s="2" t="s">
        <v>2574</v>
      </c>
      <c r="I1425" s="2" t="s">
        <v>212</v>
      </c>
      <c r="J1425" s="2" t="s">
        <v>213</v>
      </c>
      <c r="K1425" s="4" t="s">
        <v>2582</v>
      </c>
      <c r="L1425" s="4" t="s">
        <v>27</v>
      </c>
      <c r="M1425" s="4" t="s">
        <v>319</v>
      </c>
      <c r="N1425" s="5">
        <v>132419542</v>
      </c>
      <c r="O1425" s="2" t="s">
        <v>543</v>
      </c>
      <c r="P1425" s="2" t="s">
        <v>86</v>
      </c>
      <c r="Q1425" s="4" t="s">
        <v>544</v>
      </c>
    </row>
    <row r="1426" spans="1:17" hidden="1" x14ac:dyDescent="0.2">
      <c r="A1426" s="2" t="s">
        <v>2583</v>
      </c>
      <c r="B1426" s="2" t="s">
        <v>33</v>
      </c>
      <c r="C1426" s="2" t="s">
        <v>186</v>
      </c>
      <c r="D1426" s="2" t="s">
        <v>20</v>
      </c>
      <c r="E1426" s="3">
        <v>98003</v>
      </c>
      <c r="F1426" s="4" t="s">
        <v>42</v>
      </c>
      <c r="G1426" s="2" t="s">
        <v>2573</v>
      </c>
      <c r="H1426" s="2" t="s">
        <v>2574</v>
      </c>
      <c r="I1426" s="2" t="s">
        <v>212</v>
      </c>
      <c r="J1426" s="2" t="s">
        <v>213</v>
      </c>
      <c r="K1426" s="4" t="s">
        <v>2582</v>
      </c>
      <c r="L1426" s="4" t="s">
        <v>27</v>
      </c>
      <c r="M1426" s="4" t="s">
        <v>187</v>
      </c>
      <c r="N1426" s="5">
        <v>124684318</v>
      </c>
      <c r="O1426" s="2" t="s">
        <v>458</v>
      </c>
      <c r="P1426" s="2" t="s">
        <v>37</v>
      </c>
      <c r="Q1426" s="4" t="s">
        <v>1477</v>
      </c>
    </row>
    <row r="1427" spans="1:17" x14ac:dyDescent="0.2">
      <c r="A1427" s="2" t="s">
        <v>2584</v>
      </c>
      <c r="B1427" s="2" t="s">
        <v>110</v>
      </c>
      <c r="C1427" s="2" t="s">
        <v>477</v>
      </c>
      <c r="D1427" s="2" t="s">
        <v>20</v>
      </c>
      <c r="E1427" s="3">
        <v>98499</v>
      </c>
      <c r="F1427" s="4" t="s">
        <v>57</v>
      </c>
      <c r="G1427" s="2" t="s">
        <v>2573</v>
      </c>
      <c r="H1427" s="2" t="s">
        <v>2585</v>
      </c>
      <c r="I1427" s="2" t="s">
        <v>24</v>
      </c>
      <c r="J1427" s="2" t="s">
        <v>25</v>
      </c>
      <c r="K1427" s="4" t="s">
        <v>64</v>
      </c>
      <c r="L1427" s="4" t="s">
        <v>27</v>
      </c>
      <c r="M1427" s="4" t="s">
        <v>478</v>
      </c>
      <c r="N1427" s="5">
        <v>152434054</v>
      </c>
      <c r="O1427" s="2" t="s">
        <v>2586</v>
      </c>
      <c r="P1427" s="2" t="s">
        <v>2587</v>
      </c>
      <c r="Q1427" s="4" t="s">
        <v>2588</v>
      </c>
    </row>
    <row r="1428" spans="1:17" hidden="1" x14ac:dyDescent="0.2">
      <c r="A1428" s="2" t="s">
        <v>2589</v>
      </c>
      <c r="B1428" s="2" t="s">
        <v>33</v>
      </c>
      <c r="C1428" s="2" t="s">
        <v>139</v>
      </c>
      <c r="D1428" s="2" t="s">
        <v>20</v>
      </c>
      <c r="E1428" s="3">
        <v>98055</v>
      </c>
      <c r="F1428" s="4" t="s">
        <v>57</v>
      </c>
      <c r="G1428" s="2" t="s">
        <v>2590</v>
      </c>
      <c r="H1428" s="2" t="s">
        <v>2591</v>
      </c>
      <c r="I1428" s="2" t="s">
        <v>212</v>
      </c>
      <c r="J1428" s="2" t="s">
        <v>298</v>
      </c>
      <c r="K1428" s="4" t="s">
        <v>27</v>
      </c>
      <c r="L1428" s="4" t="s">
        <v>27</v>
      </c>
      <c r="M1428" s="4" t="s">
        <v>909</v>
      </c>
      <c r="N1428" s="5">
        <v>190724572</v>
      </c>
      <c r="O1428" s="2" t="s">
        <v>889</v>
      </c>
      <c r="P1428" s="2" t="s">
        <v>37</v>
      </c>
      <c r="Q1428" s="4" t="s">
        <v>2592</v>
      </c>
    </row>
    <row r="1429" spans="1:17" hidden="1" x14ac:dyDescent="0.2">
      <c r="A1429" s="2" t="s">
        <v>2593</v>
      </c>
      <c r="B1429" s="2" t="s">
        <v>33</v>
      </c>
      <c r="C1429" s="2" t="s">
        <v>34</v>
      </c>
      <c r="D1429" s="2" t="s">
        <v>20</v>
      </c>
      <c r="E1429" s="3">
        <v>98029</v>
      </c>
      <c r="F1429" s="4" t="s">
        <v>21</v>
      </c>
      <c r="G1429" s="2" t="s">
        <v>2590</v>
      </c>
      <c r="H1429" s="2" t="s">
        <v>2591</v>
      </c>
      <c r="I1429" s="2" t="s">
        <v>212</v>
      </c>
      <c r="J1429" s="2" t="s">
        <v>298</v>
      </c>
      <c r="K1429" s="4" t="s">
        <v>27</v>
      </c>
      <c r="L1429" s="4" t="s">
        <v>27</v>
      </c>
      <c r="M1429" s="4" t="s">
        <v>35</v>
      </c>
      <c r="N1429" s="5">
        <v>265071831</v>
      </c>
      <c r="O1429" s="2" t="s">
        <v>795</v>
      </c>
      <c r="P1429" s="2" t="s">
        <v>37</v>
      </c>
      <c r="Q1429" s="4" t="s">
        <v>1100</v>
      </c>
    </row>
    <row r="1430" spans="1:17" hidden="1" x14ac:dyDescent="0.2">
      <c r="A1430" s="2" t="s">
        <v>2594</v>
      </c>
      <c r="B1430" s="2" t="s">
        <v>33</v>
      </c>
      <c r="C1430" s="2" t="s">
        <v>669</v>
      </c>
      <c r="D1430" s="2" t="s">
        <v>20</v>
      </c>
      <c r="E1430" s="3">
        <v>98053</v>
      </c>
      <c r="F1430" s="4" t="s">
        <v>401</v>
      </c>
      <c r="G1430" s="2" t="s">
        <v>2590</v>
      </c>
      <c r="H1430" s="2" t="s">
        <v>2591</v>
      </c>
      <c r="I1430" s="2" t="s">
        <v>212</v>
      </c>
      <c r="J1430" s="2" t="s">
        <v>213</v>
      </c>
      <c r="K1430" s="4" t="s">
        <v>2595</v>
      </c>
      <c r="L1430" s="4" t="s">
        <v>27</v>
      </c>
      <c r="M1430" s="4" t="s">
        <v>198</v>
      </c>
      <c r="N1430" s="5">
        <v>172399524</v>
      </c>
      <c r="O1430" s="2" t="s">
        <v>1002</v>
      </c>
      <c r="P1430" s="2" t="s">
        <v>37</v>
      </c>
      <c r="Q1430" s="4" t="s">
        <v>1003</v>
      </c>
    </row>
    <row r="1431" spans="1:17" hidden="1" x14ac:dyDescent="0.2">
      <c r="A1431" s="2" t="s">
        <v>2596</v>
      </c>
      <c r="B1431" s="2" t="s">
        <v>33</v>
      </c>
      <c r="C1431" s="2" t="s">
        <v>451</v>
      </c>
      <c r="D1431" s="2" t="s">
        <v>20</v>
      </c>
      <c r="E1431" s="3">
        <v>98075</v>
      </c>
      <c r="F1431" s="4" t="s">
        <v>57</v>
      </c>
      <c r="G1431" s="2" t="s">
        <v>2590</v>
      </c>
      <c r="H1431" s="2" t="s">
        <v>2591</v>
      </c>
      <c r="I1431" s="2" t="s">
        <v>212</v>
      </c>
      <c r="J1431" s="2" t="s">
        <v>298</v>
      </c>
      <c r="K1431" s="4" t="s">
        <v>27</v>
      </c>
      <c r="L1431" s="4" t="s">
        <v>27</v>
      </c>
      <c r="M1431" s="4" t="s">
        <v>403</v>
      </c>
      <c r="N1431" s="5">
        <v>187401063</v>
      </c>
      <c r="O1431" s="2" t="s">
        <v>452</v>
      </c>
      <c r="P1431" s="2" t="s">
        <v>37</v>
      </c>
      <c r="Q1431" s="4" t="s">
        <v>714</v>
      </c>
    </row>
    <row r="1432" spans="1:17" hidden="1" x14ac:dyDescent="0.2">
      <c r="A1432" s="2" t="s">
        <v>2597</v>
      </c>
      <c r="B1432" s="2" t="s">
        <v>33</v>
      </c>
      <c r="C1432" s="2" t="s">
        <v>34</v>
      </c>
      <c r="D1432" s="2" t="s">
        <v>20</v>
      </c>
      <c r="E1432" s="3">
        <v>98029</v>
      </c>
      <c r="F1432" s="4" t="s">
        <v>57</v>
      </c>
      <c r="G1432" s="2" t="s">
        <v>2590</v>
      </c>
      <c r="H1432" s="2" t="s">
        <v>2591</v>
      </c>
      <c r="I1432" s="2" t="s">
        <v>212</v>
      </c>
      <c r="J1432" s="2" t="s">
        <v>298</v>
      </c>
      <c r="K1432" s="4" t="s">
        <v>27</v>
      </c>
      <c r="L1432" s="4" t="s">
        <v>27</v>
      </c>
      <c r="M1432" s="4" t="s">
        <v>35</v>
      </c>
      <c r="N1432" s="5">
        <v>207729021</v>
      </c>
      <c r="O1432" s="2" t="s">
        <v>795</v>
      </c>
      <c r="P1432" s="2" t="s">
        <v>37</v>
      </c>
      <c r="Q1432" s="4" t="s">
        <v>796</v>
      </c>
    </row>
    <row r="1433" spans="1:17" hidden="1" x14ac:dyDescent="0.2">
      <c r="A1433" s="2" t="s">
        <v>2598</v>
      </c>
      <c r="B1433" s="2" t="s">
        <v>33</v>
      </c>
      <c r="C1433" s="2" t="s">
        <v>34</v>
      </c>
      <c r="D1433" s="2" t="s">
        <v>20</v>
      </c>
      <c r="E1433" s="3">
        <v>98029</v>
      </c>
      <c r="F1433" s="4" t="s">
        <v>21</v>
      </c>
      <c r="G1433" s="2" t="s">
        <v>2590</v>
      </c>
      <c r="H1433" s="2" t="s">
        <v>2591</v>
      </c>
      <c r="I1433" s="2" t="s">
        <v>212</v>
      </c>
      <c r="J1433" s="2" t="s">
        <v>298</v>
      </c>
      <c r="K1433" s="4" t="s">
        <v>27</v>
      </c>
      <c r="L1433" s="4" t="s">
        <v>27</v>
      </c>
      <c r="M1433" s="4" t="s">
        <v>35</v>
      </c>
      <c r="N1433" s="5">
        <v>258852604</v>
      </c>
      <c r="O1433" s="2" t="s">
        <v>795</v>
      </c>
      <c r="P1433" s="2" t="s">
        <v>37</v>
      </c>
      <c r="Q1433" s="4" t="s">
        <v>1100</v>
      </c>
    </row>
    <row r="1434" spans="1:17" x14ac:dyDescent="0.2">
      <c r="A1434" s="2" t="s">
        <v>2599</v>
      </c>
      <c r="B1434" s="2" t="s">
        <v>33</v>
      </c>
      <c r="C1434" s="2" t="s">
        <v>169</v>
      </c>
      <c r="D1434" s="2" t="s">
        <v>20</v>
      </c>
      <c r="E1434" s="3">
        <v>98033</v>
      </c>
      <c r="F1434" s="4" t="s">
        <v>371</v>
      </c>
      <c r="G1434" s="2" t="s">
        <v>2590</v>
      </c>
      <c r="H1434" s="2" t="s">
        <v>2600</v>
      </c>
      <c r="I1434" s="2" t="s">
        <v>24</v>
      </c>
      <c r="J1434" s="2" t="s">
        <v>25</v>
      </c>
      <c r="K1434" s="4" t="s">
        <v>314</v>
      </c>
      <c r="L1434" s="4" t="s">
        <v>27</v>
      </c>
      <c r="M1434" s="4" t="s">
        <v>147</v>
      </c>
      <c r="N1434" s="5">
        <v>207668009</v>
      </c>
      <c r="O1434" s="2" t="s">
        <v>204</v>
      </c>
      <c r="P1434" s="2" t="s">
        <v>37</v>
      </c>
      <c r="Q1434" s="4" t="s">
        <v>1682</v>
      </c>
    </row>
    <row r="1435" spans="1:17" x14ac:dyDescent="0.2">
      <c r="A1435" s="2" t="s">
        <v>2601</v>
      </c>
      <c r="B1435" s="2" t="s">
        <v>40</v>
      </c>
      <c r="C1435" s="2" t="s">
        <v>383</v>
      </c>
      <c r="D1435" s="2" t="s">
        <v>20</v>
      </c>
      <c r="E1435" s="3">
        <v>98203</v>
      </c>
      <c r="F1435" s="4" t="s">
        <v>130</v>
      </c>
      <c r="G1435" s="2" t="s">
        <v>2590</v>
      </c>
      <c r="H1435" s="2" t="s">
        <v>2600</v>
      </c>
      <c r="I1435" s="2" t="s">
        <v>24</v>
      </c>
      <c r="J1435" s="2" t="s">
        <v>25</v>
      </c>
      <c r="K1435" s="4" t="s">
        <v>478</v>
      </c>
      <c r="L1435" s="4" t="s">
        <v>27</v>
      </c>
      <c r="M1435" s="4" t="s">
        <v>274</v>
      </c>
      <c r="N1435" s="5">
        <v>275868400</v>
      </c>
      <c r="O1435" s="2" t="s">
        <v>1347</v>
      </c>
      <c r="P1435" s="2" t="s">
        <v>30</v>
      </c>
      <c r="Q1435" s="4" t="s">
        <v>2602</v>
      </c>
    </row>
    <row r="1436" spans="1:17" hidden="1" x14ac:dyDescent="0.2">
      <c r="A1436" s="2" t="s">
        <v>2603</v>
      </c>
      <c r="B1436" s="2" t="s">
        <v>331</v>
      </c>
      <c r="C1436" s="2" t="s">
        <v>331</v>
      </c>
      <c r="D1436" s="2" t="s">
        <v>20</v>
      </c>
      <c r="E1436" s="3">
        <v>99223</v>
      </c>
      <c r="F1436" s="4" t="s">
        <v>21</v>
      </c>
      <c r="G1436" s="2" t="s">
        <v>2590</v>
      </c>
      <c r="H1436" s="2" t="s">
        <v>2591</v>
      </c>
      <c r="I1436" s="2" t="s">
        <v>212</v>
      </c>
      <c r="J1436" s="2" t="s">
        <v>298</v>
      </c>
      <c r="K1436" s="4" t="s">
        <v>27</v>
      </c>
      <c r="L1436" s="4" t="s">
        <v>27</v>
      </c>
      <c r="M1436" s="4" t="s">
        <v>332</v>
      </c>
      <c r="N1436" s="5">
        <v>238071382</v>
      </c>
      <c r="O1436" s="2" t="s">
        <v>773</v>
      </c>
      <c r="P1436" s="2" t="s">
        <v>334</v>
      </c>
      <c r="Q1436" s="4" t="s">
        <v>2604</v>
      </c>
    </row>
    <row r="1437" spans="1:17" x14ac:dyDescent="0.2">
      <c r="A1437" s="2" t="s">
        <v>2605</v>
      </c>
      <c r="B1437" s="2" t="s">
        <v>33</v>
      </c>
      <c r="C1437" s="2" t="s">
        <v>400</v>
      </c>
      <c r="D1437" s="2" t="s">
        <v>20</v>
      </c>
      <c r="E1437" s="3">
        <v>98040</v>
      </c>
      <c r="F1437" s="4" t="s">
        <v>371</v>
      </c>
      <c r="G1437" s="2" t="s">
        <v>2590</v>
      </c>
      <c r="H1437" s="2" t="s">
        <v>2600</v>
      </c>
      <c r="I1437" s="2" t="s">
        <v>24</v>
      </c>
      <c r="J1437" s="2" t="s">
        <v>25</v>
      </c>
      <c r="K1437" s="4" t="s">
        <v>323</v>
      </c>
      <c r="L1437" s="4" t="s">
        <v>2606</v>
      </c>
      <c r="M1437" s="4" t="s">
        <v>403</v>
      </c>
      <c r="N1437" s="5">
        <v>103328963</v>
      </c>
      <c r="O1437" s="2" t="s">
        <v>404</v>
      </c>
      <c r="P1437" s="2" t="s">
        <v>37</v>
      </c>
      <c r="Q1437" s="4" t="s">
        <v>1102</v>
      </c>
    </row>
    <row r="1438" spans="1:17" hidden="1" x14ac:dyDescent="0.2">
      <c r="A1438" s="2" t="s">
        <v>2607</v>
      </c>
      <c r="B1438" s="2" t="s">
        <v>33</v>
      </c>
      <c r="C1438" s="2" t="s">
        <v>83</v>
      </c>
      <c r="D1438" s="2" t="s">
        <v>20</v>
      </c>
      <c r="E1438" s="3">
        <v>98144</v>
      </c>
      <c r="F1438" s="4" t="s">
        <v>130</v>
      </c>
      <c r="G1438" s="2" t="s">
        <v>2590</v>
      </c>
      <c r="H1438" s="2" t="s">
        <v>2608</v>
      </c>
      <c r="I1438" s="2" t="s">
        <v>212</v>
      </c>
      <c r="J1438" s="2" t="s">
        <v>298</v>
      </c>
      <c r="K1438" s="4" t="s">
        <v>27</v>
      </c>
      <c r="L1438" s="4" t="s">
        <v>27</v>
      </c>
      <c r="M1438" s="4" t="s">
        <v>284</v>
      </c>
      <c r="N1438" s="5">
        <v>278745442</v>
      </c>
      <c r="O1438" s="2" t="s">
        <v>867</v>
      </c>
      <c r="P1438" s="2" t="s">
        <v>86</v>
      </c>
      <c r="Q1438" s="4" t="s">
        <v>996</v>
      </c>
    </row>
    <row r="1439" spans="1:17" x14ac:dyDescent="0.2">
      <c r="A1439" s="2" t="s">
        <v>2609</v>
      </c>
      <c r="B1439" s="2" t="s">
        <v>48</v>
      </c>
      <c r="C1439" s="2" t="s">
        <v>48</v>
      </c>
      <c r="D1439" s="2" t="s">
        <v>20</v>
      </c>
      <c r="E1439" s="3">
        <v>98903</v>
      </c>
      <c r="F1439" s="4" t="s">
        <v>401</v>
      </c>
      <c r="G1439" s="2" t="s">
        <v>2590</v>
      </c>
      <c r="H1439" s="2" t="s">
        <v>2610</v>
      </c>
      <c r="I1439" s="2" t="s">
        <v>24</v>
      </c>
      <c r="J1439" s="2" t="s">
        <v>25</v>
      </c>
      <c r="K1439" s="4" t="s">
        <v>323</v>
      </c>
      <c r="L1439" s="4" t="s">
        <v>2611</v>
      </c>
      <c r="M1439" s="4" t="s">
        <v>323</v>
      </c>
      <c r="N1439" s="5">
        <v>255472465</v>
      </c>
      <c r="O1439" s="2" t="s">
        <v>324</v>
      </c>
      <c r="P1439" s="2" t="s">
        <v>52</v>
      </c>
      <c r="Q1439" s="4" t="s">
        <v>325</v>
      </c>
    </row>
    <row r="1440" spans="1:17" x14ac:dyDescent="0.2">
      <c r="A1440" s="2" t="s">
        <v>2612</v>
      </c>
      <c r="B1440" s="2" t="s">
        <v>33</v>
      </c>
      <c r="C1440" s="2" t="s">
        <v>83</v>
      </c>
      <c r="D1440" s="2" t="s">
        <v>20</v>
      </c>
      <c r="E1440" s="3">
        <v>98112</v>
      </c>
      <c r="F1440" s="4" t="s">
        <v>130</v>
      </c>
      <c r="G1440" s="2" t="s">
        <v>2590</v>
      </c>
      <c r="H1440" s="2" t="s">
        <v>2610</v>
      </c>
      <c r="I1440" s="2" t="s">
        <v>24</v>
      </c>
      <c r="J1440" s="2" t="s">
        <v>25</v>
      </c>
      <c r="K1440" s="4" t="s">
        <v>582</v>
      </c>
      <c r="L1440" s="4" t="s">
        <v>27</v>
      </c>
      <c r="M1440" s="4" t="s">
        <v>436</v>
      </c>
      <c r="N1440" s="5">
        <v>282280071</v>
      </c>
      <c r="O1440" s="2" t="s">
        <v>736</v>
      </c>
      <c r="P1440" s="2" t="s">
        <v>86</v>
      </c>
      <c r="Q1440" s="4" t="s">
        <v>779</v>
      </c>
    </row>
    <row r="1441" spans="1:17" x14ac:dyDescent="0.2">
      <c r="A1441" s="2" t="s">
        <v>2613</v>
      </c>
      <c r="B1441" s="2" t="s">
        <v>33</v>
      </c>
      <c r="C1441" s="2" t="s">
        <v>83</v>
      </c>
      <c r="D1441" s="2" t="s">
        <v>20</v>
      </c>
      <c r="E1441" s="3">
        <v>98112</v>
      </c>
      <c r="F1441" s="4" t="s">
        <v>130</v>
      </c>
      <c r="G1441" s="2" t="s">
        <v>2590</v>
      </c>
      <c r="H1441" s="2" t="s">
        <v>2610</v>
      </c>
      <c r="I1441" s="2" t="s">
        <v>24</v>
      </c>
      <c r="J1441" s="2" t="s">
        <v>25</v>
      </c>
      <c r="K1441" s="4" t="s">
        <v>308</v>
      </c>
      <c r="L1441" s="4" t="s">
        <v>27</v>
      </c>
      <c r="M1441" s="4" t="s">
        <v>436</v>
      </c>
      <c r="N1441" s="5">
        <v>274203905</v>
      </c>
      <c r="O1441" s="2" t="s">
        <v>736</v>
      </c>
      <c r="P1441" s="2" t="s">
        <v>86</v>
      </c>
      <c r="Q1441" s="4" t="s">
        <v>779</v>
      </c>
    </row>
    <row r="1442" spans="1:17" hidden="1" x14ac:dyDescent="0.2">
      <c r="A1442" s="2" t="s">
        <v>2614</v>
      </c>
      <c r="B1442" s="2" t="s">
        <v>331</v>
      </c>
      <c r="C1442" s="2" t="s">
        <v>331</v>
      </c>
      <c r="D1442" s="2" t="s">
        <v>20</v>
      </c>
      <c r="E1442" s="3">
        <v>99202</v>
      </c>
      <c r="F1442" s="4" t="s">
        <v>130</v>
      </c>
      <c r="G1442" s="2" t="s">
        <v>853</v>
      </c>
      <c r="H1442" s="2" t="s">
        <v>2615</v>
      </c>
      <c r="I1442" s="2" t="s">
        <v>212</v>
      </c>
      <c r="J1442" s="2" t="s">
        <v>298</v>
      </c>
      <c r="K1442" s="4" t="s">
        <v>27</v>
      </c>
      <c r="L1442" s="4" t="s">
        <v>27</v>
      </c>
      <c r="M1442" s="4" t="s">
        <v>391</v>
      </c>
      <c r="N1442" s="5">
        <v>283245070</v>
      </c>
      <c r="O1442" s="2" t="s">
        <v>946</v>
      </c>
      <c r="P1442" s="2" t="s">
        <v>393</v>
      </c>
      <c r="Q1442" s="4" t="s">
        <v>2616</v>
      </c>
    </row>
    <row r="1443" spans="1:17" hidden="1" x14ac:dyDescent="0.2">
      <c r="A1443" s="2" t="s">
        <v>2617</v>
      </c>
      <c r="B1443" s="2" t="s">
        <v>688</v>
      </c>
      <c r="C1443" s="2" t="s">
        <v>689</v>
      </c>
      <c r="D1443" s="2" t="s">
        <v>20</v>
      </c>
      <c r="E1443" s="3">
        <v>98226</v>
      </c>
      <c r="F1443" s="4" t="s">
        <v>42</v>
      </c>
      <c r="G1443" s="2" t="s">
        <v>853</v>
      </c>
      <c r="H1443" s="2" t="s">
        <v>854</v>
      </c>
      <c r="I1443" s="2" t="s">
        <v>212</v>
      </c>
      <c r="J1443" s="2" t="s">
        <v>298</v>
      </c>
      <c r="K1443" s="4" t="s">
        <v>27</v>
      </c>
      <c r="L1443" s="4" t="s">
        <v>27</v>
      </c>
      <c r="M1443" s="4" t="s">
        <v>409</v>
      </c>
      <c r="N1443" s="5">
        <v>151053360</v>
      </c>
      <c r="O1443" s="2" t="s">
        <v>691</v>
      </c>
      <c r="P1443" s="2" t="s">
        <v>692</v>
      </c>
      <c r="Q1443" s="4" t="s">
        <v>2618</v>
      </c>
    </row>
    <row r="1444" spans="1:17" hidden="1" x14ac:dyDescent="0.2">
      <c r="A1444" s="2" t="s">
        <v>2619</v>
      </c>
      <c r="B1444" s="2" t="s">
        <v>33</v>
      </c>
      <c r="C1444" s="2" t="s">
        <v>83</v>
      </c>
      <c r="D1444" s="2" t="s">
        <v>20</v>
      </c>
      <c r="E1444" s="3">
        <v>98101</v>
      </c>
      <c r="F1444" s="4" t="s">
        <v>42</v>
      </c>
      <c r="G1444" s="2" t="s">
        <v>853</v>
      </c>
      <c r="H1444" s="2" t="s">
        <v>854</v>
      </c>
      <c r="I1444" s="2" t="s">
        <v>212</v>
      </c>
      <c r="J1444" s="2" t="s">
        <v>298</v>
      </c>
      <c r="K1444" s="4" t="s">
        <v>27</v>
      </c>
      <c r="L1444" s="4" t="s">
        <v>27</v>
      </c>
      <c r="M1444" s="4" t="s">
        <v>84</v>
      </c>
      <c r="N1444" s="5">
        <v>157513170</v>
      </c>
      <c r="O1444" s="2" t="s">
        <v>1235</v>
      </c>
      <c r="P1444" s="2" t="s">
        <v>86</v>
      </c>
      <c r="Q1444" s="4" t="s">
        <v>1404</v>
      </c>
    </row>
    <row r="1445" spans="1:17" hidden="1" x14ac:dyDescent="0.2">
      <c r="A1445" s="2" t="s">
        <v>2620</v>
      </c>
      <c r="B1445" s="2" t="s">
        <v>33</v>
      </c>
      <c r="C1445" s="2" t="s">
        <v>708</v>
      </c>
      <c r="D1445" s="2" t="s">
        <v>20</v>
      </c>
      <c r="E1445" s="3">
        <v>98038</v>
      </c>
      <c r="F1445" s="4" t="s">
        <v>57</v>
      </c>
      <c r="G1445" s="2" t="s">
        <v>853</v>
      </c>
      <c r="H1445" s="2" t="s">
        <v>854</v>
      </c>
      <c r="I1445" s="2" t="s">
        <v>212</v>
      </c>
      <c r="J1445" s="2" t="s">
        <v>298</v>
      </c>
      <c r="K1445" s="4" t="s">
        <v>27</v>
      </c>
      <c r="L1445" s="4" t="s">
        <v>27</v>
      </c>
      <c r="M1445" s="4" t="s">
        <v>35</v>
      </c>
      <c r="N1445" s="5">
        <v>209459834</v>
      </c>
      <c r="O1445" s="2" t="s">
        <v>709</v>
      </c>
      <c r="P1445" s="2" t="s">
        <v>37</v>
      </c>
      <c r="Q1445" s="4" t="s">
        <v>1891</v>
      </c>
    </row>
    <row r="1446" spans="1:17" hidden="1" x14ac:dyDescent="0.2">
      <c r="A1446" s="2" t="s">
        <v>2621</v>
      </c>
      <c r="B1446" s="2" t="s">
        <v>33</v>
      </c>
      <c r="C1446" s="2" t="s">
        <v>83</v>
      </c>
      <c r="D1446" s="2" t="s">
        <v>20</v>
      </c>
      <c r="E1446" s="3">
        <v>98144</v>
      </c>
      <c r="F1446" s="4" t="s">
        <v>130</v>
      </c>
      <c r="G1446" s="2" t="s">
        <v>853</v>
      </c>
      <c r="H1446" s="2" t="s">
        <v>2615</v>
      </c>
      <c r="I1446" s="2" t="s">
        <v>212</v>
      </c>
      <c r="J1446" s="2" t="s">
        <v>298</v>
      </c>
      <c r="K1446" s="4" t="s">
        <v>27</v>
      </c>
      <c r="L1446" s="4" t="s">
        <v>27</v>
      </c>
      <c r="M1446" s="4" t="s">
        <v>284</v>
      </c>
      <c r="N1446" s="5">
        <v>285993473</v>
      </c>
      <c r="O1446" s="2" t="s">
        <v>867</v>
      </c>
      <c r="P1446" s="2" t="s">
        <v>86</v>
      </c>
      <c r="Q1446" s="4" t="s">
        <v>868</v>
      </c>
    </row>
    <row r="1447" spans="1:17" hidden="1" x14ac:dyDescent="0.2">
      <c r="A1447" s="2" t="s">
        <v>2622</v>
      </c>
      <c r="B1447" s="2" t="s">
        <v>33</v>
      </c>
      <c r="C1447" s="2" t="s">
        <v>83</v>
      </c>
      <c r="D1447" s="2" t="s">
        <v>20</v>
      </c>
      <c r="E1447" s="3">
        <v>98117</v>
      </c>
      <c r="F1447" s="4" t="s">
        <v>42</v>
      </c>
      <c r="G1447" s="2" t="s">
        <v>853</v>
      </c>
      <c r="H1447" s="2" t="s">
        <v>854</v>
      </c>
      <c r="I1447" s="2" t="s">
        <v>212</v>
      </c>
      <c r="J1447" s="2" t="s">
        <v>298</v>
      </c>
      <c r="K1447" s="4" t="s">
        <v>27</v>
      </c>
      <c r="L1447" s="4" t="s">
        <v>27</v>
      </c>
      <c r="M1447" s="4" t="s">
        <v>84</v>
      </c>
      <c r="N1447" s="5">
        <v>265691730</v>
      </c>
      <c r="O1447" s="2" t="s">
        <v>622</v>
      </c>
      <c r="P1447" s="2" t="s">
        <v>86</v>
      </c>
      <c r="Q1447" s="4" t="s">
        <v>1209</v>
      </c>
    </row>
    <row r="1448" spans="1:17" hidden="1" x14ac:dyDescent="0.2">
      <c r="A1448" s="2" t="s">
        <v>2623</v>
      </c>
      <c r="B1448" s="2" t="s">
        <v>33</v>
      </c>
      <c r="C1448" s="2" t="s">
        <v>83</v>
      </c>
      <c r="D1448" s="2" t="s">
        <v>20</v>
      </c>
      <c r="E1448" s="3">
        <v>98119</v>
      </c>
      <c r="F1448" s="4" t="s">
        <v>57</v>
      </c>
      <c r="G1448" s="2" t="s">
        <v>853</v>
      </c>
      <c r="H1448" s="2" t="s">
        <v>854</v>
      </c>
      <c r="I1448" s="2" t="s">
        <v>212</v>
      </c>
      <c r="J1448" s="2" t="s">
        <v>298</v>
      </c>
      <c r="K1448" s="4" t="s">
        <v>27</v>
      </c>
      <c r="L1448" s="4" t="s">
        <v>27</v>
      </c>
      <c r="M1448" s="4" t="s">
        <v>84</v>
      </c>
      <c r="N1448" s="5">
        <v>212214964</v>
      </c>
      <c r="O1448" s="2" t="s">
        <v>650</v>
      </c>
      <c r="P1448" s="2" t="s">
        <v>86</v>
      </c>
      <c r="Q1448" s="4" t="s">
        <v>1818</v>
      </c>
    </row>
    <row r="1449" spans="1:17" hidden="1" x14ac:dyDescent="0.2">
      <c r="A1449" s="2" t="s">
        <v>2624</v>
      </c>
      <c r="B1449" s="2" t="s">
        <v>33</v>
      </c>
      <c r="C1449" s="2" t="s">
        <v>139</v>
      </c>
      <c r="D1449" s="2" t="s">
        <v>20</v>
      </c>
      <c r="E1449" s="3">
        <v>98055</v>
      </c>
      <c r="F1449" s="4" t="s">
        <v>57</v>
      </c>
      <c r="G1449" s="2" t="s">
        <v>853</v>
      </c>
      <c r="H1449" s="2" t="s">
        <v>854</v>
      </c>
      <c r="I1449" s="2" t="s">
        <v>212</v>
      </c>
      <c r="J1449" s="2" t="s">
        <v>298</v>
      </c>
      <c r="K1449" s="4" t="s">
        <v>27</v>
      </c>
      <c r="L1449" s="4" t="s">
        <v>27</v>
      </c>
      <c r="M1449" s="4" t="s">
        <v>140</v>
      </c>
      <c r="N1449" s="5">
        <v>211041785</v>
      </c>
      <c r="O1449" s="2" t="s">
        <v>889</v>
      </c>
      <c r="P1449" s="2" t="s">
        <v>37</v>
      </c>
      <c r="Q1449" s="4" t="s">
        <v>1690</v>
      </c>
    </row>
    <row r="1450" spans="1:17" hidden="1" x14ac:dyDescent="0.2">
      <c r="A1450" s="2" t="s">
        <v>2625</v>
      </c>
      <c r="B1450" s="2" t="s">
        <v>40</v>
      </c>
      <c r="C1450" s="2" t="s">
        <v>383</v>
      </c>
      <c r="D1450" s="2" t="s">
        <v>20</v>
      </c>
      <c r="E1450" s="3">
        <v>98201</v>
      </c>
      <c r="F1450" s="4" t="s">
        <v>209</v>
      </c>
      <c r="G1450" s="2" t="s">
        <v>853</v>
      </c>
      <c r="H1450" s="2" t="s">
        <v>2626</v>
      </c>
      <c r="I1450" s="2" t="s">
        <v>212</v>
      </c>
      <c r="J1450" s="2" t="s">
        <v>213</v>
      </c>
      <c r="K1450" s="4" t="s">
        <v>2627</v>
      </c>
      <c r="L1450" s="4" t="s">
        <v>27</v>
      </c>
      <c r="M1450" s="4" t="s">
        <v>274</v>
      </c>
      <c r="N1450" s="5">
        <v>138264325</v>
      </c>
      <c r="O1450" s="2" t="s">
        <v>1161</v>
      </c>
      <c r="P1450" s="2" t="s">
        <v>30</v>
      </c>
      <c r="Q1450" s="4" t="s">
        <v>2628</v>
      </c>
    </row>
    <row r="1451" spans="1:17" hidden="1" x14ac:dyDescent="0.2">
      <c r="A1451" s="2" t="s">
        <v>2629</v>
      </c>
      <c r="B1451" s="2" t="s">
        <v>33</v>
      </c>
      <c r="C1451" s="2" t="s">
        <v>83</v>
      </c>
      <c r="D1451" s="2" t="s">
        <v>20</v>
      </c>
      <c r="E1451" s="3">
        <v>98199</v>
      </c>
      <c r="F1451" s="4" t="s">
        <v>408</v>
      </c>
      <c r="G1451" s="2" t="s">
        <v>853</v>
      </c>
      <c r="H1451" s="2" t="s">
        <v>2626</v>
      </c>
      <c r="I1451" s="2" t="s">
        <v>212</v>
      </c>
      <c r="J1451" s="2" t="s">
        <v>213</v>
      </c>
      <c r="K1451" s="4" t="s">
        <v>2630</v>
      </c>
      <c r="L1451" s="4" t="s">
        <v>27</v>
      </c>
      <c r="M1451" s="4" t="s">
        <v>84</v>
      </c>
      <c r="N1451" s="5">
        <v>114585761</v>
      </c>
      <c r="O1451" s="2" t="s">
        <v>380</v>
      </c>
      <c r="P1451" s="2" t="s">
        <v>86</v>
      </c>
      <c r="Q1451" s="4" t="s">
        <v>381</v>
      </c>
    </row>
    <row r="1452" spans="1:17" hidden="1" x14ac:dyDescent="0.2">
      <c r="A1452" s="2" t="s">
        <v>2631</v>
      </c>
      <c r="B1452" s="2" t="s">
        <v>151</v>
      </c>
      <c r="C1452" s="2" t="s">
        <v>152</v>
      </c>
      <c r="D1452" s="2" t="s">
        <v>20</v>
      </c>
      <c r="E1452" s="3">
        <v>98506</v>
      </c>
      <c r="F1452" s="4" t="s">
        <v>273</v>
      </c>
      <c r="G1452" s="2" t="s">
        <v>853</v>
      </c>
      <c r="H1452" s="2" t="s">
        <v>2626</v>
      </c>
      <c r="I1452" s="2" t="s">
        <v>212</v>
      </c>
      <c r="J1452" s="2" t="s">
        <v>213</v>
      </c>
      <c r="K1452" s="4" t="s">
        <v>2630</v>
      </c>
      <c r="L1452" s="4" t="s">
        <v>27</v>
      </c>
      <c r="M1452" s="4" t="s">
        <v>90</v>
      </c>
      <c r="N1452" s="5">
        <v>248317772</v>
      </c>
      <c r="O1452" s="2" t="s">
        <v>487</v>
      </c>
      <c r="P1452" s="2" t="s">
        <v>30</v>
      </c>
      <c r="Q1452" s="4" t="s">
        <v>1352</v>
      </c>
    </row>
    <row r="1453" spans="1:17" hidden="1" x14ac:dyDescent="0.2">
      <c r="A1453" s="2" t="s">
        <v>2632</v>
      </c>
      <c r="B1453" s="2" t="s">
        <v>40</v>
      </c>
      <c r="C1453" s="2" t="s">
        <v>2236</v>
      </c>
      <c r="D1453" s="2" t="s">
        <v>20</v>
      </c>
      <c r="E1453" s="3">
        <v>98043</v>
      </c>
      <c r="F1453" s="4" t="s">
        <v>408</v>
      </c>
      <c r="G1453" s="2" t="s">
        <v>853</v>
      </c>
      <c r="H1453" s="2" t="s">
        <v>2626</v>
      </c>
      <c r="I1453" s="2" t="s">
        <v>212</v>
      </c>
      <c r="J1453" s="2" t="s">
        <v>213</v>
      </c>
      <c r="K1453" s="4" t="s">
        <v>2630</v>
      </c>
      <c r="L1453" s="4" t="s">
        <v>27</v>
      </c>
      <c r="M1453" s="4" t="s">
        <v>170</v>
      </c>
      <c r="N1453" s="5">
        <v>5008706</v>
      </c>
      <c r="O1453" s="2" t="s">
        <v>2237</v>
      </c>
      <c r="P1453" s="2" t="s">
        <v>30</v>
      </c>
      <c r="Q1453" s="4" t="s">
        <v>2366</v>
      </c>
    </row>
    <row r="1454" spans="1:17" hidden="1" x14ac:dyDescent="0.2">
      <c r="A1454" s="2" t="s">
        <v>2633</v>
      </c>
      <c r="B1454" s="2" t="s">
        <v>33</v>
      </c>
      <c r="C1454" s="2" t="s">
        <v>1056</v>
      </c>
      <c r="D1454" s="2" t="s">
        <v>20</v>
      </c>
      <c r="E1454" s="3">
        <v>98030</v>
      </c>
      <c r="F1454" s="4" t="s">
        <v>209</v>
      </c>
      <c r="G1454" s="2" t="s">
        <v>853</v>
      </c>
      <c r="H1454" s="2" t="s">
        <v>2626</v>
      </c>
      <c r="I1454" s="2" t="s">
        <v>212</v>
      </c>
      <c r="J1454" s="2" t="s">
        <v>213</v>
      </c>
      <c r="K1454" s="4" t="s">
        <v>2627</v>
      </c>
      <c r="L1454" s="4" t="s">
        <v>27</v>
      </c>
      <c r="M1454" s="4" t="s">
        <v>69</v>
      </c>
      <c r="N1454" s="5">
        <v>9627117</v>
      </c>
      <c r="O1454" s="2" t="s">
        <v>1344</v>
      </c>
      <c r="P1454" s="2" t="s">
        <v>37</v>
      </c>
      <c r="Q1454" s="4" t="s">
        <v>1656</v>
      </c>
    </row>
    <row r="1455" spans="1:17" hidden="1" x14ac:dyDescent="0.2">
      <c r="A1455" s="2" t="s">
        <v>2634</v>
      </c>
      <c r="B1455" s="2" t="s">
        <v>40</v>
      </c>
      <c r="C1455" s="2" t="s">
        <v>197</v>
      </c>
      <c r="D1455" s="2" t="s">
        <v>20</v>
      </c>
      <c r="E1455" s="3">
        <v>98072</v>
      </c>
      <c r="F1455" s="4" t="s">
        <v>408</v>
      </c>
      <c r="G1455" s="2" t="s">
        <v>853</v>
      </c>
      <c r="H1455" s="2" t="s">
        <v>2626</v>
      </c>
      <c r="I1455" s="2" t="s">
        <v>212</v>
      </c>
      <c r="J1455" s="2" t="s">
        <v>213</v>
      </c>
      <c r="K1455" s="4" t="s">
        <v>2630</v>
      </c>
      <c r="L1455" s="4" t="s">
        <v>27</v>
      </c>
      <c r="M1455" s="4" t="s">
        <v>170</v>
      </c>
      <c r="N1455" s="5">
        <v>3293832</v>
      </c>
      <c r="O1455" s="2" t="s">
        <v>199</v>
      </c>
      <c r="P1455" s="2" t="s">
        <v>30</v>
      </c>
      <c r="Q1455" s="4" t="s">
        <v>1852</v>
      </c>
    </row>
    <row r="1456" spans="1:17" hidden="1" x14ac:dyDescent="0.2">
      <c r="A1456" s="2" t="s">
        <v>2635</v>
      </c>
      <c r="B1456" s="2" t="s">
        <v>40</v>
      </c>
      <c r="C1456" s="2" t="s">
        <v>268</v>
      </c>
      <c r="D1456" s="2" t="s">
        <v>20</v>
      </c>
      <c r="E1456" s="3">
        <v>98020</v>
      </c>
      <c r="F1456" s="4" t="s">
        <v>371</v>
      </c>
      <c r="G1456" s="2" t="s">
        <v>853</v>
      </c>
      <c r="H1456" s="2" t="s">
        <v>2626</v>
      </c>
      <c r="I1456" s="2" t="s">
        <v>212</v>
      </c>
      <c r="J1456" s="2" t="s">
        <v>213</v>
      </c>
      <c r="K1456" s="4" t="s">
        <v>2630</v>
      </c>
      <c r="L1456" s="4" t="s">
        <v>27</v>
      </c>
      <c r="M1456" s="4" t="s">
        <v>26</v>
      </c>
      <c r="N1456" s="5">
        <v>178950936</v>
      </c>
      <c r="O1456" s="2" t="s">
        <v>269</v>
      </c>
      <c r="P1456" s="2" t="s">
        <v>30</v>
      </c>
      <c r="Q1456" s="4" t="s">
        <v>372</v>
      </c>
    </row>
    <row r="1457" spans="1:17" x14ac:dyDescent="0.2">
      <c r="A1457" s="2" t="s">
        <v>2636</v>
      </c>
      <c r="B1457" s="2" t="s">
        <v>18</v>
      </c>
      <c r="C1457" s="2" t="s">
        <v>234</v>
      </c>
      <c r="D1457" s="2" t="s">
        <v>20</v>
      </c>
      <c r="E1457" s="3">
        <v>98110</v>
      </c>
      <c r="F1457" s="4" t="s">
        <v>42</v>
      </c>
      <c r="G1457" s="2" t="s">
        <v>1738</v>
      </c>
      <c r="H1457" s="2" t="s">
        <v>2637</v>
      </c>
      <c r="I1457" s="2" t="s">
        <v>24</v>
      </c>
      <c r="J1457" s="2" t="s">
        <v>25</v>
      </c>
      <c r="K1457" s="4" t="s">
        <v>90</v>
      </c>
      <c r="L1457" s="4" t="s">
        <v>27</v>
      </c>
      <c r="M1457" s="4" t="s">
        <v>28</v>
      </c>
      <c r="N1457" s="5">
        <v>148283530</v>
      </c>
      <c r="O1457" s="2" t="s">
        <v>235</v>
      </c>
      <c r="P1457" s="2" t="s">
        <v>30</v>
      </c>
      <c r="Q1457" s="4" t="s">
        <v>473</v>
      </c>
    </row>
    <row r="1458" spans="1:17" x14ac:dyDescent="0.2">
      <c r="A1458" s="2" t="s">
        <v>2638</v>
      </c>
      <c r="B1458" s="2" t="s">
        <v>18</v>
      </c>
      <c r="C1458" s="2" t="s">
        <v>19</v>
      </c>
      <c r="D1458" s="2" t="s">
        <v>20</v>
      </c>
      <c r="E1458" s="3">
        <v>98370</v>
      </c>
      <c r="F1458" s="4" t="s">
        <v>121</v>
      </c>
      <c r="G1458" s="2" t="s">
        <v>1738</v>
      </c>
      <c r="H1458" s="2" t="s">
        <v>2637</v>
      </c>
      <c r="I1458" s="2" t="s">
        <v>24</v>
      </c>
      <c r="J1458" s="2" t="s">
        <v>213</v>
      </c>
      <c r="K1458" s="4" t="s">
        <v>403</v>
      </c>
      <c r="L1458" s="4" t="s">
        <v>27</v>
      </c>
      <c r="M1458" s="4" t="s">
        <v>28</v>
      </c>
      <c r="N1458" s="5">
        <v>264488654</v>
      </c>
      <c r="O1458" s="2" t="s">
        <v>29</v>
      </c>
      <c r="P1458" s="2" t="s">
        <v>30</v>
      </c>
      <c r="Q1458" s="4" t="s">
        <v>2639</v>
      </c>
    </row>
    <row r="1459" spans="1:17" x14ac:dyDescent="0.2">
      <c r="A1459" s="2" t="s">
        <v>2640</v>
      </c>
      <c r="B1459" s="2" t="s">
        <v>33</v>
      </c>
      <c r="C1459" s="2" t="s">
        <v>83</v>
      </c>
      <c r="D1459" s="2" t="s">
        <v>20</v>
      </c>
      <c r="E1459" s="3">
        <v>98112</v>
      </c>
      <c r="F1459" s="4" t="s">
        <v>121</v>
      </c>
      <c r="G1459" s="2" t="s">
        <v>1738</v>
      </c>
      <c r="H1459" s="2" t="s">
        <v>2637</v>
      </c>
      <c r="I1459" s="2" t="s">
        <v>24</v>
      </c>
      <c r="J1459" s="2" t="s">
        <v>213</v>
      </c>
      <c r="K1459" s="4" t="s">
        <v>403</v>
      </c>
      <c r="L1459" s="4" t="s">
        <v>27</v>
      </c>
      <c r="M1459" s="4" t="s">
        <v>436</v>
      </c>
      <c r="N1459" s="5">
        <v>260971371</v>
      </c>
      <c r="O1459" s="2" t="s">
        <v>736</v>
      </c>
      <c r="P1459" s="2" t="s">
        <v>86</v>
      </c>
      <c r="Q1459" s="4" t="s">
        <v>1136</v>
      </c>
    </row>
    <row r="1460" spans="1:17" x14ac:dyDescent="0.2">
      <c r="A1460" s="2" t="s">
        <v>2641</v>
      </c>
      <c r="B1460" s="2" t="s">
        <v>40</v>
      </c>
      <c r="C1460" s="2" t="s">
        <v>129</v>
      </c>
      <c r="D1460" s="2" t="s">
        <v>20</v>
      </c>
      <c r="E1460" s="3">
        <v>98258</v>
      </c>
      <c r="F1460" s="4" t="s">
        <v>42</v>
      </c>
      <c r="G1460" s="2" t="s">
        <v>1738</v>
      </c>
      <c r="H1460" s="2" t="s">
        <v>2642</v>
      </c>
      <c r="I1460" s="2" t="s">
        <v>24</v>
      </c>
      <c r="J1460" s="2" t="s">
        <v>25</v>
      </c>
      <c r="K1460" s="4" t="s">
        <v>58</v>
      </c>
      <c r="L1460" s="4" t="s">
        <v>27</v>
      </c>
      <c r="M1460" s="4" t="s">
        <v>116</v>
      </c>
      <c r="N1460" s="5">
        <v>141743948</v>
      </c>
      <c r="O1460" s="2" t="s">
        <v>131</v>
      </c>
      <c r="P1460" s="2" t="s">
        <v>30</v>
      </c>
      <c r="Q1460" s="4" t="s">
        <v>2643</v>
      </c>
    </row>
    <row r="1461" spans="1:17" x14ac:dyDescent="0.2">
      <c r="A1461" s="2" t="s">
        <v>2644</v>
      </c>
      <c r="B1461" s="2" t="s">
        <v>94</v>
      </c>
      <c r="C1461" s="2" t="s">
        <v>125</v>
      </c>
      <c r="D1461" s="2" t="s">
        <v>20</v>
      </c>
      <c r="E1461" s="3">
        <v>98277</v>
      </c>
      <c r="F1461" s="4" t="s">
        <v>57</v>
      </c>
      <c r="G1461" s="2" t="s">
        <v>1738</v>
      </c>
      <c r="H1461" s="2" t="s">
        <v>2642</v>
      </c>
      <c r="I1461" s="2" t="s">
        <v>24</v>
      </c>
      <c r="J1461" s="2" t="s">
        <v>25</v>
      </c>
      <c r="K1461" s="4" t="s">
        <v>58</v>
      </c>
      <c r="L1461" s="4" t="s">
        <v>27</v>
      </c>
      <c r="M1461" s="4" t="s">
        <v>96</v>
      </c>
      <c r="N1461" s="5">
        <v>271910999</v>
      </c>
      <c r="O1461" s="2" t="s">
        <v>126</v>
      </c>
      <c r="P1461" s="2" t="s">
        <v>30</v>
      </c>
      <c r="Q1461" s="4" t="s">
        <v>2645</v>
      </c>
    </row>
    <row r="1462" spans="1:17" x14ac:dyDescent="0.2">
      <c r="A1462" s="2" t="s">
        <v>2646</v>
      </c>
      <c r="B1462" s="2" t="s">
        <v>48</v>
      </c>
      <c r="C1462" s="2" t="s">
        <v>1140</v>
      </c>
      <c r="D1462" s="2" t="s">
        <v>20</v>
      </c>
      <c r="E1462" s="3">
        <v>98942</v>
      </c>
      <c r="F1462" s="4" t="s">
        <v>42</v>
      </c>
      <c r="G1462" s="2" t="s">
        <v>1738</v>
      </c>
      <c r="H1462" s="2" t="s">
        <v>2642</v>
      </c>
      <c r="I1462" s="2" t="s">
        <v>24</v>
      </c>
      <c r="J1462" s="2" t="s">
        <v>25</v>
      </c>
      <c r="K1462" s="4" t="s">
        <v>58</v>
      </c>
      <c r="L1462" s="4" t="s">
        <v>27</v>
      </c>
      <c r="M1462" s="4" t="s">
        <v>50</v>
      </c>
      <c r="N1462" s="5">
        <v>262707882</v>
      </c>
      <c r="O1462" s="2" t="s">
        <v>1141</v>
      </c>
      <c r="P1462" s="2" t="s">
        <v>52</v>
      </c>
      <c r="Q1462" s="4" t="s">
        <v>2148</v>
      </c>
    </row>
    <row r="1463" spans="1:17" x14ac:dyDescent="0.2">
      <c r="A1463" s="2" t="s">
        <v>2647</v>
      </c>
      <c r="B1463" s="2" t="s">
        <v>33</v>
      </c>
      <c r="C1463" s="2" t="s">
        <v>169</v>
      </c>
      <c r="D1463" s="2" t="s">
        <v>20</v>
      </c>
      <c r="E1463" s="3">
        <v>98033</v>
      </c>
      <c r="F1463" s="4" t="s">
        <v>42</v>
      </c>
      <c r="G1463" s="2" t="s">
        <v>1738</v>
      </c>
      <c r="H1463" s="2" t="s">
        <v>2642</v>
      </c>
      <c r="I1463" s="2" t="s">
        <v>24</v>
      </c>
      <c r="J1463" s="2" t="s">
        <v>25</v>
      </c>
      <c r="K1463" s="4" t="s">
        <v>58</v>
      </c>
      <c r="L1463" s="4" t="s">
        <v>27</v>
      </c>
      <c r="M1463" s="4" t="s">
        <v>198</v>
      </c>
      <c r="N1463" s="5">
        <v>168693787</v>
      </c>
      <c r="O1463" s="2" t="s">
        <v>204</v>
      </c>
      <c r="P1463" s="2" t="s">
        <v>37</v>
      </c>
      <c r="Q1463" s="4" t="s">
        <v>1966</v>
      </c>
    </row>
    <row r="1464" spans="1:17" x14ac:dyDescent="0.2">
      <c r="A1464" s="2" t="s">
        <v>2648</v>
      </c>
      <c r="B1464" s="2" t="s">
        <v>33</v>
      </c>
      <c r="C1464" s="2" t="s">
        <v>1204</v>
      </c>
      <c r="D1464" s="2" t="s">
        <v>20</v>
      </c>
      <c r="E1464" s="3">
        <v>98188</v>
      </c>
      <c r="F1464" s="4" t="s">
        <v>42</v>
      </c>
      <c r="G1464" s="2" t="s">
        <v>1738</v>
      </c>
      <c r="H1464" s="2" t="s">
        <v>2642</v>
      </c>
      <c r="I1464" s="2" t="s">
        <v>24</v>
      </c>
      <c r="J1464" s="2" t="s">
        <v>25</v>
      </c>
      <c r="K1464" s="4" t="s">
        <v>58</v>
      </c>
      <c r="L1464" s="4" t="s">
        <v>27</v>
      </c>
      <c r="M1464" s="4" t="s">
        <v>909</v>
      </c>
      <c r="N1464" s="5">
        <v>280743872</v>
      </c>
      <c r="O1464" s="2" t="s">
        <v>1205</v>
      </c>
      <c r="P1464" s="2" t="s">
        <v>37</v>
      </c>
      <c r="Q1464" s="4" t="s">
        <v>1845</v>
      </c>
    </row>
    <row r="1465" spans="1:17" x14ac:dyDescent="0.2">
      <c r="A1465" s="2" t="s">
        <v>2649</v>
      </c>
      <c r="B1465" s="2" t="s">
        <v>33</v>
      </c>
      <c r="C1465" s="2" t="s">
        <v>83</v>
      </c>
      <c r="D1465" s="2" t="s">
        <v>20</v>
      </c>
      <c r="E1465" s="3">
        <v>98105</v>
      </c>
      <c r="F1465" s="4" t="s">
        <v>42</v>
      </c>
      <c r="G1465" s="2" t="s">
        <v>1738</v>
      </c>
      <c r="H1465" s="2" t="s">
        <v>2408</v>
      </c>
      <c r="I1465" s="2" t="s">
        <v>24</v>
      </c>
      <c r="J1465" s="2" t="s">
        <v>25</v>
      </c>
      <c r="K1465" s="4" t="s">
        <v>58</v>
      </c>
      <c r="L1465" s="4" t="s">
        <v>27</v>
      </c>
      <c r="M1465" s="4" t="s">
        <v>436</v>
      </c>
      <c r="N1465" s="5">
        <v>264522779</v>
      </c>
      <c r="O1465" s="2" t="s">
        <v>455</v>
      </c>
      <c r="P1465" s="2" t="s">
        <v>86</v>
      </c>
      <c r="Q1465" s="4" t="s">
        <v>2650</v>
      </c>
    </row>
    <row r="1466" spans="1:17" x14ac:dyDescent="0.2">
      <c r="A1466" s="2" t="s">
        <v>2651</v>
      </c>
      <c r="B1466" s="2" t="s">
        <v>18</v>
      </c>
      <c r="C1466" s="2" t="s">
        <v>234</v>
      </c>
      <c r="D1466" s="2" t="s">
        <v>20</v>
      </c>
      <c r="E1466" s="3">
        <v>98110</v>
      </c>
      <c r="F1466" s="4" t="s">
        <v>42</v>
      </c>
      <c r="G1466" s="2" t="s">
        <v>1738</v>
      </c>
      <c r="H1466" s="2" t="s">
        <v>2408</v>
      </c>
      <c r="I1466" s="2" t="s">
        <v>24</v>
      </c>
      <c r="J1466" s="2" t="s">
        <v>25</v>
      </c>
      <c r="K1466" s="4" t="s">
        <v>58</v>
      </c>
      <c r="L1466" s="4" t="s">
        <v>27</v>
      </c>
      <c r="M1466" s="4" t="s">
        <v>28</v>
      </c>
      <c r="N1466" s="5">
        <v>137091349</v>
      </c>
      <c r="O1466" s="2" t="s">
        <v>235</v>
      </c>
      <c r="P1466" s="2" t="s">
        <v>30</v>
      </c>
      <c r="Q1466" s="4" t="s">
        <v>236</v>
      </c>
    </row>
    <row r="1467" spans="1:17" x14ac:dyDescent="0.2">
      <c r="A1467" s="2" t="s">
        <v>2652</v>
      </c>
      <c r="B1467" s="2" t="s">
        <v>94</v>
      </c>
      <c r="C1467" s="2" t="s">
        <v>2653</v>
      </c>
      <c r="D1467" s="2" t="s">
        <v>20</v>
      </c>
      <c r="E1467" s="3">
        <v>98253</v>
      </c>
      <c r="F1467" s="4" t="s">
        <v>401</v>
      </c>
      <c r="G1467" s="2" t="s">
        <v>1738</v>
      </c>
      <c r="H1467" s="2" t="s">
        <v>2408</v>
      </c>
      <c r="I1467" s="2" t="s">
        <v>24</v>
      </c>
      <c r="J1467" s="2" t="s">
        <v>25</v>
      </c>
      <c r="K1467" s="4" t="s">
        <v>58</v>
      </c>
      <c r="L1467" s="4" t="s">
        <v>27</v>
      </c>
      <c r="M1467" s="4" t="s">
        <v>96</v>
      </c>
      <c r="N1467" s="5">
        <v>109733963</v>
      </c>
      <c r="O1467" s="2" t="s">
        <v>2654</v>
      </c>
      <c r="P1467" s="2" t="s">
        <v>30</v>
      </c>
      <c r="Q1467" s="4" t="s">
        <v>2655</v>
      </c>
    </row>
    <row r="1468" spans="1:17" x14ac:dyDescent="0.2">
      <c r="A1468" s="2" t="s">
        <v>2656</v>
      </c>
      <c r="B1468" s="2" t="s">
        <v>33</v>
      </c>
      <c r="C1468" s="2" t="s">
        <v>68</v>
      </c>
      <c r="D1468" s="2" t="s">
        <v>20</v>
      </c>
      <c r="E1468" s="3">
        <v>98092</v>
      </c>
      <c r="F1468" s="4" t="s">
        <v>401</v>
      </c>
      <c r="G1468" s="2" t="s">
        <v>1738</v>
      </c>
      <c r="H1468" s="2" t="s">
        <v>2408</v>
      </c>
      <c r="I1468" s="2" t="s">
        <v>24</v>
      </c>
      <c r="J1468" s="2" t="s">
        <v>25</v>
      </c>
      <c r="K1468" s="4" t="s">
        <v>221</v>
      </c>
      <c r="L1468" s="4" t="s">
        <v>27</v>
      </c>
      <c r="M1468" s="4" t="s">
        <v>69</v>
      </c>
      <c r="N1468" s="5">
        <v>112630199</v>
      </c>
      <c r="O1468" s="2" t="s">
        <v>540</v>
      </c>
      <c r="P1468" s="2" t="s">
        <v>37</v>
      </c>
      <c r="Q1468" s="4" t="s">
        <v>1336</v>
      </c>
    </row>
    <row r="1469" spans="1:17" x14ac:dyDescent="0.2">
      <c r="A1469" s="2" t="s">
        <v>2657</v>
      </c>
      <c r="B1469" s="2" t="s">
        <v>18</v>
      </c>
      <c r="C1469" s="2" t="s">
        <v>234</v>
      </c>
      <c r="D1469" s="2" t="s">
        <v>20</v>
      </c>
      <c r="E1469" s="3">
        <v>98110</v>
      </c>
      <c r="F1469" s="4" t="s">
        <v>371</v>
      </c>
      <c r="G1469" s="2" t="s">
        <v>1738</v>
      </c>
      <c r="H1469" s="2" t="s">
        <v>2642</v>
      </c>
      <c r="I1469" s="2" t="s">
        <v>24</v>
      </c>
      <c r="J1469" s="2" t="s">
        <v>25</v>
      </c>
      <c r="K1469" s="4" t="s">
        <v>221</v>
      </c>
      <c r="L1469" s="4" t="s">
        <v>2658</v>
      </c>
      <c r="M1469" s="4" t="s">
        <v>28</v>
      </c>
      <c r="N1469" s="5">
        <v>132469508</v>
      </c>
      <c r="O1469" s="2" t="s">
        <v>235</v>
      </c>
      <c r="P1469" s="2" t="s">
        <v>30</v>
      </c>
      <c r="Q1469" s="4" t="s">
        <v>1032</v>
      </c>
    </row>
    <row r="1470" spans="1:17" hidden="1" x14ac:dyDescent="0.2">
      <c r="A1470" s="2" t="s">
        <v>2659</v>
      </c>
      <c r="B1470" s="2" t="s">
        <v>40</v>
      </c>
      <c r="C1470" s="2" t="s">
        <v>383</v>
      </c>
      <c r="D1470" s="2" t="s">
        <v>20</v>
      </c>
      <c r="E1470" s="3">
        <v>98203</v>
      </c>
      <c r="F1470" s="4" t="s">
        <v>57</v>
      </c>
      <c r="G1470" s="2" t="s">
        <v>1738</v>
      </c>
      <c r="H1470" s="2" t="s">
        <v>2660</v>
      </c>
      <c r="I1470" s="2" t="s">
        <v>212</v>
      </c>
      <c r="J1470" s="2" t="s">
        <v>298</v>
      </c>
      <c r="K1470" s="4" t="s">
        <v>27</v>
      </c>
      <c r="L1470" s="4" t="s">
        <v>27</v>
      </c>
      <c r="M1470" s="4" t="s">
        <v>274</v>
      </c>
      <c r="N1470" s="5">
        <v>261344933</v>
      </c>
      <c r="O1470" s="2" t="s">
        <v>1347</v>
      </c>
      <c r="P1470" s="2" t="s">
        <v>30</v>
      </c>
      <c r="Q1470" s="4" t="s">
        <v>2602</v>
      </c>
    </row>
    <row r="1471" spans="1:17" hidden="1" x14ac:dyDescent="0.2">
      <c r="A1471" s="2" t="s">
        <v>2661</v>
      </c>
      <c r="B1471" s="2" t="s">
        <v>33</v>
      </c>
      <c r="C1471" s="2" t="s">
        <v>83</v>
      </c>
      <c r="D1471" s="2" t="s">
        <v>20</v>
      </c>
      <c r="E1471" s="3">
        <v>98126</v>
      </c>
      <c r="F1471" s="4" t="s">
        <v>57</v>
      </c>
      <c r="G1471" s="2" t="s">
        <v>1738</v>
      </c>
      <c r="H1471" s="2" t="s">
        <v>2660</v>
      </c>
      <c r="I1471" s="2" t="s">
        <v>212</v>
      </c>
      <c r="J1471" s="2" t="s">
        <v>298</v>
      </c>
      <c r="K1471" s="4" t="s">
        <v>27</v>
      </c>
      <c r="L1471" s="4" t="s">
        <v>27</v>
      </c>
      <c r="M1471" s="4" t="s">
        <v>319</v>
      </c>
      <c r="N1471" s="5">
        <v>209653118</v>
      </c>
      <c r="O1471" s="2" t="s">
        <v>440</v>
      </c>
      <c r="P1471" s="2" t="s">
        <v>86</v>
      </c>
      <c r="Q1471" s="4" t="s">
        <v>938</v>
      </c>
    </row>
    <row r="1472" spans="1:17" hidden="1" x14ac:dyDescent="0.2">
      <c r="A1472" s="2" t="s">
        <v>2662</v>
      </c>
      <c r="B1472" s="2" t="s">
        <v>207</v>
      </c>
      <c r="C1472" s="2" t="s">
        <v>499</v>
      </c>
      <c r="D1472" s="2" t="s">
        <v>20</v>
      </c>
      <c r="E1472" s="3">
        <v>98221</v>
      </c>
      <c r="F1472" s="4" t="s">
        <v>21</v>
      </c>
      <c r="G1472" s="2" t="s">
        <v>1738</v>
      </c>
      <c r="H1472" s="2" t="s">
        <v>2660</v>
      </c>
      <c r="I1472" s="2" t="s">
        <v>212</v>
      </c>
      <c r="J1472" s="2" t="s">
        <v>298</v>
      </c>
      <c r="K1472" s="4" t="s">
        <v>27</v>
      </c>
      <c r="L1472" s="4" t="s">
        <v>27</v>
      </c>
      <c r="M1472" s="4" t="s">
        <v>409</v>
      </c>
      <c r="N1472" s="5">
        <v>231172042</v>
      </c>
      <c r="O1472" s="2" t="s">
        <v>500</v>
      </c>
      <c r="P1472" s="2" t="s">
        <v>30</v>
      </c>
      <c r="Q1472" s="4" t="s">
        <v>2576</v>
      </c>
    </row>
    <row r="1473" spans="1:17" hidden="1" x14ac:dyDescent="0.2">
      <c r="A1473" s="2" t="s">
        <v>2663</v>
      </c>
      <c r="B1473" s="2" t="s">
        <v>33</v>
      </c>
      <c r="C1473" s="2" t="s">
        <v>83</v>
      </c>
      <c r="D1473" s="2" t="s">
        <v>20</v>
      </c>
      <c r="E1473" s="3">
        <v>98116</v>
      </c>
      <c r="F1473" s="4" t="s">
        <v>21</v>
      </c>
      <c r="G1473" s="2" t="s">
        <v>1738</v>
      </c>
      <c r="H1473" s="2" t="s">
        <v>2664</v>
      </c>
      <c r="I1473" s="2" t="s">
        <v>212</v>
      </c>
      <c r="J1473" s="2" t="s">
        <v>298</v>
      </c>
      <c r="K1473" s="4" t="s">
        <v>27</v>
      </c>
      <c r="L1473" s="4" t="s">
        <v>27</v>
      </c>
      <c r="M1473" s="4" t="s">
        <v>319</v>
      </c>
      <c r="N1473" s="5">
        <v>276584640</v>
      </c>
      <c r="O1473" s="2" t="s">
        <v>1034</v>
      </c>
      <c r="P1473" s="2" t="s">
        <v>86</v>
      </c>
      <c r="Q1473" s="4" t="s">
        <v>1622</v>
      </c>
    </row>
    <row r="1474" spans="1:17" hidden="1" x14ac:dyDescent="0.2">
      <c r="A1474" s="2" t="s">
        <v>2665</v>
      </c>
      <c r="B1474" s="2" t="s">
        <v>207</v>
      </c>
      <c r="C1474" s="2" t="s">
        <v>407</v>
      </c>
      <c r="D1474" s="2" t="s">
        <v>20</v>
      </c>
      <c r="E1474" s="3">
        <v>98232</v>
      </c>
      <c r="F1474" s="4" t="s">
        <v>42</v>
      </c>
      <c r="G1474" s="2" t="s">
        <v>1738</v>
      </c>
      <c r="H1474" s="2" t="s">
        <v>2664</v>
      </c>
      <c r="I1474" s="2" t="s">
        <v>212</v>
      </c>
      <c r="J1474" s="2" t="s">
        <v>298</v>
      </c>
      <c r="K1474" s="4" t="s">
        <v>27</v>
      </c>
      <c r="L1474" s="4" t="s">
        <v>27</v>
      </c>
      <c r="M1474" s="4" t="s">
        <v>409</v>
      </c>
      <c r="N1474" s="5">
        <v>171141729</v>
      </c>
      <c r="O1474" s="2" t="s">
        <v>410</v>
      </c>
      <c r="P1474" s="2" t="s">
        <v>30</v>
      </c>
      <c r="Q1474" s="4" t="s">
        <v>2666</v>
      </c>
    </row>
    <row r="1475" spans="1:17" hidden="1" x14ac:dyDescent="0.2">
      <c r="A1475" s="2" t="s">
        <v>2665</v>
      </c>
      <c r="B1475" s="2" t="s">
        <v>33</v>
      </c>
      <c r="C1475" s="2" t="s">
        <v>169</v>
      </c>
      <c r="D1475" s="2" t="s">
        <v>20</v>
      </c>
      <c r="E1475" s="3">
        <v>98033</v>
      </c>
      <c r="F1475" s="4" t="s">
        <v>42</v>
      </c>
      <c r="G1475" s="2" t="s">
        <v>1738</v>
      </c>
      <c r="H1475" s="2" t="s">
        <v>2664</v>
      </c>
      <c r="I1475" s="2" t="s">
        <v>212</v>
      </c>
      <c r="J1475" s="2" t="s">
        <v>298</v>
      </c>
      <c r="K1475" s="4" t="s">
        <v>27</v>
      </c>
      <c r="L1475" s="4" t="s">
        <v>27</v>
      </c>
      <c r="M1475" s="4" t="s">
        <v>198</v>
      </c>
      <c r="N1475" s="5">
        <v>261816404</v>
      </c>
      <c r="O1475" s="2" t="s">
        <v>204</v>
      </c>
      <c r="P1475" s="2" t="s">
        <v>37</v>
      </c>
      <c r="Q1475" s="4" t="s">
        <v>205</v>
      </c>
    </row>
    <row r="1476" spans="1:17" hidden="1" x14ac:dyDescent="0.2">
      <c r="A1476" s="2" t="s">
        <v>2667</v>
      </c>
      <c r="B1476" s="2" t="s">
        <v>33</v>
      </c>
      <c r="C1476" s="2" t="s">
        <v>669</v>
      </c>
      <c r="D1476" s="2" t="s">
        <v>20</v>
      </c>
      <c r="E1476" s="3">
        <v>98052</v>
      </c>
      <c r="F1476" s="4" t="s">
        <v>57</v>
      </c>
      <c r="G1476" s="2" t="s">
        <v>1738</v>
      </c>
      <c r="H1476" s="2" t="s">
        <v>2664</v>
      </c>
      <c r="I1476" s="2" t="s">
        <v>212</v>
      </c>
      <c r="J1476" s="2" t="s">
        <v>298</v>
      </c>
      <c r="K1476" s="4" t="s">
        <v>27</v>
      </c>
      <c r="L1476" s="4" t="s">
        <v>27</v>
      </c>
      <c r="M1476" s="4" t="s">
        <v>198</v>
      </c>
      <c r="N1476" s="5">
        <v>275256341</v>
      </c>
      <c r="O1476" s="2" t="s">
        <v>670</v>
      </c>
      <c r="P1476" s="2" t="s">
        <v>37</v>
      </c>
      <c r="Q1476" s="4" t="s">
        <v>1047</v>
      </c>
    </row>
    <row r="1477" spans="1:17" hidden="1" x14ac:dyDescent="0.2">
      <c r="A1477" s="2" t="s">
        <v>2668</v>
      </c>
      <c r="B1477" s="2" t="s">
        <v>33</v>
      </c>
      <c r="C1477" s="2" t="s">
        <v>669</v>
      </c>
      <c r="D1477" s="2" t="s">
        <v>20</v>
      </c>
      <c r="E1477" s="3">
        <v>98052</v>
      </c>
      <c r="F1477" s="4" t="s">
        <v>42</v>
      </c>
      <c r="G1477" s="2" t="s">
        <v>1738</v>
      </c>
      <c r="H1477" s="2" t="s">
        <v>2664</v>
      </c>
      <c r="I1477" s="2" t="s">
        <v>212</v>
      </c>
      <c r="J1477" s="2" t="s">
        <v>298</v>
      </c>
      <c r="K1477" s="4" t="s">
        <v>27</v>
      </c>
      <c r="L1477" s="4" t="s">
        <v>27</v>
      </c>
      <c r="M1477" s="4" t="s">
        <v>147</v>
      </c>
      <c r="N1477" s="5">
        <v>151075711</v>
      </c>
      <c r="O1477" s="2" t="s">
        <v>670</v>
      </c>
      <c r="P1477" s="2" t="s">
        <v>37</v>
      </c>
      <c r="Q1477" s="4" t="s">
        <v>2669</v>
      </c>
    </row>
    <row r="1478" spans="1:17" hidden="1" x14ac:dyDescent="0.2">
      <c r="A1478" s="2" t="s">
        <v>2670</v>
      </c>
      <c r="B1478" s="2" t="s">
        <v>33</v>
      </c>
      <c r="C1478" s="2" t="s">
        <v>83</v>
      </c>
      <c r="D1478" s="2" t="s">
        <v>20</v>
      </c>
      <c r="E1478" s="3">
        <v>98177</v>
      </c>
      <c r="F1478" s="4" t="s">
        <v>130</v>
      </c>
      <c r="G1478" s="2" t="s">
        <v>1738</v>
      </c>
      <c r="H1478" s="2" t="s">
        <v>2671</v>
      </c>
      <c r="I1478" s="2" t="s">
        <v>212</v>
      </c>
      <c r="J1478" s="2" t="s">
        <v>298</v>
      </c>
      <c r="K1478" s="4" t="s">
        <v>27</v>
      </c>
      <c r="L1478" s="4" t="s">
        <v>27</v>
      </c>
      <c r="M1478" s="4" t="s">
        <v>74</v>
      </c>
      <c r="N1478" s="5">
        <v>280963637</v>
      </c>
      <c r="O1478" s="2" t="s">
        <v>85</v>
      </c>
      <c r="P1478" s="2" t="s">
        <v>86</v>
      </c>
      <c r="Q1478" s="4" t="s">
        <v>798</v>
      </c>
    </row>
    <row r="1479" spans="1:17" hidden="1" x14ac:dyDescent="0.2">
      <c r="A1479" s="2" t="s">
        <v>2672</v>
      </c>
      <c r="B1479" s="2" t="s">
        <v>40</v>
      </c>
      <c r="C1479" s="2" t="s">
        <v>268</v>
      </c>
      <c r="D1479" s="2" t="s">
        <v>20</v>
      </c>
      <c r="E1479" s="3">
        <v>98020</v>
      </c>
      <c r="F1479" s="4" t="s">
        <v>130</v>
      </c>
      <c r="G1479" s="2" t="s">
        <v>1738</v>
      </c>
      <c r="H1479" s="2" t="s">
        <v>2673</v>
      </c>
      <c r="I1479" s="2" t="s">
        <v>212</v>
      </c>
      <c r="J1479" s="2" t="s">
        <v>298</v>
      </c>
      <c r="K1479" s="4" t="s">
        <v>27</v>
      </c>
      <c r="L1479" s="4" t="s">
        <v>27</v>
      </c>
      <c r="M1479" s="4" t="s">
        <v>26</v>
      </c>
      <c r="N1479" s="5">
        <v>280401614</v>
      </c>
      <c r="O1479" s="2" t="s">
        <v>269</v>
      </c>
      <c r="P1479" s="2" t="s">
        <v>30</v>
      </c>
      <c r="Q1479" s="4" t="s">
        <v>270</v>
      </c>
    </row>
    <row r="1480" spans="1:17" hidden="1" x14ac:dyDescent="0.2">
      <c r="A1480" s="2" t="s">
        <v>2674</v>
      </c>
      <c r="B1480" s="2" t="s">
        <v>33</v>
      </c>
      <c r="C1480" s="2" t="s">
        <v>290</v>
      </c>
      <c r="D1480" s="2" t="s">
        <v>20</v>
      </c>
      <c r="E1480" s="3">
        <v>98177</v>
      </c>
      <c r="F1480" s="4" t="s">
        <v>121</v>
      </c>
      <c r="G1480" s="2" t="s">
        <v>1738</v>
      </c>
      <c r="H1480" s="2" t="s">
        <v>2664</v>
      </c>
      <c r="I1480" s="2" t="s">
        <v>212</v>
      </c>
      <c r="J1480" s="2" t="s">
        <v>298</v>
      </c>
      <c r="K1480" s="4" t="s">
        <v>27</v>
      </c>
      <c r="L1480" s="4" t="s">
        <v>27</v>
      </c>
      <c r="M1480" s="4" t="s">
        <v>74</v>
      </c>
      <c r="N1480" s="5">
        <v>275868372</v>
      </c>
      <c r="O1480" s="2" t="s">
        <v>85</v>
      </c>
      <c r="P1480" s="2" t="s">
        <v>86</v>
      </c>
      <c r="Q1480" s="4" t="s">
        <v>2675</v>
      </c>
    </row>
    <row r="1481" spans="1:17" x14ac:dyDescent="0.2">
      <c r="A1481" s="2" t="s">
        <v>2676</v>
      </c>
      <c r="B1481" s="2" t="s">
        <v>33</v>
      </c>
      <c r="C1481" s="2" t="s">
        <v>83</v>
      </c>
      <c r="D1481" s="2" t="s">
        <v>20</v>
      </c>
      <c r="E1481" s="3">
        <v>98199</v>
      </c>
      <c r="F1481" s="4" t="s">
        <v>21</v>
      </c>
      <c r="G1481" s="2" t="s">
        <v>1738</v>
      </c>
      <c r="H1481" s="2" t="s">
        <v>2642</v>
      </c>
      <c r="I1481" s="2" t="s">
        <v>24</v>
      </c>
      <c r="J1481" s="2" t="s">
        <v>213</v>
      </c>
      <c r="K1481" s="4" t="s">
        <v>74</v>
      </c>
      <c r="L1481" s="4" t="s">
        <v>27</v>
      </c>
      <c r="M1481" s="4" t="s">
        <v>84</v>
      </c>
      <c r="N1481" s="5">
        <v>260124287</v>
      </c>
      <c r="O1481" s="2" t="s">
        <v>380</v>
      </c>
      <c r="P1481" s="2" t="s">
        <v>86</v>
      </c>
      <c r="Q1481" s="4" t="s">
        <v>413</v>
      </c>
    </row>
    <row r="1482" spans="1:17" x14ac:dyDescent="0.2">
      <c r="A1482" s="2" t="s">
        <v>2677</v>
      </c>
      <c r="B1482" s="2" t="s">
        <v>33</v>
      </c>
      <c r="C1482" s="2" t="s">
        <v>83</v>
      </c>
      <c r="D1482" s="2" t="s">
        <v>20</v>
      </c>
      <c r="E1482" s="3">
        <v>98125</v>
      </c>
      <c r="F1482" s="4" t="s">
        <v>21</v>
      </c>
      <c r="G1482" s="2" t="s">
        <v>1738</v>
      </c>
      <c r="H1482" s="2" t="s">
        <v>2642</v>
      </c>
      <c r="I1482" s="2" t="s">
        <v>24</v>
      </c>
      <c r="J1482" s="2" t="s">
        <v>213</v>
      </c>
      <c r="K1482" s="4" t="s">
        <v>74</v>
      </c>
      <c r="L1482" s="4" t="s">
        <v>27</v>
      </c>
      <c r="M1482" s="4" t="s">
        <v>278</v>
      </c>
      <c r="N1482" s="5">
        <v>228419264</v>
      </c>
      <c r="O1482" s="2" t="s">
        <v>279</v>
      </c>
      <c r="P1482" s="2" t="s">
        <v>86</v>
      </c>
      <c r="Q1482" s="4" t="s">
        <v>2678</v>
      </c>
    </row>
    <row r="1483" spans="1:17" x14ac:dyDescent="0.2">
      <c r="A1483" s="2" t="s">
        <v>2679</v>
      </c>
      <c r="B1483" s="2" t="s">
        <v>48</v>
      </c>
      <c r="C1483" s="2" t="s">
        <v>48</v>
      </c>
      <c r="D1483" s="2" t="s">
        <v>20</v>
      </c>
      <c r="E1483" s="3">
        <v>98901</v>
      </c>
      <c r="F1483" s="4" t="s">
        <v>21</v>
      </c>
      <c r="G1483" s="2" t="s">
        <v>1738</v>
      </c>
      <c r="H1483" s="2" t="s">
        <v>2642</v>
      </c>
      <c r="I1483" s="2" t="s">
        <v>24</v>
      </c>
      <c r="J1483" s="2" t="s">
        <v>213</v>
      </c>
      <c r="K1483" s="4" t="s">
        <v>74</v>
      </c>
      <c r="L1483" s="4" t="s">
        <v>27</v>
      </c>
      <c r="M1483" s="4" t="s">
        <v>50</v>
      </c>
      <c r="N1483" s="5">
        <v>230117681</v>
      </c>
      <c r="O1483" s="2" t="s">
        <v>1258</v>
      </c>
      <c r="P1483" s="2" t="s">
        <v>52</v>
      </c>
      <c r="Q1483" s="4" t="s">
        <v>2680</v>
      </c>
    </row>
    <row r="1484" spans="1:17" x14ac:dyDescent="0.2">
      <c r="A1484" s="2" t="s">
        <v>2681</v>
      </c>
      <c r="B1484" s="2" t="s">
        <v>33</v>
      </c>
      <c r="C1484" s="2" t="s">
        <v>89</v>
      </c>
      <c r="D1484" s="2" t="s">
        <v>20</v>
      </c>
      <c r="E1484" s="3">
        <v>98011</v>
      </c>
      <c r="F1484" s="4" t="s">
        <v>21</v>
      </c>
      <c r="G1484" s="2" t="s">
        <v>1738</v>
      </c>
      <c r="H1484" s="2" t="s">
        <v>2642</v>
      </c>
      <c r="I1484" s="2" t="s">
        <v>24</v>
      </c>
      <c r="J1484" s="2" t="s">
        <v>213</v>
      </c>
      <c r="K1484" s="4" t="s">
        <v>74</v>
      </c>
      <c r="L1484" s="4" t="s">
        <v>27</v>
      </c>
      <c r="M1484" s="4" t="s">
        <v>170</v>
      </c>
      <c r="N1484" s="5">
        <v>244884517</v>
      </c>
      <c r="O1484" s="2" t="s">
        <v>503</v>
      </c>
      <c r="P1484" s="2" t="s">
        <v>37</v>
      </c>
      <c r="Q1484" s="4" t="s">
        <v>923</v>
      </c>
    </row>
    <row r="1485" spans="1:17" x14ac:dyDescent="0.2">
      <c r="A1485" s="2" t="s">
        <v>2682</v>
      </c>
      <c r="B1485" s="2" t="s">
        <v>873</v>
      </c>
      <c r="C1485" s="2" t="s">
        <v>874</v>
      </c>
      <c r="D1485" s="2" t="s">
        <v>20</v>
      </c>
      <c r="E1485" s="3">
        <v>98926</v>
      </c>
      <c r="F1485" s="4" t="s">
        <v>121</v>
      </c>
      <c r="G1485" s="2" t="s">
        <v>1738</v>
      </c>
      <c r="H1485" s="2" t="s">
        <v>2408</v>
      </c>
      <c r="I1485" s="2" t="s">
        <v>24</v>
      </c>
      <c r="J1485" s="2" t="s">
        <v>213</v>
      </c>
      <c r="K1485" s="4" t="s">
        <v>255</v>
      </c>
      <c r="L1485" s="4" t="s">
        <v>27</v>
      </c>
      <c r="M1485" s="4" t="s">
        <v>264</v>
      </c>
      <c r="N1485" s="5">
        <v>261871431</v>
      </c>
      <c r="O1485" s="2" t="s">
        <v>875</v>
      </c>
      <c r="P1485" s="2" t="s">
        <v>30</v>
      </c>
      <c r="Q1485" s="4" t="s">
        <v>1658</v>
      </c>
    </row>
    <row r="1486" spans="1:17" x14ac:dyDescent="0.2">
      <c r="A1486" s="2" t="s">
        <v>2683</v>
      </c>
      <c r="B1486" s="2" t="s">
        <v>33</v>
      </c>
      <c r="C1486" s="2" t="s">
        <v>169</v>
      </c>
      <c r="D1486" s="2" t="s">
        <v>20</v>
      </c>
      <c r="E1486" s="3">
        <v>98033</v>
      </c>
      <c r="F1486" s="4" t="s">
        <v>121</v>
      </c>
      <c r="G1486" s="2" t="s">
        <v>1738</v>
      </c>
      <c r="H1486" s="2" t="s">
        <v>2408</v>
      </c>
      <c r="I1486" s="2" t="s">
        <v>24</v>
      </c>
      <c r="J1486" s="2" t="s">
        <v>213</v>
      </c>
      <c r="K1486" s="4" t="s">
        <v>255</v>
      </c>
      <c r="L1486" s="4" t="s">
        <v>27</v>
      </c>
      <c r="M1486" s="4" t="s">
        <v>147</v>
      </c>
      <c r="N1486" s="5">
        <v>262565012</v>
      </c>
      <c r="O1486" s="2" t="s">
        <v>204</v>
      </c>
      <c r="P1486" s="2" t="s">
        <v>37</v>
      </c>
      <c r="Q1486" s="4" t="s">
        <v>205</v>
      </c>
    </row>
    <row r="1487" spans="1:17" x14ac:dyDescent="0.2">
      <c r="A1487" s="2" t="s">
        <v>2684</v>
      </c>
      <c r="B1487" s="2" t="s">
        <v>33</v>
      </c>
      <c r="C1487" s="2" t="s">
        <v>83</v>
      </c>
      <c r="D1487" s="2" t="s">
        <v>20</v>
      </c>
      <c r="E1487" s="3">
        <v>98105</v>
      </c>
      <c r="F1487" s="4" t="s">
        <v>121</v>
      </c>
      <c r="G1487" s="2" t="s">
        <v>1738</v>
      </c>
      <c r="H1487" s="2" t="s">
        <v>2408</v>
      </c>
      <c r="I1487" s="2" t="s">
        <v>24</v>
      </c>
      <c r="J1487" s="2" t="s">
        <v>213</v>
      </c>
      <c r="K1487" s="4" t="s">
        <v>255</v>
      </c>
      <c r="L1487" s="4" t="s">
        <v>27</v>
      </c>
      <c r="M1487" s="4" t="s">
        <v>436</v>
      </c>
      <c r="N1487" s="5">
        <v>249923607</v>
      </c>
      <c r="O1487" s="2" t="s">
        <v>455</v>
      </c>
      <c r="P1487" s="2" t="s">
        <v>86</v>
      </c>
      <c r="Q1487" s="4" t="s">
        <v>456</v>
      </c>
    </row>
    <row r="1488" spans="1:17" x14ac:dyDescent="0.2">
      <c r="A1488" s="2" t="s">
        <v>2685</v>
      </c>
      <c r="B1488" s="2" t="s">
        <v>1147</v>
      </c>
      <c r="C1488" s="2" t="s">
        <v>1148</v>
      </c>
      <c r="D1488" s="2" t="s">
        <v>20</v>
      </c>
      <c r="E1488" s="3">
        <v>99163</v>
      </c>
      <c r="F1488" s="4" t="s">
        <v>21</v>
      </c>
      <c r="G1488" s="2" t="s">
        <v>1738</v>
      </c>
      <c r="H1488" s="2" t="s">
        <v>2408</v>
      </c>
      <c r="I1488" s="2" t="s">
        <v>24</v>
      </c>
      <c r="J1488" s="2" t="s">
        <v>213</v>
      </c>
      <c r="K1488" s="4" t="s">
        <v>255</v>
      </c>
      <c r="L1488" s="4" t="s">
        <v>27</v>
      </c>
      <c r="M1488" s="4" t="s">
        <v>1071</v>
      </c>
      <c r="N1488" s="5">
        <v>244872407</v>
      </c>
      <c r="O1488" s="2" t="s">
        <v>1149</v>
      </c>
      <c r="P1488" s="2" t="s">
        <v>244</v>
      </c>
      <c r="Q1488" s="4" t="s">
        <v>2686</v>
      </c>
    </row>
    <row r="1489" spans="1:17" x14ac:dyDescent="0.2">
      <c r="A1489" s="2" t="s">
        <v>2687</v>
      </c>
      <c r="B1489" s="2" t="s">
        <v>33</v>
      </c>
      <c r="C1489" s="2" t="s">
        <v>83</v>
      </c>
      <c r="D1489" s="2" t="s">
        <v>20</v>
      </c>
      <c r="E1489" s="3">
        <v>98177</v>
      </c>
      <c r="F1489" s="4" t="s">
        <v>130</v>
      </c>
      <c r="G1489" s="2" t="s">
        <v>1738</v>
      </c>
      <c r="H1489" s="2" t="s">
        <v>2408</v>
      </c>
      <c r="I1489" s="2" t="s">
        <v>24</v>
      </c>
      <c r="J1489" s="2" t="s">
        <v>213</v>
      </c>
      <c r="K1489" s="4" t="s">
        <v>255</v>
      </c>
      <c r="L1489" s="4" t="s">
        <v>27</v>
      </c>
      <c r="M1489" s="4" t="s">
        <v>74</v>
      </c>
      <c r="N1489" s="5">
        <v>281405330</v>
      </c>
      <c r="O1489" s="2" t="s">
        <v>85</v>
      </c>
      <c r="P1489" s="2" t="s">
        <v>86</v>
      </c>
      <c r="Q1489" s="4" t="s">
        <v>798</v>
      </c>
    </row>
    <row r="1490" spans="1:17" x14ac:dyDescent="0.2">
      <c r="A1490" s="2" t="s">
        <v>2688</v>
      </c>
      <c r="B1490" s="2" t="s">
        <v>33</v>
      </c>
      <c r="C1490" s="2" t="s">
        <v>83</v>
      </c>
      <c r="D1490" s="2" t="s">
        <v>20</v>
      </c>
      <c r="E1490" s="3">
        <v>98112</v>
      </c>
      <c r="F1490" s="4" t="s">
        <v>130</v>
      </c>
      <c r="G1490" s="2" t="s">
        <v>1738</v>
      </c>
      <c r="H1490" s="2" t="s">
        <v>2408</v>
      </c>
      <c r="I1490" s="2" t="s">
        <v>24</v>
      </c>
      <c r="J1490" s="2" t="s">
        <v>213</v>
      </c>
      <c r="K1490" s="4" t="s">
        <v>255</v>
      </c>
      <c r="L1490" s="4" t="s">
        <v>27</v>
      </c>
      <c r="M1490" s="4" t="s">
        <v>436</v>
      </c>
      <c r="N1490" s="5">
        <v>282404279</v>
      </c>
      <c r="O1490" s="2" t="s">
        <v>736</v>
      </c>
      <c r="P1490" s="2" t="s">
        <v>86</v>
      </c>
      <c r="Q1490" s="4" t="s">
        <v>1136</v>
      </c>
    </row>
    <row r="1491" spans="1:17" x14ac:dyDescent="0.2">
      <c r="A1491" s="2" t="s">
        <v>2689</v>
      </c>
      <c r="B1491" s="2" t="s">
        <v>110</v>
      </c>
      <c r="C1491" s="2" t="s">
        <v>2690</v>
      </c>
      <c r="D1491" s="2" t="s">
        <v>20</v>
      </c>
      <c r="E1491" s="3">
        <v>98360</v>
      </c>
      <c r="F1491" s="4" t="s">
        <v>121</v>
      </c>
      <c r="G1491" s="2" t="s">
        <v>902</v>
      </c>
      <c r="H1491" s="2" t="s">
        <v>2691</v>
      </c>
      <c r="I1491" s="2" t="s">
        <v>24</v>
      </c>
      <c r="J1491" s="2" t="s">
        <v>213</v>
      </c>
      <c r="K1491" s="4" t="s">
        <v>74</v>
      </c>
      <c r="L1491" s="4" t="s">
        <v>27</v>
      </c>
      <c r="M1491" s="4" t="s">
        <v>357</v>
      </c>
      <c r="N1491" s="5">
        <v>283009142</v>
      </c>
      <c r="O1491" s="2" t="s">
        <v>2692</v>
      </c>
      <c r="P1491" s="2" t="s">
        <v>37</v>
      </c>
      <c r="Q1491" s="4" t="s">
        <v>2693</v>
      </c>
    </row>
    <row r="1492" spans="1:17" x14ac:dyDescent="0.2">
      <c r="A1492" s="2" t="s">
        <v>2694</v>
      </c>
      <c r="B1492" s="2" t="s">
        <v>33</v>
      </c>
      <c r="C1492" s="2" t="s">
        <v>134</v>
      </c>
      <c r="D1492" s="2" t="s">
        <v>20</v>
      </c>
      <c r="E1492" s="3">
        <v>98022</v>
      </c>
      <c r="F1492" s="4" t="s">
        <v>121</v>
      </c>
      <c r="G1492" s="2" t="s">
        <v>902</v>
      </c>
      <c r="H1492" s="2" t="s">
        <v>2691</v>
      </c>
      <c r="I1492" s="2" t="s">
        <v>24</v>
      </c>
      <c r="J1492" s="2" t="s">
        <v>213</v>
      </c>
      <c r="K1492" s="4" t="s">
        <v>74</v>
      </c>
      <c r="L1492" s="4" t="s">
        <v>27</v>
      </c>
      <c r="M1492" s="4" t="s">
        <v>112</v>
      </c>
      <c r="N1492" s="5">
        <v>269759920</v>
      </c>
      <c r="O1492" s="2" t="s">
        <v>135</v>
      </c>
      <c r="P1492" s="2" t="s">
        <v>37</v>
      </c>
      <c r="Q1492" s="4" t="s">
        <v>2695</v>
      </c>
    </row>
    <row r="1493" spans="1:17" x14ac:dyDescent="0.2">
      <c r="A1493" s="2" t="s">
        <v>2696</v>
      </c>
      <c r="B1493" s="2" t="s">
        <v>110</v>
      </c>
      <c r="C1493" s="2" t="s">
        <v>307</v>
      </c>
      <c r="D1493" s="2" t="s">
        <v>20</v>
      </c>
      <c r="E1493" s="3">
        <v>98407</v>
      </c>
      <c r="F1493" s="4" t="s">
        <v>121</v>
      </c>
      <c r="G1493" s="2" t="s">
        <v>2697</v>
      </c>
      <c r="H1493" s="2" t="s">
        <v>2698</v>
      </c>
      <c r="I1493" s="2" t="s">
        <v>24</v>
      </c>
      <c r="J1493" s="2" t="s">
        <v>213</v>
      </c>
      <c r="K1493" s="4" t="s">
        <v>909</v>
      </c>
      <c r="L1493" s="4" t="s">
        <v>27</v>
      </c>
      <c r="M1493" s="4" t="s">
        <v>308</v>
      </c>
      <c r="N1493" s="5">
        <v>262874559</v>
      </c>
      <c r="O1493" s="2" t="s">
        <v>1005</v>
      </c>
      <c r="P1493" s="2" t="s">
        <v>310</v>
      </c>
      <c r="Q1493" s="4" t="s">
        <v>2699</v>
      </c>
    </row>
    <row r="1494" spans="1:17" hidden="1" x14ac:dyDescent="0.2">
      <c r="A1494" s="2" t="s">
        <v>2700</v>
      </c>
      <c r="B1494" s="2" t="s">
        <v>33</v>
      </c>
      <c r="C1494" s="2" t="s">
        <v>1056</v>
      </c>
      <c r="D1494" s="2" t="s">
        <v>20</v>
      </c>
      <c r="E1494" s="3">
        <v>98031</v>
      </c>
      <c r="F1494" s="4" t="s">
        <v>121</v>
      </c>
      <c r="G1494" s="2" t="s">
        <v>932</v>
      </c>
      <c r="H1494" s="2" t="s">
        <v>2701</v>
      </c>
      <c r="I1494" s="2" t="s">
        <v>212</v>
      </c>
      <c r="J1494" s="2" t="s">
        <v>298</v>
      </c>
      <c r="K1494" s="4" t="s">
        <v>27</v>
      </c>
      <c r="L1494" s="4" t="s">
        <v>27</v>
      </c>
      <c r="M1494" s="4" t="s">
        <v>69</v>
      </c>
      <c r="N1494" s="5">
        <v>273859078</v>
      </c>
      <c r="O1494" s="2" t="s">
        <v>1057</v>
      </c>
      <c r="P1494" s="2" t="s">
        <v>37</v>
      </c>
      <c r="Q1494" s="4" t="s">
        <v>2702</v>
      </c>
    </row>
    <row r="1495" spans="1:17" hidden="1" x14ac:dyDescent="0.2">
      <c r="A1495" s="2" t="s">
        <v>2703</v>
      </c>
      <c r="B1495" s="2" t="s">
        <v>33</v>
      </c>
      <c r="C1495" s="2" t="s">
        <v>83</v>
      </c>
      <c r="D1495" s="2" t="s">
        <v>20</v>
      </c>
      <c r="E1495" s="3">
        <v>98103</v>
      </c>
      <c r="F1495" s="4" t="s">
        <v>121</v>
      </c>
      <c r="G1495" s="2" t="s">
        <v>932</v>
      </c>
      <c r="H1495" s="2" t="s">
        <v>2701</v>
      </c>
      <c r="I1495" s="2" t="s">
        <v>212</v>
      </c>
      <c r="J1495" s="2" t="s">
        <v>298</v>
      </c>
      <c r="K1495" s="4" t="s">
        <v>27</v>
      </c>
      <c r="L1495" s="4" t="s">
        <v>27</v>
      </c>
      <c r="M1495" s="4" t="s">
        <v>84</v>
      </c>
      <c r="N1495" s="5">
        <v>272218453</v>
      </c>
      <c r="O1495" s="2" t="s">
        <v>627</v>
      </c>
      <c r="P1495" s="2" t="s">
        <v>86</v>
      </c>
      <c r="Q1495" s="4" t="s">
        <v>1195</v>
      </c>
    </row>
    <row r="1496" spans="1:17" hidden="1" x14ac:dyDescent="0.2">
      <c r="A1496" s="2" t="s">
        <v>2704</v>
      </c>
      <c r="B1496" s="2" t="s">
        <v>33</v>
      </c>
      <c r="C1496" s="2" t="s">
        <v>83</v>
      </c>
      <c r="D1496" s="2" t="s">
        <v>20</v>
      </c>
      <c r="E1496" s="3">
        <v>98178</v>
      </c>
      <c r="F1496" s="4" t="s">
        <v>121</v>
      </c>
      <c r="G1496" s="2" t="s">
        <v>932</v>
      </c>
      <c r="H1496" s="2" t="s">
        <v>2701</v>
      </c>
      <c r="I1496" s="2" t="s">
        <v>212</v>
      </c>
      <c r="J1496" s="2" t="s">
        <v>298</v>
      </c>
      <c r="K1496" s="4" t="s">
        <v>27</v>
      </c>
      <c r="L1496" s="4" t="s">
        <v>27</v>
      </c>
      <c r="M1496" s="4" t="s">
        <v>284</v>
      </c>
      <c r="N1496" s="5">
        <v>278528288</v>
      </c>
      <c r="O1496" s="2" t="s">
        <v>1301</v>
      </c>
      <c r="P1496" s="2" t="s">
        <v>86</v>
      </c>
      <c r="Q1496" s="4" t="s">
        <v>1302</v>
      </c>
    </row>
  </sheetData>
  <conditionalFormatting sqref="A2:Q1496">
    <cfRule type="expression" dxfId="0" priority="1">
      <formula>COUNTIF($A$2:$A1496,$A2) &gt; 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97C3-7B3B-424F-A898-288DC988C355}">
  <dimension ref="D2:S45"/>
  <sheetViews>
    <sheetView topLeftCell="B4" zoomScale="85" zoomScaleNormal="85" workbookViewId="0">
      <selection activeCell="H13" sqref="H13"/>
    </sheetView>
  </sheetViews>
  <sheetFormatPr baseColWidth="10" defaultRowHeight="12.75" x14ac:dyDescent="0.2"/>
  <cols>
    <col min="2" max="2" width="18.42578125" bestFit="1" customWidth="1"/>
    <col min="3" max="3" width="9.42578125" bestFit="1" customWidth="1"/>
    <col min="4" max="4" width="23" bestFit="1" customWidth="1"/>
    <col min="5" max="5" width="18.42578125" bestFit="1" customWidth="1"/>
    <col min="6" max="6" width="27.28515625" bestFit="1" customWidth="1"/>
    <col min="8" max="8" width="12.28515625" bestFit="1" customWidth="1"/>
    <col min="9" max="9" width="8.85546875" bestFit="1" customWidth="1"/>
    <col min="10" max="10" width="9.85546875" bestFit="1" customWidth="1"/>
    <col min="11" max="11" width="11.5703125" bestFit="1" customWidth="1"/>
    <col min="12" max="12" width="17.140625" bestFit="1" customWidth="1"/>
    <col min="13" max="13" width="18.42578125" bestFit="1" customWidth="1"/>
    <col min="16" max="16" width="113.85546875" customWidth="1"/>
    <col min="17" max="17" width="18.42578125" bestFit="1" customWidth="1"/>
    <col min="18" max="18" width="28" bestFit="1" customWidth="1"/>
  </cols>
  <sheetData>
    <row r="2" spans="4:19" x14ac:dyDescent="0.2">
      <c r="D2" s="10" t="s">
        <v>2709</v>
      </c>
      <c r="E2" s="10"/>
      <c r="F2" s="10"/>
      <c r="G2" s="10"/>
      <c r="H2" s="10"/>
      <c r="I2" s="10"/>
    </row>
    <row r="4" spans="4:19" x14ac:dyDescent="0.2">
      <c r="D4" s="7" t="s">
        <v>2707</v>
      </c>
      <c r="F4" s="7" t="s">
        <v>2708</v>
      </c>
      <c r="H4" s="11" t="s">
        <v>2710</v>
      </c>
      <c r="I4" s="7" t="s">
        <v>2708</v>
      </c>
    </row>
    <row r="5" spans="4:19" x14ac:dyDescent="0.2">
      <c r="D5" s="8">
        <v>1159</v>
      </c>
      <c r="F5" s="8">
        <v>1178</v>
      </c>
      <c r="H5" s="12" t="s">
        <v>2711</v>
      </c>
      <c r="I5" s="17">
        <v>0.72410865874363328</v>
      </c>
    </row>
    <row r="6" spans="4:19" x14ac:dyDescent="0.2">
      <c r="H6" s="14" t="s">
        <v>2712</v>
      </c>
      <c r="I6" s="18">
        <v>0.27589134125636672</v>
      </c>
    </row>
    <row r="7" spans="4:19" x14ac:dyDescent="0.2">
      <c r="D7">
        <f>GETPIVOTDATA("DOL Vehicle ID",$D$4)</f>
        <v>1159</v>
      </c>
      <c r="F7">
        <f>GETPIVOTDATA("[Measures].[Recuento distinto de VIN (1-10)]",$F$4)</f>
        <v>1178</v>
      </c>
      <c r="H7" s="16" t="s">
        <v>2705</v>
      </c>
      <c r="I7" s="19">
        <v>1</v>
      </c>
    </row>
    <row r="11" spans="4:19" x14ac:dyDescent="0.2">
      <c r="D11" s="10" t="s">
        <v>2713</v>
      </c>
      <c r="E11" s="9"/>
      <c r="F11" s="9"/>
      <c r="H11" s="10" t="s">
        <v>2714</v>
      </c>
      <c r="I11" s="10"/>
      <c r="J11" s="10"/>
      <c r="L11" s="10" t="s">
        <v>2718</v>
      </c>
      <c r="M11" s="10"/>
      <c r="N11" s="10"/>
      <c r="P11" s="24"/>
      <c r="Q11" s="25"/>
      <c r="R11" s="25"/>
      <c r="S11" s="25"/>
    </row>
    <row r="13" spans="4:19" x14ac:dyDescent="0.2">
      <c r="D13" s="11" t="s">
        <v>2710</v>
      </c>
      <c r="E13" s="7" t="s">
        <v>2706</v>
      </c>
      <c r="H13" s="20" t="s">
        <v>2715</v>
      </c>
      <c r="I13" t="s">
        <v>2716</v>
      </c>
      <c r="J13" t="s">
        <v>2717</v>
      </c>
      <c r="L13" s="11" t="s">
        <v>2710</v>
      </c>
      <c r="M13" s="7" t="s">
        <v>2706</v>
      </c>
    </row>
    <row r="14" spans="4:19" x14ac:dyDescent="0.2">
      <c r="D14" s="12" t="s">
        <v>1492</v>
      </c>
      <c r="E14" s="13">
        <v>1</v>
      </c>
      <c r="H14" s="21" t="s">
        <v>804</v>
      </c>
      <c r="I14" s="22">
        <v>8</v>
      </c>
      <c r="J14" s="23">
        <v>6.9025021570319244E-3</v>
      </c>
      <c r="L14" s="12" t="s">
        <v>1093</v>
      </c>
      <c r="M14" s="13">
        <v>3</v>
      </c>
    </row>
    <row r="15" spans="4:19" x14ac:dyDescent="0.2">
      <c r="D15" s="14" t="s">
        <v>2059</v>
      </c>
      <c r="E15" s="15">
        <v>6</v>
      </c>
      <c r="H15" s="21" t="s">
        <v>175</v>
      </c>
      <c r="I15" s="22">
        <v>5</v>
      </c>
      <c r="J15" s="23">
        <v>4.3140638481449526E-3</v>
      </c>
      <c r="L15" s="14" t="s">
        <v>2426</v>
      </c>
      <c r="M15" s="15">
        <v>21</v>
      </c>
    </row>
    <row r="16" spans="4:19" x14ac:dyDescent="0.2">
      <c r="D16" s="14" t="s">
        <v>574</v>
      </c>
      <c r="E16" s="15">
        <v>6</v>
      </c>
      <c r="H16" s="21" t="s">
        <v>551</v>
      </c>
      <c r="I16" s="22">
        <v>3</v>
      </c>
      <c r="J16" s="23">
        <v>2.5884383088869713E-3</v>
      </c>
      <c r="L16" s="14" t="s">
        <v>1066</v>
      </c>
      <c r="M16" s="15">
        <v>28</v>
      </c>
    </row>
    <row r="17" spans="4:13" x14ac:dyDescent="0.2">
      <c r="D17" s="14" t="s">
        <v>227</v>
      </c>
      <c r="E17" s="15">
        <v>23</v>
      </c>
      <c r="H17" s="21" t="s">
        <v>55</v>
      </c>
      <c r="I17" s="22">
        <v>53</v>
      </c>
      <c r="J17" s="23">
        <v>4.5729076790336498E-2</v>
      </c>
      <c r="L17" s="14" t="s">
        <v>603</v>
      </c>
      <c r="M17" s="15">
        <v>4</v>
      </c>
    </row>
    <row r="18" spans="4:13" x14ac:dyDescent="0.2">
      <c r="D18" s="14" t="s">
        <v>219</v>
      </c>
      <c r="E18" s="15">
        <v>18</v>
      </c>
      <c r="H18" s="21" t="s">
        <v>1376</v>
      </c>
      <c r="I18" s="22">
        <v>2</v>
      </c>
      <c r="J18" s="23">
        <v>1.7256255392579811E-3</v>
      </c>
      <c r="L18" s="14" t="s">
        <v>348</v>
      </c>
      <c r="M18" s="15">
        <v>57</v>
      </c>
    </row>
    <row r="19" spans="4:13" x14ac:dyDescent="0.2">
      <c r="D19" s="14" t="s">
        <v>230</v>
      </c>
      <c r="E19" s="15">
        <v>33</v>
      </c>
      <c r="H19" s="21" t="s">
        <v>1120</v>
      </c>
      <c r="I19" s="22">
        <v>2</v>
      </c>
      <c r="J19" s="23">
        <v>1.7256255392579811E-3</v>
      </c>
      <c r="L19" s="14" t="s">
        <v>902</v>
      </c>
      <c r="M19" s="15">
        <v>1</v>
      </c>
    </row>
    <row r="20" spans="4:13" x14ac:dyDescent="0.2">
      <c r="D20" s="14" t="s">
        <v>209</v>
      </c>
      <c r="E20" s="15">
        <v>36</v>
      </c>
      <c r="H20" s="21" t="s">
        <v>1633</v>
      </c>
      <c r="I20" s="22">
        <v>2</v>
      </c>
      <c r="J20" s="23">
        <v>1.7256255392579811E-3</v>
      </c>
      <c r="L20" s="14" t="s">
        <v>932</v>
      </c>
      <c r="M20" s="15">
        <v>13</v>
      </c>
    </row>
    <row r="21" spans="4:13" x14ac:dyDescent="0.2">
      <c r="D21" s="14" t="s">
        <v>273</v>
      </c>
      <c r="E21" s="15">
        <v>34</v>
      </c>
      <c r="H21" s="21" t="s">
        <v>262</v>
      </c>
      <c r="I21" s="22">
        <v>5</v>
      </c>
      <c r="J21" s="23">
        <v>4.3140638481449526E-3</v>
      </c>
      <c r="L21" s="14" t="s">
        <v>2415</v>
      </c>
      <c r="M21" s="15">
        <v>1</v>
      </c>
    </row>
    <row r="22" spans="4:13" x14ac:dyDescent="0.2">
      <c r="D22" s="14" t="s">
        <v>371</v>
      </c>
      <c r="E22" s="15">
        <v>93</v>
      </c>
      <c r="H22" s="21" t="s">
        <v>842</v>
      </c>
      <c r="I22" s="22">
        <v>2</v>
      </c>
      <c r="J22" s="23">
        <v>1.7256255392579811E-3</v>
      </c>
      <c r="L22" s="14" t="s">
        <v>210</v>
      </c>
      <c r="M22" s="15">
        <v>45</v>
      </c>
    </row>
    <row r="23" spans="4:13" x14ac:dyDescent="0.2">
      <c r="D23" s="14" t="s">
        <v>408</v>
      </c>
      <c r="E23" s="15">
        <v>80</v>
      </c>
      <c r="H23" s="21" t="s">
        <v>94</v>
      </c>
      <c r="I23" s="22">
        <v>15</v>
      </c>
      <c r="J23" s="23">
        <v>1.2942191544434857E-2</v>
      </c>
      <c r="L23" s="14" t="s">
        <v>1114</v>
      </c>
      <c r="M23" s="15">
        <v>2</v>
      </c>
    </row>
    <row r="24" spans="4:13" x14ac:dyDescent="0.2">
      <c r="D24" s="14" t="s">
        <v>401</v>
      </c>
      <c r="E24" s="15">
        <v>87</v>
      </c>
      <c r="H24" s="21" t="s">
        <v>506</v>
      </c>
      <c r="I24" s="22">
        <v>2</v>
      </c>
      <c r="J24" s="23">
        <v>1.7256255392579811E-3</v>
      </c>
      <c r="L24" s="14" t="s">
        <v>599</v>
      </c>
      <c r="M24" s="15">
        <v>1</v>
      </c>
    </row>
    <row r="25" spans="4:13" x14ac:dyDescent="0.2">
      <c r="D25" s="14" t="s">
        <v>42</v>
      </c>
      <c r="E25" s="15">
        <v>72</v>
      </c>
      <c r="H25" s="21" t="s">
        <v>33</v>
      </c>
      <c r="I25" s="22">
        <v>597</v>
      </c>
      <c r="J25" s="23">
        <v>0.51509922346850734</v>
      </c>
      <c r="L25" s="14" t="s">
        <v>1050</v>
      </c>
      <c r="M25" s="15">
        <v>5</v>
      </c>
    </row>
    <row r="26" spans="4:13" x14ac:dyDescent="0.2">
      <c r="D26" s="14" t="s">
        <v>57</v>
      </c>
      <c r="E26" s="15">
        <v>129</v>
      </c>
      <c r="H26" s="21" t="s">
        <v>18</v>
      </c>
      <c r="I26" s="22">
        <v>59</v>
      </c>
      <c r="J26" s="23">
        <v>5.0905953408110438E-2</v>
      </c>
      <c r="L26" s="14" t="s">
        <v>2010</v>
      </c>
      <c r="M26" s="15">
        <v>37</v>
      </c>
    </row>
    <row r="27" spans="4:13" x14ac:dyDescent="0.2">
      <c r="D27" s="14" t="s">
        <v>21</v>
      </c>
      <c r="E27" s="15">
        <v>217</v>
      </c>
      <c r="H27" s="21" t="s">
        <v>873</v>
      </c>
      <c r="I27" s="22">
        <v>5</v>
      </c>
      <c r="J27" s="23">
        <v>4.3140638481449526E-3</v>
      </c>
      <c r="L27" s="14" t="s">
        <v>22</v>
      </c>
      <c r="M27" s="15">
        <v>1</v>
      </c>
    </row>
    <row r="28" spans="4:13" x14ac:dyDescent="0.2">
      <c r="D28" s="14" t="s">
        <v>121</v>
      </c>
      <c r="E28" s="15">
        <v>167</v>
      </c>
      <c r="H28" s="21" t="s">
        <v>572</v>
      </c>
      <c r="I28" s="22">
        <v>2</v>
      </c>
      <c r="J28" s="23">
        <v>1.7256255392579811E-3</v>
      </c>
      <c r="L28" s="14" t="s">
        <v>1166</v>
      </c>
      <c r="M28" s="15">
        <v>57</v>
      </c>
    </row>
    <row r="29" spans="4:13" x14ac:dyDescent="0.2">
      <c r="D29" s="14" t="s">
        <v>130</v>
      </c>
      <c r="E29" s="15">
        <v>134</v>
      </c>
      <c r="H29" s="21" t="s">
        <v>156</v>
      </c>
      <c r="I29" s="22">
        <v>2</v>
      </c>
      <c r="J29" s="23">
        <v>1.7256255392579811E-3</v>
      </c>
      <c r="L29" s="14" t="s">
        <v>2120</v>
      </c>
      <c r="M29" s="15">
        <v>3</v>
      </c>
    </row>
    <row r="30" spans="4:13" x14ac:dyDescent="0.2">
      <c r="D30" s="14" t="s">
        <v>1113</v>
      </c>
      <c r="E30" s="15">
        <v>23</v>
      </c>
      <c r="H30" s="21" t="s">
        <v>362</v>
      </c>
      <c r="I30" s="22">
        <v>4</v>
      </c>
      <c r="J30" s="23">
        <v>3.4512510785159622E-3</v>
      </c>
      <c r="L30" s="14" t="s">
        <v>1098</v>
      </c>
      <c r="M30" s="15">
        <v>3</v>
      </c>
    </row>
    <row r="31" spans="4:13" x14ac:dyDescent="0.2">
      <c r="D31" s="16" t="s">
        <v>2705</v>
      </c>
      <c r="E31" s="8">
        <v>1159</v>
      </c>
      <c r="H31" s="21" t="s">
        <v>481</v>
      </c>
      <c r="I31" s="22">
        <v>1</v>
      </c>
      <c r="J31" s="23">
        <v>8.6281276962899055E-4</v>
      </c>
      <c r="L31" s="14" t="s">
        <v>1078</v>
      </c>
      <c r="M31" s="15">
        <v>8</v>
      </c>
    </row>
    <row r="32" spans="4:13" x14ac:dyDescent="0.2">
      <c r="H32" s="21" t="s">
        <v>1932</v>
      </c>
      <c r="I32" s="22">
        <v>1</v>
      </c>
      <c r="J32" s="23">
        <v>8.6281276962899055E-4</v>
      </c>
      <c r="L32" s="14" t="s">
        <v>2573</v>
      </c>
      <c r="M32" s="15">
        <v>7</v>
      </c>
    </row>
    <row r="33" spans="8:13" x14ac:dyDescent="0.2">
      <c r="H33" s="21" t="s">
        <v>162</v>
      </c>
      <c r="I33" s="22">
        <v>1</v>
      </c>
      <c r="J33" s="23">
        <v>8.6281276962899055E-4</v>
      </c>
      <c r="L33" s="14" t="s">
        <v>610</v>
      </c>
      <c r="M33" s="15">
        <v>135</v>
      </c>
    </row>
    <row r="34" spans="8:13" x14ac:dyDescent="0.2">
      <c r="H34" s="21" t="s">
        <v>110</v>
      </c>
      <c r="I34" s="22">
        <v>49</v>
      </c>
      <c r="J34" s="23">
        <v>4.2277825711820538E-2</v>
      </c>
      <c r="L34" s="14" t="s">
        <v>2399</v>
      </c>
      <c r="M34" s="15">
        <v>6</v>
      </c>
    </row>
    <row r="35" spans="8:13" x14ac:dyDescent="0.2">
      <c r="H35" s="21" t="s">
        <v>443</v>
      </c>
      <c r="I35" s="22">
        <v>6</v>
      </c>
      <c r="J35" s="23">
        <v>5.1768766177739426E-3</v>
      </c>
      <c r="L35" s="14" t="s">
        <v>2590</v>
      </c>
      <c r="M35" s="15">
        <v>8</v>
      </c>
    </row>
    <row r="36" spans="8:13" x14ac:dyDescent="0.2">
      <c r="H36" s="21" t="s">
        <v>207</v>
      </c>
      <c r="I36" s="22">
        <v>18</v>
      </c>
      <c r="J36" s="23">
        <v>1.5530629853321829E-2</v>
      </c>
      <c r="L36" s="14" t="s">
        <v>952</v>
      </c>
      <c r="M36" s="15">
        <v>1</v>
      </c>
    </row>
    <row r="37" spans="8:13" x14ac:dyDescent="0.2">
      <c r="H37" s="21" t="s">
        <v>40</v>
      </c>
      <c r="I37" s="22">
        <v>169</v>
      </c>
      <c r="J37" s="23">
        <v>0.14581535806729939</v>
      </c>
      <c r="L37" s="14" t="s">
        <v>1697</v>
      </c>
      <c r="M37" s="15">
        <v>37</v>
      </c>
    </row>
    <row r="38" spans="8:13" x14ac:dyDescent="0.2">
      <c r="H38" s="21" t="s">
        <v>331</v>
      </c>
      <c r="I38" s="22">
        <v>20</v>
      </c>
      <c r="J38" s="23">
        <v>1.7256255392579811E-2</v>
      </c>
      <c r="L38" s="14" t="s">
        <v>2564</v>
      </c>
      <c r="M38" s="15">
        <v>4</v>
      </c>
    </row>
    <row r="39" spans="8:13" x14ac:dyDescent="0.2">
      <c r="H39" s="21" t="s">
        <v>241</v>
      </c>
      <c r="I39" s="22">
        <v>3</v>
      </c>
      <c r="J39" s="23">
        <v>2.5884383088869713E-3</v>
      </c>
      <c r="L39" s="14" t="s">
        <v>2155</v>
      </c>
      <c r="M39" s="15">
        <v>14</v>
      </c>
    </row>
    <row r="40" spans="8:13" x14ac:dyDescent="0.2">
      <c r="H40" s="21" t="s">
        <v>151</v>
      </c>
      <c r="I40" s="22">
        <v>64</v>
      </c>
      <c r="J40" s="23">
        <v>5.5220017256255395E-2</v>
      </c>
      <c r="L40" s="14" t="s">
        <v>1177</v>
      </c>
      <c r="M40" s="15">
        <v>603</v>
      </c>
    </row>
    <row r="41" spans="8:13" x14ac:dyDescent="0.2">
      <c r="H41" s="21" t="s">
        <v>313</v>
      </c>
      <c r="I41" s="22">
        <v>5</v>
      </c>
      <c r="J41" s="23">
        <v>4.3140638481449526E-3</v>
      </c>
      <c r="L41" s="14" t="s">
        <v>928</v>
      </c>
      <c r="M41" s="15">
        <v>6</v>
      </c>
    </row>
    <row r="42" spans="8:13" x14ac:dyDescent="0.2">
      <c r="H42" s="21" t="s">
        <v>688</v>
      </c>
      <c r="I42" s="22">
        <v>14</v>
      </c>
      <c r="J42" s="23">
        <v>1.2079378774805867E-2</v>
      </c>
      <c r="L42" s="14" t="s">
        <v>853</v>
      </c>
      <c r="M42" s="15">
        <v>36</v>
      </c>
    </row>
    <row r="43" spans="8:13" x14ac:dyDescent="0.2">
      <c r="H43" s="21" t="s">
        <v>1147</v>
      </c>
      <c r="I43" s="22">
        <v>4</v>
      </c>
      <c r="J43" s="23">
        <v>3.4512510785159622E-3</v>
      </c>
      <c r="L43" s="14" t="s">
        <v>1738</v>
      </c>
      <c r="M43" s="15">
        <v>12</v>
      </c>
    </row>
    <row r="44" spans="8:13" x14ac:dyDescent="0.2">
      <c r="H44" s="21" t="s">
        <v>48</v>
      </c>
      <c r="I44" s="22">
        <v>36</v>
      </c>
      <c r="J44" s="23">
        <v>3.1061259706643658E-2</v>
      </c>
      <c r="L44" s="16" t="s">
        <v>2705</v>
      </c>
      <c r="M44" s="8">
        <v>1159</v>
      </c>
    </row>
    <row r="45" spans="8:13" x14ac:dyDescent="0.2">
      <c r="H45" s="21" t="s">
        <v>2705</v>
      </c>
      <c r="I45" s="22">
        <v>1159</v>
      </c>
      <c r="J45" s="23">
        <v>1</v>
      </c>
    </row>
  </sheetData>
  <mergeCells count="4">
    <mergeCell ref="L11:N11"/>
    <mergeCell ref="D2:I2"/>
    <mergeCell ref="D11:F11"/>
    <mergeCell ref="H11:J11"/>
  </mergeCell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BC5D-DA97-4C7F-96E8-4D7311CF8604}">
  <sheetPr>
    <tabColor rgb="FF00B0F0"/>
  </sheetPr>
  <dimension ref="N4:Z57"/>
  <sheetViews>
    <sheetView showGridLines="0" tabSelected="1" zoomScale="85" zoomScaleNormal="85" workbookViewId="0">
      <selection activeCell="U21" sqref="U21"/>
    </sheetView>
  </sheetViews>
  <sheetFormatPr baseColWidth="10" defaultRowHeight="15" x14ac:dyDescent="0.2"/>
  <cols>
    <col min="1" max="1" width="4.5703125" style="6" customWidth="1"/>
    <col min="2" max="13" width="11.42578125" style="6"/>
    <col min="14" max="14" width="17" style="6" bestFit="1" customWidth="1"/>
    <col min="15" max="15" width="11.42578125" style="6" bestFit="1" customWidth="1"/>
    <col min="16" max="16" width="10.7109375" style="6" bestFit="1" customWidth="1"/>
    <col min="17" max="17" width="13" style="6" bestFit="1" customWidth="1"/>
    <col min="18" max="18" width="12.28515625" style="6" bestFit="1" customWidth="1"/>
    <col min="19" max="19" width="8.85546875" style="6" bestFit="1" customWidth="1"/>
    <col min="20" max="20" width="9.85546875" style="6" bestFit="1" customWidth="1"/>
    <col min="21" max="21" width="12.28515625" style="6" bestFit="1" customWidth="1"/>
    <col min="22" max="22" width="8.85546875" style="6" bestFit="1" customWidth="1"/>
    <col min="23" max="23" width="9.85546875" style="6" bestFit="1" customWidth="1"/>
    <col min="24" max="24" width="12.28515625" style="6" bestFit="1" customWidth="1"/>
    <col min="25" max="25" width="8.85546875" style="6" bestFit="1" customWidth="1"/>
    <col min="26" max="26" width="9.85546875" style="6" bestFit="1" customWidth="1"/>
    <col min="27" max="16384" width="11.42578125" style="6"/>
  </cols>
  <sheetData>
    <row r="4" spans="14:20" x14ac:dyDescent="0.2">
      <c r="R4"/>
      <c r="S4"/>
      <c r="T4"/>
    </row>
    <row r="5" spans="14:20" x14ac:dyDescent="0.2">
      <c r="R5"/>
      <c r="S5"/>
      <c r="T5"/>
    </row>
    <row r="6" spans="14:20" x14ac:dyDescent="0.2">
      <c r="R6"/>
      <c r="S6"/>
      <c r="T6"/>
    </row>
    <row r="7" spans="14:20" x14ac:dyDescent="0.2">
      <c r="R7"/>
      <c r="S7"/>
      <c r="T7"/>
    </row>
    <row r="8" spans="14:20" x14ac:dyDescent="0.2">
      <c r="R8"/>
      <c r="S8"/>
      <c r="T8"/>
    </row>
    <row r="9" spans="14:20" x14ac:dyDescent="0.2">
      <c r="R9"/>
      <c r="S9"/>
      <c r="T9"/>
    </row>
    <row r="10" spans="14:20" x14ac:dyDescent="0.2">
      <c r="N10"/>
      <c r="O10"/>
      <c r="P10"/>
      <c r="Q10"/>
      <c r="R10"/>
      <c r="S10"/>
      <c r="T10"/>
    </row>
    <row r="11" spans="14:20" x14ac:dyDescent="0.2">
      <c r="N11"/>
      <c r="O11"/>
      <c r="P11"/>
      <c r="Q11"/>
      <c r="R11"/>
      <c r="S11"/>
      <c r="T11"/>
    </row>
    <row r="12" spans="14:20" x14ac:dyDescent="0.2">
      <c r="N12"/>
      <c r="O12"/>
      <c r="P12"/>
      <c r="Q12"/>
      <c r="R12"/>
      <c r="S12"/>
      <c r="T12"/>
    </row>
    <row r="13" spans="14:20" x14ac:dyDescent="0.2">
      <c r="N13"/>
      <c r="O13"/>
      <c r="P13"/>
      <c r="Q13"/>
      <c r="R13"/>
      <c r="S13"/>
      <c r="T13"/>
    </row>
    <row r="14" spans="14:20" x14ac:dyDescent="0.2">
      <c r="N14"/>
      <c r="O14"/>
      <c r="P14"/>
      <c r="Q14"/>
      <c r="R14"/>
      <c r="S14"/>
      <c r="T14"/>
    </row>
    <row r="15" spans="14:20" x14ac:dyDescent="0.2">
      <c r="N15"/>
      <c r="O15"/>
      <c r="P15"/>
      <c r="Q15"/>
      <c r="R15"/>
      <c r="S15"/>
      <c r="T15"/>
    </row>
    <row r="16" spans="14:20" x14ac:dyDescent="0.2">
      <c r="N16"/>
      <c r="O16"/>
      <c r="P16"/>
      <c r="Q16"/>
      <c r="R16"/>
      <c r="S16"/>
      <c r="T16"/>
    </row>
    <row r="17" spans="18:26" x14ac:dyDescent="0.2">
      <c r="R17"/>
      <c r="S17"/>
      <c r="T17"/>
    </row>
    <row r="18" spans="18:26" x14ac:dyDescent="0.2">
      <c r="R18"/>
      <c r="S18"/>
      <c r="T18"/>
    </row>
    <row r="19" spans="18:26" x14ac:dyDescent="0.2">
      <c r="R19"/>
      <c r="S19"/>
      <c r="T19"/>
    </row>
    <row r="20" spans="18:26" x14ac:dyDescent="0.2">
      <c r="R20"/>
      <c r="S20"/>
      <c r="T20"/>
    </row>
    <row r="21" spans="18:26" x14ac:dyDescent="0.2">
      <c r="R21"/>
      <c r="S21"/>
      <c r="T21"/>
    </row>
    <row r="22" spans="18:26" x14ac:dyDescent="0.2">
      <c r="R22"/>
      <c r="S22"/>
      <c r="T22"/>
    </row>
    <row r="23" spans="18:26" x14ac:dyDescent="0.2">
      <c r="R23"/>
      <c r="S23"/>
      <c r="T23"/>
    </row>
    <row r="24" spans="18:26" x14ac:dyDescent="0.2">
      <c r="R24"/>
      <c r="S24"/>
      <c r="T24"/>
      <c r="X24"/>
      <c r="Y24"/>
      <c r="Z24"/>
    </row>
    <row r="25" spans="18:26" x14ac:dyDescent="0.2">
      <c r="R25"/>
      <c r="S25"/>
      <c r="T25"/>
      <c r="X25"/>
      <c r="Y25"/>
      <c r="Z25"/>
    </row>
    <row r="26" spans="18:26" x14ac:dyDescent="0.2">
      <c r="R26"/>
      <c r="S26"/>
      <c r="T26"/>
      <c r="X26"/>
      <c r="Y26"/>
      <c r="Z26"/>
    </row>
    <row r="27" spans="18:26" x14ac:dyDescent="0.2">
      <c r="R27"/>
      <c r="S27"/>
      <c r="T27"/>
      <c r="X27"/>
      <c r="Y27"/>
      <c r="Z27"/>
    </row>
    <row r="28" spans="18:26" x14ac:dyDescent="0.2">
      <c r="R28"/>
      <c r="S28"/>
      <c r="T28"/>
      <c r="X28"/>
      <c r="Y28"/>
      <c r="Z28"/>
    </row>
    <row r="29" spans="18:26" x14ac:dyDescent="0.2">
      <c r="R29"/>
      <c r="S29"/>
      <c r="T29"/>
      <c r="X29"/>
      <c r="Y29"/>
      <c r="Z29"/>
    </row>
    <row r="30" spans="18:26" x14ac:dyDescent="0.2">
      <c r="R30"/>
      <c r="S30"/>
      <c r="T30"/>
      <c r="X30"/>
      <c r="Y30"/>
      <c r="Z30"/>
    </row>
    <row r="31" spans="18:26" x14ac:dyDescent="0.2">
      <c r="R31"/>
      <c r="S31"/>
      <c r="T31"/>
      <c r="X31"/>
      <c r="Y31"/>
      <c r="Z31"/>
    </row>
    <row r="32" spans="18:26" x14ac:dyDescent="0.2">
      <c r="R32"/>
      <c r="S32"/>
      <c r="T32"/>
      <c r="X32"/>
      <c r="Y32"/>
      <c r="Z32"/>
    </row>
    <row r="33" spans="18:26" x14ac:dyDescent="0.2">
      <c r="R33"/>
      <c r="S33"/>
      <c r="T33"/>
      <c r="X33"/>
      <c r="Y33"/>
      <c r="Z33"/>
    </row>
    <row r="34" spans="18:26" x14ac:dyDescent="0.2">
      <c r="R34"/>
      <c r="S34"/>
      <c r="T34"/>
      <c r="X34"/>
      <c r="Y34"/>
      <c r="Z34"/>
    </row>
    <row r="35" spans="18:26" x14ac:dyDescent="0.2">
      <c r="R35"/>
      <c r="S35"/>
      <c r="T35"/>
      <c r="X35"/>
      <c r="Y35"/>
      <c r="Z35"/>
    </row>
    <row r="36" spans="18:26" x14ac:dyDescent="0.2">
      <c r="R36"/>
      <c r="S36"/>
      <c r="T36"/>
      <c r="X36"/>
      <c r="Y36"/>
      <c r="Z36"/>
    </row>
    <row r="37" spans="18:26" x14ac:dyDescent="0.2">
      <c r="R37"/>
      <c r="S37"/>
      <c r="T37"/>
      <c r="X37"/>
      <c r="Y37"/>
      <c r="Z37"/>
    </row>
    <row r="38" spans="18:26" x14ac:dyDescent="0.2">
      <c r="X38"/>
      <c r="Y38"/>
      <c r="Z38"/>
    </row>
    <row r="39" spans="18:26" x14ac:dyDescent="0.2">
      <c r="X39"/>
      <c r="Y39"/>
      <c r="Z39"/>
    </row>
    <row r="40" spans="18:26" x14ac:dyDescent="0.2">
      <c r="X40"/>
      <c r="Y40"/>
      <c r="Z40"/>
    </row>
    <row r="41" spans="18:26" x14ac:dyDescent="0.2">
      <c r="X41"/>
      <c r="Y41"/>
      <c r="Z41"/>
    </row>
    <row r="42" spans="18:26" x14ac:dyDescent="0.2">
      <c r="X42"/>
      <c r="Y42"/>
      <c r="Z42"/>
    </row>
    <row r="43" spans="18:26" x14ac:dyDescent="0.2">
      <c r="X43"/>
      <c r="Y43"/>
      <c r="Z43"/>
    </row>
    <row r="44" spans="18:26" x14ac:dyDescent="0.2">
      <c r="X44"/>
      <c r="Y44"/>
      <c r="Z44"/>
    </row>
    <row r="45" spans="18:26" x14ac:dyDescent="0.2">
      <c r="X45"/>
      <c r="Y45"/>
      <c r="Z45"/>
    </row>
    <row r="46" spans="18:26" x14ac:dyDescent="0.2">
      <c r="X46"/>
      <c r="Y46"/>
      <c r="Z46"/>
    </row>
    <row r="47" spans="18:26" x14ac:dyDescent="0.2">
      <c r="X47"/>
      <c r="Y47"/>
      <c r="Z47"/>
    </row>
    <row r="48" spans="18:26" x14ac:dyDescent="0.2">
      <c r="X48"/>
      <c r="Y48"/>
      <c r="Z48"/>
    </row>
    <row r="49" spans="24:26" x14ac:dyDescent="0.2">
      <c r="X49"/>
      <c r="Y49"/>
      <c r="Z49"/>
    </row>
    <row r="50" spans="24:26" x14ac:dyDescent="0.2">
      <c r="X50"/>
      <c r="Y50"/>
      <c r="Z50"/>
    </row>
    <row r="51" spans="24:26" x14ac:dyDescent="0.2">
      <c r="X51"/>
      <c r="Y51"/>
      <c r="Z51"/>
    </row>
    <row r="52" spans="24:26" x14ac:dyDescent="0.2">
      <c r="X52"/>
      <c r="Y52"/>
      <c r="Z52"/>
    </row>
    <row r="53" spans="24:26" x14ac:dyDescent="0.2">
      <c r="X53"/>
      <c r="Y53"/>
      <c r="Z53"/>
    </row>
    <row r="54" spans="24:26" x14ac:dyDescent="0.2">
      <c r="X54"/>
      <c r="Y54"/>
      <c r="Z54"/>
    </row>
    <row r="55" spans="24:26" x14ac:dyDescent="0.2">
      <c r="X55"/>
      <c r="Y55"/>
      <c r="Z55"/>
    </row>
    <row r="56" spans="24:26" x14ac:dyDescent="0.2">
      <c r="X56"/>
      <c r="Y56"/>
      <c r="Z56"/>
    </row>
    <row r="57" spans="24:26" x14ac:dyDescent="0.2">
      <c r="X57"/>
      <c r="Y57"/>
      <c r="Z57"/>
    </row>
  </sheetData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Electric_Vehicle</vt:lpstr>
      <vt:lpstr>Analisis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Rodríguez</cp:lastModifiedBy>
  <dcterms:modified xsi:type="dcterms:W3CDTF">2025-11-04T13:15:55Z</dcterms:modified>
</cp:coreProperties>
</file>